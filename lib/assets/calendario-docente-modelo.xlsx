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sesibahia.sharepoint.com/sites/FS5/319Alagoinhas/ESCOLA/CALENDÁRIOS/2026/Alagoinhas/LOGISTICA, DS E QUÍMICA/Docentes/"/>
    </mc:Choice>
  </mc:AlternateContent>
  <xr:revisionPtr revIDLastSave="0" documentId="8_{FB077CAD-00AD-46C6-9A11-C134B97F6DA1}" xr6:coauthVersionLast="47" xr6:coauthVersionMax="47" xr10:uidLastSave="{00000000-0000-0000-0000-000000000000}"/>
  <bookViews>
    <workbookView xWindow="-96" yWindow="0" windowWidth="11712" windowHeight="12576" xr2:uid="{00000000-000D-0000-FFFF-FFFF00000000}"/>
  </bookViews>
  <sheets>
    <sheet name="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k7X+ecgeSO+gzS+CK6TkbBPZjwN5LIO7bOHe304KfeU="/>
    </ext>
  </extLst>
</workbook>
</file>

<file path=xl/calcChain.xml><?xml version="1.0" encoding="utf-8"?>
<calcChain xmlns="http://schemas.openxmlformats.org/spreadsheetml/2006/main">
  <c r="N285" i="1" l="1"/>
  <c r="N283" i="1"/>
  <c r="N281" i="1"/>
  <c r="N279" i="1"/>
  <c r="Y283" i="1"/>
  <c r="Y281" i="1"/>
  <c r="Y279" i="1"/>
  <c r="Y277" i="1"/>
  <c r="K347" i="1"/>
  <c r="K345" i="1"/>
  <c r="K343" i="1"/>
  <c r="K341" i="1"/>
  <c r="L235" i="1"/>
  <c r="L237" i="1"/>
  <c r="L239" i="1"/>
  <c r="L241" i="1"/>
  <c r="L245" i="1"/>
  <c r="L247" i="1"/>
  <c r="L249" i="1"/>
  <c r="L251" i="1"/>
  <c r="AE243" i="1"/>
  <c r="AE241" i="1"/>
  <c r="AB255" i="1"/>
  <c r="AB253" i="1"/>
  <c r="AE239" i="1"/>
  <c r="AE237" i="1"/>
  <c r="X253" i="1"/>
  <c r="X251" i="1"/>
  <c r="AB257" i="1"/>
  <c r="AE209" i="1"/>
  <c r="AE207" i="1"/>
  <c r="AE205" i="1"/>
  <c r="AE203" i="1"/>
  <c r="AC209" i="1"/>
  <c r="AC207" i="1"/>
  <c r="AC205" i="1"/>
  <c r="AC203" i="1"/>
  <c r="Z347" i="1"/>
  <c r="Y347" i="1"/>
  <c r="Z345" i="1"/>
  <c r="Y345" i="1"/>
  <c r="Z343" i="1"/>
  <c r="Y343" i="1"/>
  <c r="Z341" i="1"/>
  <c r="Y341" i="1"/>
  <c r="U347" i="1"/>
  <c r="T347" i="1"/>
  <c r="U345" i="1"/>
  <c r="T345" i="1"/>
  <c r="U343" i="1"/>
  <c r="T343" i="1"/>
  <c r="U341" i="1"/>
  <c r="T341" i="1"/>
  <c r="S347" i="1"/>
  <c r="R347" i="1"/>
  <c r="S345" i="1"/>
  <c r="R345" i="1"/>
  <c r="S343" i="1"/>
  <c r="R343" i="1"/>
  <c r="S341" i="1"/>
  <c r="R341" i="1"/>
  <c r="O347" i="1"/>
  <c r="N347" i="1"/>
  <c r="O345" i="1"/>
  <c r="N345" i="1"/>
  <c r="O343" i="1"/>
  <c r="N343" i="1"/>
  <c r="O341" i="1"/>
  <c r="N341" i="1"/>
  <c r="H347" i="1"/>
  <c r="G347" i="1"/>
  <c r="H345" i="1"/>
  <c r="G345" i="1"/>
  <c r="H343" i="1"/>
  <c r="G343" i="1"/>
  <c r="H341" i="1"/>
  <c r="G341" i="1"/>
  <c r="AF315" i="1"/>
  <c r="AF313" i="1"/>
  <c r="AF311" i="1"/>
  <c r="AF309" i="1"/>
  <c r="Y387" i="1"/>
  <c r="Y385" i="1"/>
  <c r="Y383" i="1"/>
  <c r="T387" i="1"/>
  <c r="T385" i="1"/>
  <c r="T383" i="1"/>
  <c r="U369" i="1"/>
  <c r="U367" i="1"/>
  <c r="U365" i="1"/>
  <c r="X387" i="1"/>
  <c r="X385" i="1"/>
  <c r="X383" i="1"/>
  <c r="M387" i="1"/>
  <c r="M385" i="1"/>
  <c r="M383" i="1"/>
  <c r="W387" i="1"/>
  <c r="W385" i="1"/>
  <c r="W383" i="1"/>
  <c r="P337" i="1"/>
  <c r="P335" i="1"/>
  <c r="P333" i="1"/>
  <c r="O355" i="1"/>
  <c r="O353" i="1"/>
  <c r="O351" i="1"/>
  <c r="I337" i="1"/>
  <c r="I335" i="1"/>
  <c r="I333" i="1"/>
  <c r="AF323" i="1"/>
  <c r="AF321" i="1"/>
  <c r="AF319" i="1"/>
  <c r="AG305" i="1"/>
  <c r="AG303" i="1"/>
  <c r="AG301" i="1"/>
  <c r="N369" i="1"/>
  <c r="N367" i="1"/>
  <c r="N365" i="1"/>
  <c r="G369" i="1"/>
  <c r="G367" i="1"/>
  <c r="G365" i="1"/>
  <c r="AD337" i="1"/>
  <c r="AD335" i="1"/>
  <c r="AD333" i="1"/>
  <c r="AC355" i="1"/>
  <c r="AC353" i="1"/>
  <c r="AC351" i="1"/>
  <c r="N355" i="1"/>
  <c r="N353" i="1"/>
  <c r="N351" i="1"/>
  <c r="H355" i="1"/>
  <c r="H353" i="1"/>
  <c r="H351" i="1"/>
  <c r="Y323" i="1"/>
  <c r="X323" i="1"/>
  <c r="Y321" i="1"/>
  <c r="X321" i="1"/>
  <c r="Y319" i="1"/>
  <c r="X319" i="1"/>
  <c r="R323" i="1"/>
  <c r="Q323" i="1"/>
  <c r="R321" i="1"/>
  <c r="Q321" i="1"/>
  <c r="R319" i="1"/>
  <c r="Q319" i="1"/>
  <c r="K323" i="1"/>
  <c r="J323" i="1"/>
  <c r="K321" i="1"/>
  <c r="J321" i="1"/>
  <c r="K319" i="1"/>
  <c r="J319" i="1"/>
  <c r="D323" i="1"/>
  <c r="C323" i="1"/>
  <c r="D321" i="1"/>
  <c r="C321" i="1"/>
  <c r="D319" i="1"/>
  <c r="C319" i="1"/>
  <c r="AA291" i="1"/>
  <c r="Z291" i="1"/>
  <c r="AA289" i="1"/>
  <c r="Z289" i="1"/>
  <c r="AA287" i="1"/>
  <c r="Z287" i="1"/>
  <c r="T291" i="1"/>
  <c r="S291" i="1"/>
  <c r="T289" i="1"/>
  <c r="S289" i="1"/>
  <c r="T287" i="1"/>
  <c r="S287" i="1"/>
  <c r="M291" i="1"/>
  <c r="L291" i="1"/>
  <c r="M289" i="1"/>
  <c r="L289" i="1"/>
  <c r="M287" i="1"/>
  <c r="L287" i="1"/>
  <c r="F291" i="1"/>
  <c r="E291" i="1"/>
  <c r="F289" i="1"/>
  <c r="E289" i="1"/>
  <c r="F287" i="1"/>
  <c r="E287" i="1"/>
  <c r="AD259" i="1"/>
  <c r="AC259" i="1"/>
  <c r="AD257" i="1"/>
  <c r="AC257" i="1"/>
  <c r="AD255" i="1"/>
  <c r="AC255" i="1"/>
  <c r="G389" i="1"/>
  <c r="G387" i="1"/>
  <c r="G385" i="1"/>
  <c r="G383" i="1"/>
  <c r="G381" i="1"/>
  <c r="G379" i="1"/>
  <c r="G377" i="1"/>
  <c r="G375" i="1"/>
  <c r="G373" i="1"/>
  <c r="G371" i="1"/>
  <c r="G363" i="1"/>
  <c r="Z311" i="1"/>
  <c r="Z309" i="1"/>
  <c r="Z307" i="1"/>
  <c r="P261" i="1"/>
  <c r="AD261" i="1"/>
  <c r="AC261" i="1"/>
  <c r="W261" i="1"/>
  <c r="V261" i="1"/>
  <c r="Z305" i="1"/>
  <c r="Z303" i="1"/>
  <c r="Z301" i="1"/>
  <c r="Y325" i="1"/>
  <c r="X325" i="1"/>
  <c r="R325" i="1"/>
  <c r="Q325" i="1"/>
  <c r="K325" i="1"/>
  <c r="J325" i="1"/>
  <c r="D325" i="1"/>
  <c r="C325" i="1"/>
  <c r="AA293" i="1"/>
  <c r="Z293" i="1"/>
  <c r="T293" i="1"/>
  <c r="S293" i="1"/>
  <c r="M293" i="1"/>
  <c r="L293" i="1"/>
  <c r="F293" i="1"/>
  <c r="E293" i="1"/>
  <c r="W259" i="1"/>
  <c r="W257" i="1"/>
  <c r="W255" i="1"/>
  <c r="V259" i="1"/>
  <c r="V257" i="1"/>
  <c r="V255" i="1"/>
  <c r="M347" i="1"/>
  <c r="L347" i="1"/>
  <c r="M345" i="1"/>
  <c r="L345" i="1"/>
  <c r="M343" i="1"/>
  <c r="L343" i="1"/>
  <c r="M341" i="1"/>
  <c r="L341" i="1"/>
  <c r="F347" i="1"/>
  <c r="E347" i="1"/>
  <c r="F345" i="1"/>
  <c r="E345" i="1"/>
  <c r="F343" i="1"/>
  <c r="E343" i="1"/>
  <c r="F341" i="1"/>
  <c r="E341" i="1"/>
  <c r="AD315" i="1"/>
  <c r="AC315" i="1"/>
  <c r="AB315" i="1"/>
  <c r="AD313" i="1"/>
  <c r="AC313" i="1"/>
  <c r="AB313" i="1"/>
  <c r="AD311" i="1"/>
  <c r="AC311" i="1"/>
  <c r="AB311" i="1"/>
  <c r="AD309" i="1"/>
  <c r="AC309" i="1"/>
  <c r="AB309" i="1"/>
  <c r="W315" i="1"/>
  <c r="W313" i="1"/>
  <c r="W311" i="1"/>
  <c r="W309" i="1"/>
  <c r="V315" i="1"/>
  <c r="U315" i="1"/>
  <c r="V313" i="1"/>
  <c r="U313" i="1"/>
  <c r="V311" i="1"/>
  <c r="U311" i="1"/>
  <c r="V309" i="1"/>
  <c r="U309" i="1"/>
  <c r="P315" i="1"/>
  <c r="P313" i="1"/>
  <c r="P311" i="1"/>
  <c r="P309" i="1"/>
  <c r="O315" i="1"/>
  <c r="O313" i="1"/>
  <c r="O311" i="1"/>
  <c r="O309" i="1"/>
  <c r="I315" i="1"/>
  <c r="I313" i="1"/>
  <c r="I311" i="1"/>
  <c r="I309" i="1"/>
  <c r="AF283" i="1"/>
  <c r="AF281" i="1"/>
  <c r="AF279" i="1"/>
  <c r="AF277" i="1"/>
  <c r="R283" i="1"/>
  <c r="R281" i="1"/>
  <c r="R279" i="1"/>
  <c r="R277" i="1"/>
  <c r="K283" i="1"/>
  <c r="K281" i="1"/>
  <c r="K279" i="1"/>
  <c r="K277" i="1"/>
  <c r="D283" i="1"/>
  <c r="D281" i="1"/>
  <c r="D279" i="1"/>
  <c r="D277" i="1"/>
  <c r="AB251" i="1"/>
  <c r="AB249" i="1"/>
  <c r="AB247" i="1"/>
  <c r="AB245" i="1"/>
  <c r="U251" i="1"/>
  <c r="U249" i="1"/>
  <c r="U247" i="1"/>
  <c r="U245" i="1"/>
  <c r="Y315" i="1"/>
  <c r="X315" i="1"/>
  <c r="Y313" i="1"/>
  <c r="X313" i="1"/>
  <c r="Y311" i="1"/>
  <c r="X311" i="1"/>
  <c r="Y309" i="1"/>
  <c r="X309" i="1"/>
  <c r="R315" i="1"/>
  <c r="Q315" i="1"/>
  <c r="R313" i="1"/>
  <c r="Q313" i="1"/>
  <c r="R311" i="1"/>
  <c r="Q311" i="1"/>
  <c r="R309" i="1"/>
  <c r="Q309" i="1"/>
  <c r="K315" i="1"/>
  <c r="J315" i="1"/>
  <c r="K313" i="1"/>
  <c r="J313" i="1"/>
  <c r="K311" i="1"/>
  <c r="J311" i="1"/>
  <c r="K309" i="1"/>
  <c r="J309" i="1"/>
  <c r="H315" i="1"/>
  <c r="G315" i="1"/>
  <c r="H313" i="1"/>
  <c r="G313" i="1"/>
  <c r="H311" i="1"/>
  <c r="G311" i="1"/>
  <c r="H309" i="1"/>
  <c r="G309" i="1"/>
  <c r="D315" i="1"/>
  <c r="C315" i="1"/>
  <c r="D313" i="1"/>
  <c r="C313" i="1"/>
  <c r="D311" i="1"/>
  <c r="C311" i="1"/>
  <c r="D309" i="1"/>
  <c r="C309" i="1"/>
  <c r="AE283" i="1"/>
  <c r="AD283" i="1"/>
  <c r="AE281" i="1"/>
  <c r="AD281" i="1"/>
  <c r="AE279" i="1"/>
  <c r="AD279" i="1"/>
  <c r="AE277" i="1"/>
  <c r="AD277" i="1"/>
  <c r="AA283" i="1"/>
  <c r="AA281" i="1"/>
  <c r="AA279" i="1"/>
  <c r="AA277" i="1"/>
  <c r="Z283" i="1"/>
  <c r="Z281" i="1"/>
  <c r="Z279" i="1"/>
  <c r="Z277" i="1"/>
  <c r="X283" i="1"/>
  <c r="X281" i="1"/>
  <c r="X279" i="1"/>
  <c r="X277" i="1"/>
  <c r="W283" i="1"/>
  <c r="W281" i="1"/>
  <c r="W279" i="1"/>
  <c r="W277" i="1"/>
  <c r="M283" i="1"/>
  <c r="M281" i="1"/>
  <c r="M279" i="1"/>
  <c r="M277" i="1"/>
  <c r="T283" i="1"/>
  <c r="T281" i="1"/>
  <c r="T279" i="1"/>
  <c r="T277" i="1"/>
  <c r="S283" i="1"/>
  <c r="Q283" i="1"/>
  <c r="P283" i="1"/>
  <c r="S281" i="1"/>
  <c r="Q281" i="1"/>
  <c r="P281" i="1"/>
  <c r="S279" i="1"/>
  <c r="Q279" i="1"/>
  <c r="P279" i="1"/>
  <c r="S277" i="1"/>
  <c r="Q277" i="1"/>
  <c r="P277" i="1"/>
  <c r="L283" i="1"/>
  <c r="J283" i="1"/>
  <c r="L281" i="1"/>
  <c r="J281" i="1"/>
  <c r="L279" i="1"/>
  <c r="J279" i="1"/>
  <c r="L277" i="1"/>
  <c r="J277" i="1"/>
  <c r="E283" i="1"/>
  <c r="E281" i="1"/>
  <c r="E279" i="1"/>
  <c r="E277" i="1"/>
  <c r="F283" i="1"/>
  <c r="F281" i="1"/>
  <c r="F279" i="1"/>
  <c r="F277" i="1"/>
  <c r="C283" i="1"/>
  <c r="C281" i="1"/>
  <c r="C279" i="1"/>
  <c r="C277" i="1"/>
  <c r="G277" i="1"/>
  <c r="G279" i="1"/>
  <c r="G281" i="1"/>
  <c r="G283" i="1"/>
  <c r="AG251" i="1"/>
  <c r="AG249" i="1"/>
  <c r="AG247" i="1"/>
  <c r="AG245" i="1"/>
  <c r="AD251" i="1"/>
  <c r="AC251" i="1"/>
  <c r="AA251" i="1"/>
  <c r="Z251" i="1"/>
  <c r="AD249" i="1"/>
  <c r="AC249" i="1"/>
  <c r="AA249" i="1"/>
  <c r="Z249" i="1"/>
  <c r="AD247" i="1"/>
  <c r="AC247" i="1"/>
  <c r="AA247" i="1"/>
  <c r="Z247" i="1"/>
  <c r="AD245" i="1"/>
  <c r="AC245" i="1"/>
  <c r="AA245" i="1"/>
  <c r="Z245" i="1"/>
  <c r="V251" i="1"/>
  <c r="V249" i="1"/>
  <c r="V247" i="1"/>
  <c r="V245" i="1"/>
  <c r="S251" i="1"/>
  <c r="S249" i="1"/>
  <c r="S247" i="1"/>
  <c r="S245" i="1"/>
  <c r="W251" i="1"/>
  <c r="T251" i="1"/>
  <c r="W249" i="1"/>
  <c r="T249" i="1"/>
  <c r="W247" i="1"/>
  <c r="T247" i="1"/>
  <c r="W245" i="1"/>
  <c r="T245" i="1"/>
  <c r="P251" i="1"/>
  <c r="P249" i="1"/>
  <c r="P247" i="1"/>
  <c r="P245" i="1"/>
  <c r="N251" i="1"/>
  <c r="N249" i="1"/>
  <c r="N247" i="1"/>
  <c r="N245" i="1"/>
  <c r="S369" i="1"/>
  <c r="R369" i="1"/>
  <c r="S367" i="1"/>
  <c r="R367" i="1"/>
  <c r="S365" i="1"/>
  <c r="R365" i="1"/>
  <c r="S363" i="1"/>
  <c r="R363" i="1"/>
  <c r="Q369" i="1"/>
  <c r="P369" i="1"/>
  <c r="Q367" i="1"/>
  <c r="P367" i="1"/>
  <c r="Q365" i="1"/>
  <c r="P365" i="1"/>
  <c r="Q363" i="1"/>
  <c r="P363" i="1"/>
  <c r="L369" i="1"/>
  <c r="K369" i="1"/>
  <c r="J369" i="1"/>
  <c r="I369" i="1"/>
  <c r="L367" i="1"/>
  <c r="K367" i="1"/>
  <c r="J367" i="1"/>
  <c r="I367" i="1"/>
  <c r="L365" i="1"/>
  <c r="K365" i="1"/>
  <c r="J365" i="1"/>
  <c r="I365" i="1"/>
  <c r="L363" i="1"/>
  <c r="K363" i="1"/>
  <c r="J363" i="1"/>
  <c r="I363" i="1"/>
  <c r="F369" i="1"/>
  <c r="E369" i="1"/>
  <c r="D369" i="1"/>
  <c r="C369" i="1"/>
  <c r="F367" i="1"/>
  <c r="E367" i="1"/>
  <c r="D367" i="1"/>
  <c r="C367" i="1"/>
  <c r="F365" i="1"/>
  <c r="E365" i="1"/>
  <c r="D365" i="1"/>
  <c r="C365" i="1"/>
  <c r="F363" i="1"/>
  <c r="E363" i="1"/>
  <c r="D363" i="1"/>
  <c r="C363" i="1"/>
  <c r="AB337" i="1"/>
  <c r="AA337" i="1"/>
  <c r="Z337" i="1"/>
  <c r="Y337" i="1"/>
  <c r="AB335" i="1"/>
  <c r="AA335" i="1"/>
  <c r="Z335" i="1"/>
  <c r="Y335" i="1"/>
  <c r="AB333" i="1"/>
  <c r="AA333" i="1"/>
  <c r="Z333" i="1"/>
  <c r="Y333" i="1"/>
  <c r="AB331" i="1"/>
  <c r="AA331" i="1"/>
  <c r="Z331" i="1"/>
  <c r="Y331" i="1"/>
  <c r="U337" i="1"/>
  <c r="T337" i="1"/>
  <c r="S337" i="1"/>
  <c r="R337" i="1"/>
  <c r="U335" i="1"/>
  <c r="T335" i="1"/>
  <c r="S335" i="1"/>
  <c r="R335" i="1"/>
  <c r="U333" i="1"/>
  <c r="T333" i="1"/>
  <c r="S333" i="1"/>
  <c r="R333" i="1"/>
  <c r="U331" i="1"/>
  <c r="T331" i="1"/>
  <c r="S331" i="1"/>
  <c r="R331" i="1"/>
  <c r="N337" i="1"/>
  <c r="N335" i="1"/>
  <c r="N333" i="1"/>
  <c r="N331" i="1"/>
  <c r="M337" i="1"/>
  <c r="M335" i="1"/>
  <c r="M333" i="1"/>
  <c r="M331" i="1"/>
  <c r="L337" i="1"/>
  <c r="K337" i="1"/>
  <c r="L335" i="1"/>
  <c r="K335" i="1"/>
  <c r="L333" i="1"/>
  <c r="K333" i="1"/>
  <c r="L331" i="1"/>
  <c r="K331" i="1"/>
  <c r="G337" i="1"/>
  <c r="G335" i="1"/>
  <c r="G333" i="1"/>
  <c r="G331" i="1"/>
  <c r="F337" i="1"/>
  <c r="E337" i="1"/>
  <c r="F335" i="1"/>
  <c r="E335" i="1"/>
  <c r="F333" i="1"/>
  <c r="E333" i="1"/>
  <c r="F331" i="1"/>
  <c r="E331" i="1"/>
  <c r="AD305" i="1"/>
  <c r="AC305" i="1"/>
  <c r="AB305" i="1"/>
  <c r="AD303" i="1"/>
  <c r="AC303" i="1"/>
  <c r="AB303" i="1"/>
  <c r="AD301" i="1"/>
  <c r="AC301" i="1"/>
  <c r="AB301" i="1"/>
  <c r="AD299" i="1"/>
  <c r="AC299" i="1"/>
  <c r="AB299" i="1"/>
  <c r="W305" i="1"/>
  <c r="V305" i="1"/>
  <c r="U305" i="1"/>
  <c r="W303" i="1"/>
  <c r="V303" i="1"/>
  <c r="U303" i="1"/>
  <c r="W301" i="1"/>
  <c r="V301" i="1"/>
  <c r="U301" i="1"/>
  <c r="W299" i="1"/>
  <c r="V299" i="1"/>
  <c r="U299" i="1"/>
  <c r="P305" i="1"/>
  <c r="O305" i="1"/>
  <c r="P303" i="1"/>
  <c r="O303" i="1"/>
  <c r="P301" i="1"/>
  <c r="O301" i="1"/>
  <c r="P299" i="1"/>
  <c r="O299" i="1"/>
  <c r="I305" i="1"/>
  <c r="H305" i="1"/>
  <c r="G305" i="1"/>
  <c r="I303" i="1"/>
  <c r="H303" i="1"/>
  <c r="G303" i="1"/>
  <c r="I301" i="1"/>
  <c r="H301" i="1"/>
  <c r="G301" i="1"/>
  <c r="I299" i="1"/>
  <c r="H299" i="1"/>
  <c r="G299" i="1"/>
  <c r="AF273" i="1"/>
  <c r="AE273" i="1"/>
  <c r="AD273" i="1"/>
  <c r="AF271" i="1"/>
  <c r="AE271" i="1"/>
  <c r="AD271" i="1"/>
  <c r="AF269" i="1"/>
  <c r="AE269" i="1"/>
  <c r="AD269" i="1"/>
  <c r="AF267" i="1"/>
  <c r="AE267" i="1"/>
  <c r="AD267" i="1"/>
  <c r="Y273" i="1"/>
  <c r="X273" i="1"/>
  <c r="W273" i="1"/>
  <c r="Y271" i="1"/>
  <c r="X271" i="1"/>
  <c r="W271" i="1"/>
  <c r="Y269" i="1"/>
  <c r="X269" i="1"/>
  <c r="W269" i="1"/>
  <c r="Y267" i="1"/>
  <c r="X267" i="1"/>
  <c r="W267" i="1"/>
  <c r="R273" i="1"/>
  <c r="Q273" i="1"/>
  <c r="P273" i="1"/>
  <c r="R271" i="1"/>
  <c r="Q271" i="1"/>
  <c r="P271" i="1"/>
  <c r="R269" i="1"/>
  <c r="Q269" i="1"/>
  <c r="P269" i="1"/>
  <c r="R267" i="1"/>
  <c r="Q267" i="1"/>
  <c r="P267" i="1"/>
  <c r="K273" i="1"/>
  <c r="J273" i="1"/>
  <c r="K271" i="1"/>
  <c r="J271" i="1"/>
  <c r="K269" i="1"/>
  <c r="J269" i="1"/>
  <c r="K267" i="1"/>
  <c r="J267" i="1"/>
  <c r="D273" i="1"/>
  <c r="C273" i="1"/>
  <c r="D271" i="1"/>
  <c r="C271" i="1"/>
  <c r="D269" i="1"/>
  <c r="C269" i="1"/>
  <c r="D267" i="1"/>
  <c r="C267" i="1"/>
  <c r="AG241" i="1"/>
  <c r="AG239" i="1"/>
  <c r="AG237" i="1"/>
  <c r="AG235" i="1"/>
  <c r="AB241" i="1"/>
  <c r="AA241" i="1"/>
  <c r="Z241" i="1"/>
  <c r="AB239" i="1"/>
  <c r="AA239" i="1"/>
  <c r="Z239" i="1"/>
  <c r="AB237" i="1"/>
  <c r="AA237" i="1"/>
  <c r="Z237" i="1"/>
  <c r="AB235" i="1"/>
  <c r="AA235" i="1"/>
  <c r="Z235" i="1"/>
  <c r="U241" i="1"/>
  <c r="T241" i="1"/>
  <c r="S241" i="1"/>
  <c r="U239" i="1"/>
  <c r="T239" i="1"/>
  <c r="S239" i="1"/>
  <c r="U237" i="1"/>
  <c r="T237" i="1"/>
  <c r="S237" i="1"/>
  <c r="U235" i="1"/>
  <c r="T235" i="1"/>
  <c r="S235" i="1"/>
  <c r="N241" i="1"/>
  <c r="N239" i="1"/>
  <c r="N237" i="1"/>
  <c r="N235" i="1"/>
  <c r="F389" i="1"/>
  <c r="E389" i="1"/>
  <c r="D389" i="1"/>
  <c r="C389" i="1"/>
  <c r="F387" i="1"/>
  <c r="E387" i="1"/>
  <c r="D387" i="1"/>
  <c r="C387" i="1"/>
  <c r="F385" i="1"/>
  <c r="E385" i="1"/>
  <c r="D385" i="1"/>
  <c r="C385" i="1"/>
  <c r="F383" i="1"/>
  <c r="E383" i="1"/>
  <c r="D383" i="1"/>
  <c r="C383" i="1"/>
  <c r="F381" i="1"/>
  <c r="E381" i="1"/>
  <c r="D381" i="1"/>
  <c r="C381" i="1"/>
  <c r="F379" i="1"/>
  <c r="E379" i="1"/>
  <c r="D379" i="1"/>
  <c r="C379" i="1"/>
  <c r="F377" i="1"/>
  <c r="E377" i="1"/>
  <c r="D377" i="1"/>
  <c r="C377" i="1"/>
  <c r="F375" i="1"/>
  <c r="E375" i="1"/>
  <c r="D375" i="1"/>
  <c r="C375" i="1"/>
  <c r="F373" i="1"/>
  <c r="E373" i="1"/>
  <c r="D373" i="1"/>
  <c r="C373" i="1"/>
  <c r="F371" i="1"/>
  <c r="E371" i="1"/>
  <c r="D371" i="1"/>
  <c r="C371" i="1"/>
  <c r="M389" i="1"/>
  <c r="L389" i="1"/>
  <c r="K389" i="1"/>
  <c r="J389" i="1"/>
  <c r="I389" i="1"/>
  <c r="L387" i="1"/>
  <c r="K387" i="1"/>
  <c r="J387" i="1"/>
  <c r="I387" i="1"/>
  <c r="L385" i="1"/>
  <c r="K385" i="1"/>
  <c r="J385" i="1"/>
  <c r="I385" i="1"/>
  <c r="L383" i="1"/>
  <c r="K383" i="1"/>
  <c r="J383" i="1"/>
  <c r="I383" i="1"/>
  <c r="M381" i="1"/>
  <c r="L381" i="1"/>
  <c r="K381" i="1"/>
  <c r="J381" i="1"/>
  <c r="I381" i="1"/>
  <c r="M379" i="1"/>
  <c r="L379" i="1"/>
  <c r="K379" i="1"/>
  <c r="J379" i="1"/>
  <c r="I379" i="1"/>
  <c r="M377" i="1"/>
  <c r="L377" i="1"/>
  <c r="K377" i="1"/>
  <c r="J377" i="1"/>
  <c r="I377" i="1"/>
  <c r="M375" i="1"/>
  <c r="L375" i="1"/>
  <c r="K375" i="1"/>
  <c r="J375" i="1"/>
  <c r="I375" i="1"/>
  <c r="M373" i="1"/>
  <c r="L373" i="1"/>
  <c r="K373" i="1"/>
  <c r="J373" i="1"/>
  <c r="I373" i="1"/>
  <c r="M371" i="1"/>
  <c r="L371" i="1"/>
  <c r="K371" i="1"/>
  <c r="J371" i="1"/>
  <c r="I371" i="1"/>
  <c r="M369" i="1"/>
  <c r="M367" i="1"/>
  <c r="M365" i="1"/>
  <c r="M363" i="1"/>
  <c r="H357" i="1"/>
  <c r="G357" i="1"/>
  <c r="F357" i="1"/>
  <c r="E357" i="1"/>
  <c r="G355" i="1"/>
  <c r="F355" i="1"/>
  <c r="E355" i="1"/>
  <c r="G353" i="1"/>
  <c r="F353" i="1"/>
  <c r="E353" i="1"/>
  <c r="G351" i="1"/>
  <c r="F351" i="1"/>
  <c r="E351" i="1"/>
  <c r="H349" i="1"/>
  <c r="G349" i="1"/>
  <c r="F349" i="1"/>
  <c r="E349" i="1"/>
  <c r="H339" i="1"/>
  <c r="G339" i="1"/>
  <c r="F339" i="1"/>
  <c r="E339" i="1"/>
  <c r="H337" i="1"/>
  <c r="H335" i="1"/>
  <c r="H333" i="1"/>
  <c r="H331" i="1"/>
  <c r="O357" i="1"/>
  <c r="N357" i="1"/>
  <c r="M357" i="1"/>
  <c r="L357" i="1"/>
  <c r="K357" i="1"/>
  <c r="M355" i="1"/>
  <c r="L355" i="1"/>
  <c r="K355" i="1"/>
  <c r="M353" i="1"/>
  <c r="L353" i="1"/>
  <c r="K353" i="1"/>
  <c r="M351" i="1"/>
  <c r="L351" i="1"/>
  <c r="K351" i="1"/>
  <c r="O349" i="1"/>
  <c r="N349" i="1"/>
  <c r="M349" i="1"/>
  <c r="L349" i="1"/>
  <c r="K349" i="1"/>
  <c r="O339" i="1"/>
  <c r="N339" i="1"/>
  <c r="M339" i="1"/>
  <c r="L339" i="1"/>
  <c r="K339" i="1"/>
  <c r="O337" i="1"/>
  <c r="O335" i="1"/>
  <c r="O333" i="1"/>
  <c r="O331" i="1"/>
  <c r="U357" i="1"/>
  <c r="T357" i="1"/>
  <c r="S357" i="1"/>
  <c r="R357" i="1"/>
  <c r="U355" i="1"/>
  <c r="T355" i="1"/>
  <c r="S355" i="1"/>
  <c r="R355" i="1"/>
  <c r="U353" i="1"/>
  <c r="T353" i="1"/>
  <c r="S353" i="1"/>
  <c r="R353" i="1"/>
  <c r="U351" i="1"/>
  <c r="T351" i="1"/>
  <c r="S351" i="1"/>
  <c r="R351" i="1"/>
  <c r="U349" i="1"/>
  <c r="T349" i="1"/>
  <c r="S349" i="1"/>
  <c r="R349" i="1"/>
  <c r="U339" i="1"/>
  <c r="T339" i="1"/>
  <c r="S339" i="1"/>
  <c r="R339" i="1"/>
  <c r="AC357" i="1"/>
  <c r="AB357" i="1"/>
  <c r="AA357" i="1"/>
  <c r="Z357" i="1"/>
  <c r="Y357" i="1"/>
  <c r="AB355" i="1"/>
  <c r="AA355" i="1"/>
  <c r="Z355" i="1"/>
  <c r="Y355" i="1"/>
  <c r="AB353" i="1"/>
  <c r="AA353" i="1"/>
  <c r="Z353" i="1"/>
  <c r="Y353" i="1"/>
  <c r="AB351" i="1"/>
  <c r="AA351" i="1"/>
  <c r="Z351" i="1"/>
  <c r="Y351" i="1"/>
  <c r="AC349" i="1"/>
  <c r="AB349" i="1"/>
  <c r="AA349" i="1"/>
  <c r="Z349" i="1"/>
  <c r="Y349" i="1"/>
  <c r="AC347" i="1"/>
  <c r="AB347" i="1"/>
  <c r="AA347" i="1"/>
  <c r="AC345" i="1"/>
  <c r="AB345" i="1"/>
  <c r="AA345" i="1"/>
  <c r="AC343" i="1"/>
  <c r="AB343" i="1"/>
  <c r="AA343" i="1"/>
  <c r="AC341" i="1"/>
  <c r="AB341" i="1"/>
  <c r="AA341" i="1"/>
  <c r="AC339" i="1"/>
  <c r="AB339" i="1"/>
  <c r="AA339" i="1"/>
  <c r="Z339" i="1"/>
  <c r="Y339" i="1"/>
  <c r="AC337" i="1"/>
  <c r="AC335" i="1"/>
  <c r="AC333" i="1"/>
  <c r="AC331" i="1"/>
  <c r="D317" i="1"/>
  <c r="C317" i="1"/>
  <c r="D307" i="1"/>
  <c r="C307" i="1"/>
  <c r="D305" i="1"/>
  <c r="C305" i="1"/>
  <c r="D303" i="1"/>
  <c r="C303" i="1"/>
  <c r="D301" i="1"/>
  <c r="C301" i="1"/>
  <c r="D299" i="1"/>
  <c r="C299" i="1"/>
  <c r="P325" i="1"/>
  <c r="O325" i="1"/>
  <c r="P323" i="1"/>
  <c r="O323" i="1"/>
  <c r="P321" i="1"/>
  <c r="O321" i="1"/>
  <c r="P319" i="1"/>
  <c r="O319" i="1"/>
  <c r="R317" i="1"/>
  <c r="Q317" i="1"/>
  <c r="P317" i="1"/>
  <c r="O317" i="1"/>
  <c r="R307" i="1"/>
  <c r="Q307" i="1"/>
  <c r="P307" i="1"/>
  <c r="O307" i="1"/>
  <c r="R305" i="1"/>
  <c r="Q305" i="1"/>
  <c r="R303" i="1"/>
  <c r="Q303" i="1"/>
  <c r="R301" i="1"/>
  <c r="Q301" i="1"/>
  <c r="R299" i="1"/>
  <c r="Q299" i="1"/>
  <c r="I325" i="1"/>
  <c r="H325" i="1"/>
  <c r="G325" i="1"/>
  <c r="I323" i="1"/>
  <c r="H323" i="1"/>
  <c r="G323" i="1"/>
  <c r="I321" i="1"/>
  <c r="H321" i="1"/>
  <c r="G321" i="1"/>
  <c r="I319" i="1"/>
  <c r="H319" i="1"/>
  <c r="G319" i="1"/>
  <c r="K317" i="1"/>
  <c r="J317" i="1"/>
  <c r="I317" i="1"/>
  <c r="H317" i="1"/>
  <c r="G317" i="1"/>
  <c r="K307" i="1"/>
  <c r="J307" i="1"/>
  <c r="I307" i="1"/>
  <c r="H307" i="1"/>
  <c r="G307" i="1"/>
  <c r="K305" i="1"/>
  <c r="J305" i="1"/>
  <c r="K303" i="1"/>
  <c r="J303" i="1"/>
  <c r="K301" i="1"/>
  <c r="J301" i="1"/>
  <c r="K299" i="1"/>
  <c r="J299" i="1"/>
  <c r="W325" i="1"/>
  <c r="V325" i="1"/>
  <c r="U325" i="1"/>
  <c r="W323" i="1"/>
  <c r="V323" i="1"/>
  <c r="U323" i="1"/>
  <c r="W321" i="1"/>
  <c r="V321" i="1"/>
  <c r="U321" i="1"/>
  <c r="W319" i="1"/>
  <c r="V319" i="1"/>
  <c r="U319" i="1"/>
  <c r="Y317" i="1"/>
  <c r="X317" i="1"/>
  <c r="W317" i="1"/>
  <c r="V317" i="1"/>
  <c r="U317" i="1"/>
  <c r="Y307" i="1"/>
  <c r="X307" i="1"/>
  <c r="W307" i="1"/>
  <c r="V307" i="1"/>
  <c r="U307" i="1"/>
  <c r="Y305" i="1"/>
  <c r="X305" i="1"/>
  <c r="Y303" i="1"/>
  <c r="X303" i="1"/>
  <c r="Y301" i="1"/>
  <c r="X301" i="1"/>
  <c r="Y299" i="1"/>
  <c r="X299" i="1"/>
  <c r="AF325" i="1"/>
  <c r="AE325" i="1"/>
  <c r="AD325" i="1"/>
  <c r="AC325" i="1"/>
  <c r="AB325" i="1"/>
  <c r="AE323" i="1"/>
  <c r="AD323" i="1"/>
  <c r="AC323" i="1"/>
  <c r="AB323" i="1"/>
  <c r="AE321" i="1"/>
  <c r="AD321" i="1"/>
  <c r="AC321" i="1"/>
  <c r="AB321" i="1"/>
  <c r="AE319" i="1"/>
  <c r="AD319" i="1"/>
  <c r="AC319" i="1"/>
  <c r="AB319" i="1"/>
  <c r="AF317" i="1"/>
  <c r="AE317" i="1"/>
  <c r="AD317" i="1"/>
  <c r="AC317" i="1"/>
  <c r="AB317" i="1"/>
  <c r="AE315" i="1"/>
  <c r="AE313" i="1"/>
  <c r="AE311" i="1"/>
  <c r="AE309" i="1"/>
  <c r="AF307" i="1"/>
  <c r="AE307" i="1"/>
  <c r="AD307" i="1"/>
  <c r="AC307" i="1"/>
  <c r="AB307" i="1"/>
  <c r="AF305" i="1"/>
  <c r="AE305" i="1"/>
  <c r="AF303" i="1"/>
  <c r="AE303" i="1"/>
  <c r="AF301" i="1"/>
  <c r="AE301" i="1"/>
  <c r="AF299" i="1"/>
  <c r="AE299" i="1"/>
  <c r="AF293" i="1"/>
  <c r="AE293" i="1"/>
  <c r="AD293" i="1"/>
  <c r="AF291" i="1"/>
  <c r="AE291" i="1"/>
  <c r="AD291" i="1"/>
  <c r="AF289" i="1"/>
  <c r="AE289" i="1"/>
  <c r="AD289" i="1"/>
  <c r="AF287" i="1"/>
  <c r="AE287" i="1"/>
  <c r="AD287" i="1"/>
  <c r="AF285" i="1"/>
  <c r="AE285" i="1"/>
  <c r="AD285" i="1"/>
  <c r="AF275" i="1"/>
  <c r="AE275" i="1"/>
  <c r="AD275" i="1"/>
  <c r="D293" i="1"/>
  <c r="C293" i="1"/>
  <c r="D291" i="1"/>
  <c r="C291" i="1"/>
  <c r="D289" i="1"/>
  <c r="C289" i="1"/>
  <c r="D287" i="1"/>
  <c r="C287" i="1"/>
  <c r="F285" i="1"/>
  <c r="E285" i="1"/>
  <c r="D285" i="1"/>
  <c r="C285" i="1"/>
  <c r="F275" i="1"/>
  <c r="E275" i="1"/>
  <c r="D275" i="1"/>
  <c r="C275" i="1"/>
  <c r="F273" i="1"/>
  <c r="E273" i="1"/>
  <c r="F271" i="1"/>
  <c r="E271" i="1"/>
  <c r="F269" i="1"/>
  <c r="E269" i="1"/>
  <c r="F267" i="1"/>
  <c r="E267" i="1"/>
  <c r="K293" i="1"/>
  <c r="J293" i="1"/>
  <c r="K291" i="1"/>
  <c r="J291" i="1"/>
  <c r="K289" i="1"/>
  <c r="J289" i="1"/>
  <c r="K287" i="1"/>
  <c r="J287" i="1"/>
  <c r="M285" i="1"/>
  <c r="L285" i="1"/>
  <c r="K285" i="1"/>
  <c r="J285" i="1"/>
  <c r="M275" i="1"/>
  <c r="L275" i="1"/>
  <c r="K275" i="1"/>
  <c r="J275" i="1"/>
  <c r="M273" i="1"/>
  <c r="L273" i="1"/>
  <c r="M271" i="1"/>
  <c r="L271" i="1"/>
  <c r="M269" i="1"/>
  <c r="L269" i="1"/>
  <c r="M267" i="1"/>
  <c r="L267" i="1"/>
  <c r="Y293" i="1"/>
  <c r="X293" i="1"/>
  <c r="W293" i="1"/>
  <c r="Y291" i="1"/>
  <c r="X291" i="1"/>
  <c r="W291" i="1"/>
  <c r="Y289" i="1"/>
  <c r="X289" i="1"/>
  <c r="W289" i="1"/>
  <c r="Y287" i="1"/>
  <c r="X287" i="1"/>
  <c r="W287" i="1"/>
  <c r="AA285" i="1"/>
  <c r="Z285" i="1"/>
  <c r="Y285" i="1"/>
  <c r="X285" i="1"/>
  <c r="W285" i="1"/>
  <c r="AA275" i="1"/>
  <c r="Z275" i="1"/>
  <c r="Y275" i="1"/>
  <c r="X275" i="1"/>
  <c r="W275" i="1"/>
  <c r="AA273" i="1"/>
  <c r="Z273" i="1"/>
  <c r="AA271" i="1"/>
  <c r="Z271" i="1"/>
  <c r="AA269" i="1"/>
  <c r="Z269" i="1"/>
  <c r="AA267" i="1"/>
  <c r="Z267" i="1"/>
  <c r="R293" i="1"/>
  <c r="Q293" i="1"/>
  <c r="P293" i="1"/>
  <c r="R291" i="1"/>
  <c r="Q291" i="1"/>
  <c r="P291" i="1"/>
  <c r="R289" i="1"/>
  <c r="Q289" i="1"/>
  <c r="P289" i="1"/>
  <c r="R287" i="1"/>
  <c r="Q287" i="1"/>
  <c r="P287" i="1"/>
  <c r="T285" i="1"/>
  <c r="S285" i="1"/>
  <c r="R285" i="1"/>
  <c r="Q285" i="1"/>
  <c r="P285" i="1"/>
  <c r="T275" i="1"/>
  <c r="S275" i="1"/>
  <c r="R275" i="1"/>
  <c r="Q275" i="1"/>
  <c r="P275" i="1"/>
  <c r="T273" i="1"/>
  <c r="S273" i="1"/>
  <c r="T271" i="1"/>
  <c r="S271" i="1"/>
  <c r="T269" i="1"/>
  <c r="S269" i="1"/>
  <c r="T267" i="1"/>
  <c r="S267" i="1"/>
  <c r="M245" i="1"/>
  <c r="O245" i="1"/>
  <c r="Q245" i="1"/>
  <c r="X245" i="1"/>
  <c r="AE245" i="1"/>
  <c r="S229" i="1"/>
  <c r="S227" i="1"/>
  <c r="S225" i="1"/>
  <c r="S223" i="1"/>
  <c r="Q225" i="1"/>
  <c r="Q223" i="1"/>
  <c r="R229" i="1"/>
  <c r="R227" i="1"/>
  <c r="R225" i="1"/>
  <c r="R223" i="1"/>
  <c r="Q219" i="1"/>
  <c r="Q217" i="1"/>
  <c r="Q215" i="1"/>
  <c r="Q213" i="1"/>
  <c r="AE215" i="1"/>
  <c r="X209" i="1"/>
  <c r="X207" i="1"/>
  <c r="X205" i="1"/>
  <c r="X203" i="1"/>
  <c r="V209" i="1"/>
  <c r="V207" i="1"/>
  <c r="V205" i="1"/>
  <c r="V203" i="1"/>
  <c r="Q209" i="1"/>
  <c r="Q207" i="1"/>
  <c r="Q205" i="1"/>
  <c r="Q203" i="1"/>
  <c r="P209" i="1"/>
  <c r="P207" i="1"/>
  <c r="P205" i="1"/>
  <c r="P203" i="1"/>
  <c r="O209" i="1"/>
  <c r="O207" i="1"/>
  <c r="O205" i="1"/>
  <c r="O203" i="1"/>
  <c r="K209" i="1"/>
  <c r="K207" i="1"/>
  <c r="K205" i="1"/>
  <c r="K203" i="1"/>
  <c r="L209" i="1"/>
  <c r="L207" i="1"/>
  <c r="L205" i="1"/>
  <c r="L203" i="1"/>
  <c r="H209" i="1"/>
  <c r="H207" i="1"/>
  <c r="H205" i="1"/>
  <c r="H203" i="1"/>
  <c r="I209" i="1"/>
  <c r="I207" i="1"/>
  <c r="I205" i="1"/>
  <c r="I203" i="1"/>
  <c r="R389" i="1"/>
  <c r="R387" i="1"/>
  <c r="R385" i="1"/>
  <c r="R383" i="1"/>
  <c r="R381" i="1"/>
  <c r="R379" i="1"/>
  <c r="R377" i="1"/>
  <c r="R375" i="1"/>
  <c r="R373" i="1"/>
  <c r="R371" i="1"/>
  <c r="AF209" i="1"/>
  <c r="AF207" i="1"/>
  <c r="AF205" i="1"/>
  <c r="AF203" i="1"/>
  <c r="Z219" i="1"/>
  <c r="Y219" i="1"/>
  <c r="X219" i="1"/>
  <c r="W219" i="1"/>
  <c r="V219" i="1"/>
  <c r="Z217" i="1"/>
  <c r="Y217" i="1"/>
  <c r="X217" i="1"/>
  <c r="W217" i="1"/>
  <c r="V217" i="1"/>
  <c r="Z215" i="1"/>
  <c r="Y215" i="1"/>
  <c r="X215" i="1"/>
  <c r="W215" i="1"/>
  <c r="V215" i="1"/>
  <c r="Z213" i="1"/>
  <c r="Y213" i="1"/>
  <c r="X213" i="1"/>
  <c r="W213" i="1"/>
  <c r="V213" i="1"/>
  <c r="S219" i="1"/>
  <c r="R219" i="1"/>
  <c r="S217" i="1"/>
  <c r="R217" i="1"/>
  <c r="S215" i="1"/>
  <c r="R215" i="1"/>
  <c r="S213" i="1"/>
  <c r="R213" i="1"/>
  <c r="O219" i="1"/>
  <c r="O217" i="1"/>
  <c r="AD209" i="1"/>
  <c r="AD207" i="1"/>
  <c r="AD205" i="1"/>
  <c r="AD203" i="1"/>
  <c r="Z209" i="1"/>
  <c r="Z207" i="1"/>
  <c r="Z205" i="1"/>
  <c r="Z203" i="1"/>
  <c r="Y209" i="1"/>
  <c r="Y207" i="1"/>
  <c r="Y205" i="1"/>
  <c r="Y203" i="1"/>
  <c r="W209" i="1"/>
  <c r="W207" i="1"/>
  <c r="W205" i="1"/>
  <c r="W203" i="1"/>
  <c r="S209" i="1"/>
  <c r="S207" i="1"/>
  <c r="S205" i="1"/>
  <c r="S203" i="1"/>
  <c r="R209" i="1"/>
  <c r="R207" i="1"/>
  <c r="R205" i="1"/>
  <c r="R203" i="1"/>
  <c r="M241" i="1"/>
  <c r="M239" i="1"/>
  <c r="M237" i="1"/>
  <c r="M235" i="1"/>
  <c r="AG411" i="1"/>
  <c r="AG423" i="1"/>
  <c r="AG425" i="1"/>
  <c r="AG426" i="1"/>
  <c r="AG427" i="1"/>
  <c r="AG428" i="1"/>
  <c r="P259" i="1"/>
  <c r="P257" i="1"/>
  <c r="P255" i="1"/>
  <c r="AB177" i="1"/>
  <c r="AB175" i="1"/>
  <c r="AB173" i="1"/>
  <c r="AB171" i="1"/>
  <c r="Q177" i="1"/>
  <c r="R177" i="1"/>
  <c r="R175" i="1"/>
  <c r="R173" i="1"/>
  <c r="R171" i="1"/>
  <c r="H241" i="1"/>
  <c r="G241" i="1"/>
  <c r="H239" i="1"/>
  <c r="G239" i="1"/>
  <c r="H237" i="1"/>
  <c r="G237" i="1"/>
  <c r="H235" i="1"/>
  <c r="G235" i="1"/>
  <c r="F241" i="1"/>
  <c r="E241" i="1"/>
  <c r="F239" i="1"/>
  <c r="E239" i="1"/>
  <c r="F237" i="1"/>
  <c r="E237" i="1"/>
  <c r="F235" i="1"/>
  <c r="E235" i="1"/>
  <c r="I241" i="1"/>
  <c r="I239" i="1"/>
  <c r="I237" i="1"/>
  <c r="I235" i="1"/>
  <c r="AE177" i="1"/>
  <c r="AE175" i="1"/>
  <c r="AE173" i="1"/>
  <c r="AE171" i="1"/>
  <c r="AA177" i="1"/>
  <c r="AA175" i="1"/>
  <c r="AA173" i="1"/>
  <c r="AA171" i="1"/>
  <c r="S177" i="1"/>
  <c r="S175" i="1"/>
  <c r="S173" i="1"/>
  <c r="S171" i="1"/>
  <c r="P241" i="1"/>
  <c r="O241" i="1"/>
  <c r="P239" i="1"/>
  <c r="O239" i="1"/>
  <c r="P237" i="1"/>
  <c r="O237" i="1"/>
  <c r="P235" i="1"/>
  <c r="O235" i="1"/>
  <c r="W241" i="1"/>
  <c r="V241" i="1"/>
  <c r="W239" i="1"/>
  <c r="V239" i="1"/>
  <c r="W237" i="1"/>
  <c r="V237" i="1"/>
  <c r="W235" i="1"/>
  <c r="V235" i="1"/>
  <c r="L177" i="1"/>
  <c r="L175" i="1"/>
  <c r="L173" i="1"/>
  <c r="L171" i="1"/>
  <c r="AG209" i="1"/>
  <c r="AG207" i="1"/>
  <c r="AG205" i="1"/>
  <c r="AG203" i="1"/>
  <c r="S211" i="1"/>
  <c r="R211" i="1"/>
  <c r="Q211" i="1"/>
  <c r="P211" i="1"/>
  <c r="O211" i="1"/>
  <c r="D177" i="1"/>
  <c r="D175" i="1"/>
  <c r="D173" i="1"/>
  <c r="D171" i="1"/>
  <c r="AD145" i="1"/>
  <c r="AD143" i="1"/>
  <c r="AD141" i="1"/>
  <c r="AD139" i="1"/>
  <c r="W145" i="1"/>
  <c r="W143" i="1"/>
  <c r="W141" i="1"/>
  <c r="W139" i="1"/>
  <c r="U145" i="1"/>
  <c r="U143" i="1"/>
  <c r="U141" i="1"/>
  <c r="U139" i="1"/>
  <c r="N145" i="1"/>
  <c r="N143" i="1"/>
  <c r="N141" i="1"/>
  <c r="N139" i="1"/>
  <c r="P145" i="1"/>
  <c r="P143" i="1"/>
  <c r="P141" i="1"/>
  <c r="P139" i="1"/>
  <c r="H227" i="1"/>
  <c r="H225" i="1"/>
  <c r="H223" i="1"/>
  <c r="M207" i="1"/>
  <c r="M205" i="1"/>
  <c r="M203" i="1"/>
  <c r="O227" i="1"/>
  <c r="O225" i="1"/>
  <c r="O223" i="1"/>
  <c r="AC175" i="1"/>
  <c r="AC173" i="1"/>
  <c r="AC171" i="1"/>
  <c r="P227" i="1"/>
  <c r="P225" i="1"/>
  <c r="P223" i="1"/>
  <c r="E227" i="1"/>
  <c r="E225" i="1"/>
  <c r="E223" i="1"/>
  <c r="Q227" i="1"/>
  <c r="Y227" i="1"/>
  <c r="X227" i="1"/>
  <c r="W227" i="1"/>
  <c r="V227" i="1"/>
  <c r="Y225" i="1"/>
  <c r="X225" i="1"/>
  <c r="W225" i="1"/>
  <c r="V225" i="1"/>
  <c r="Y223" i="1"/>
  <c r="X223" i="1"/>
  <c r="W223" i="1"/>
  <c r="V223" i="1"/>
  <c r="K227" i="1"/>
  <c r="J227" i="1"/>
  <c r="I227" i="1"/>
  <c r="K225" i="1"/>
  <c r="J225" i="1"/>
  <c r="I225" i="1"/>
  <c r="K223" i="1"/>
  <c r="J223" i="1"/>
  <c r="I223" i="1"/>
  <c r="AF195" i="1"/>
  <c r="AF193" i="1"/>
  <c r="AF191" i="1"/>
  <c r="AF177" i="1"/>
  <c r="AF175" i="1"/>
  <c r="AF173" i="1"/>
  <c r="AF171" i="1"/>
  <c r="AE195" i="1"/>
  <c r="AE193" i="1"/>
  <c r="AE191" i="1"/>
  <c r="AB145" i="1"/>
  <c r="AB143" i="1"/>
  <c r="AB141" i="1"/>
  <c r="AB139" i="1"/>
  <c r="I145" i="1"/>
  <c r="I143" i="1"/>
  <c r="I141" i="1"/>
  <c r="I139" i="1"/>
  <c r="M145" i="1"/>
  <c r="M143" i="1"/>
  <c r="M141" i="1"/>
  <c r="M139" i="1"/>
  <c r="AB195" i="1"/>
  <c r="AA195" i="1"/>
  <c r="AB193" i="1"/>
  <c r="AA193" i="1"/>
  <c r="AB191" i="1"/>
  <c r="AA191" i="1"/>
  <c r="S195" i="1"/>
  <c r="S193" i="1"/>
  <c r="S191" i="1"/>
  <c r="L195" i="1"/>
  <c r="L193" i="1"/>
  <c r="L191" i="1"/>
  <c r="L227" i="1"/>
  <c r="L225" i="1"/>
  <c r="L223" i="1"/>
  <c r="AD163" i="1"/>
  <c r="AD161" i="1"/>
  <c r="AD159" i="1"/>
  <c r="W163" i="1"/>
  <c r="W161" i="1"/>
  <c r="W159" i="1"/>
  <c r="P163" i="1"/>
  <c r="P161" i="1"/>
  <c r="P159" i="1"/>
  <c r="I163" i="1"/>
  <c r="I161" i="1"/>
  <c r="I159" i="1"/>
  <c r="C227" i="1"/>
  <c r="C225" i="1"/>
  <c r="C223" i="1"/>
  <c r="K113" i="1"/>
  <c r="K111" i="1"/>
  <c r="K109" i="1"/>
  <c r="K107" i="1"/>
  <c r="AC81" i="1"/>
  <c r="AC79" i="1"/>
  <c r="AC77" i="1"/>
  <c r="AC75" i="1"/>
  <c r="AA81" i="1"/>
  <c r="AA79" i="1"/>
  <c r="AA77" i="1"/>
  <c r="AA75" i="1"/>
  <c r="Z81" i="1"/>
  <c r="Z79" i="1"/>
  <c r="Z77" i="1"/>
  <c r="Z75" i="1"/>
  <c r="S117" i="1"/>
  <c r="N81" i="1"/>
  <c r="N79" i="1"/>
  <c r="N77" i="1"/>
  <c r="N75" i="1"/>
  <c r="V91" i="1"/>
  <c r="V89" i="1"/>
  <c r="V87" i="1"/>
  <c r="V85" i="1"/>
  <c r="AC91" i="1"/>
  <c r="AC89" i="1"/>
  <c r="AC87" i="1"/>
  <c r="AC85" i="1"/>
  <c r="O91" i="1"/>
  <c r="O89" i="1"/>
  <c r="O87" i="1"/>
  <c r="O85" i="1"/>
  <c r="H91" i="1"/>
  <c r="H89" i="1"/>
  <c r="H87" i="1"/>
  <c r="H85" i="1"/>
  <c r="K177" i="1"/>
  <c r="K175" i="1"/>
  <c r="K173" i="1"/>
  <c r="K171" i="1"/>
  <c r="O113" i="1"/>
  <c r="O111" i="1"/>
  <c r="Q113" i="1"/>
  <c r="Q109" i="1"/>
  <c r="Q107" i="1"/>
  <c r="R81" i="1"/>
  <c r="R79" i="1"/>
  <c r="R77" i="1"/>
  <c r="R75" i="1"/>
  <c r="S81" i="1"/>
  <c r="S79" i="1"/>
  <c r="S77" i="1"/>
  <c r="S75" i="1"/>
  <c r="AB146" i="1"/>
  <c r="G145" i="1"/>
  <c r="G143" i="1"/>
  <c r="G141" i="1"/>
  <c r="G139" i="1"/>
  <c r="AD113" i="1"/>
  <c r="AD111" i="1"/>
  <c r="AD109" i="1"/>
  <c r="AD107" i="1"/>
  <c r="P113" i="1"/>
  <c r="P111" i="1"/>
  <c r="P109" i="1"/>
  <c r="P107" i="1"/>
  <c r="I113" i="1"/>
  <c r="I111" i="1"/>
  <c r="I109" i="1"/>
  <c r="I107" i="1"/>
  <c r="AG81" i="1"/>
  <c r="AG79" i="1"/>
  <c r="AG77" i="1"/>
  <c r="AG75" i="1"/>
  <c r="U81" i="1"/>
  <c r="U79" i="1"/>
  <c r="U77" i="1"/>
  <c r="U75" i="1"/>
  <c r="S82" i="1"/>
  <c r="L81" i="1"/>
  <c r="L79" i="1"/>
  <c r="L77" i="1"/>
  <c r="L75" i="1"/>
  <c r="G81" i="1"/>
  <c r="G79" i="1"/>
  <c r="G77" i="1"/>
  <c r="G75" i="1"/>
  <c r="E81" i="1"/>
  <c r="E79" i="1"/>
  <c r="E77" i="1"/>
  <c r="E75" i="1"/>
  <c r="AB49" i="1"/>
  <c r="AB47" i="1"/>
  <c r="AB45" i="1"/>
  <c r="AB43" i="1"/>
  <c r="Z49" i="1"/>
  <c r="Z47" i="1"/>
  <c r="Z45" i="1"/>
  <c r="Z43" i="1"/>
  <c r="N49" i="1"/>
  <c r="N47" i="1"/>
  <c r="N45" i="1"/>
  <c r="N43" i="1"/>
  <c r="L49" i="1"/>
  <c r="L47" i="1"/>
  <c r="L45" i="1"/>
  <c r="L43" i="1"/>
  <c r="G49" i="1"/>
  <c r="G47" i="1"/>
  <c r="G45" i="1"/>
  <c r="G43" i="1"/>
  <c r="E49" i="1"/>
  <c r="E47" i="1"/>
  <c r="E45" i="1"/>
  <c r="E43" i="1"/>
  <c r="E51" i="1"/>
  <c r="G51" i="1"/>
  <c r="L51" i="1"/>
  <c r="N51" i="1"/>
  <c r="J177" i="1"/>
  <c r="J175" i="1"/>
  <c r="J173" i="1"/>
  <c r="J171" i="1"/>
  <c r="AF35" i="1"/>
  <c r="AE35" i="1"/>
  <c r="AD35" i="1"/>
  <c r="AC35" i="1"/>
  <c r="AB35" i="1"/>
  <c r="AF33" i="1"/>
  <c r="AE33" i="1"/>
  <c r="AD33" i="1"/>
  <c r="AC33" i="1"/>
  <c r="AB33" i="1"/>
  <c r="AF31" i="1"/>
  <c r="AE31" i="1"/>
  <c r="AD31" i="1"/>
  <c r="AC31" i="1"/>
  <c r="AB31" i="1"/>
  <c r="R187" i="1"/>
  <c r="R185" i="1"/>
  <c r="R183" i="1"/>
  <c r="R181" i="1"/>
  <c r="I219" i="1"/>
  <c r="I217" i="1"/>
  <c r="I215" i="1"/>
  <c r="I213" i="1"/>
  <c r="L219" i="1"/>
  <c r="K219" i="1"/>
  <c r="J219" i="1"/>
  <c r="K217" i="1"/>
  <c r="J217" i="1"/>
  <c r="L215" i="1"/>
  <c r="K215" i="1"/>
  <c r="J215" i="1"/>
  <c r="L213" i="1"/>
  <c r="K213" i="1"/>
  <c r="J213" i="1"/>
  <c r="H219" i="1"/>
  <c r="C219" i="1"/>
  <c r="C217" i="1"/>
  <c r="C215" i="1"/>
  <c r="C213" i="1"/>
  <c r="AF187" i="1"/>
  <c r="AE187" i="1"/>
  <c r="AF185" i="1"/>
  <c r="AE185" i="1"/>
  <c r="AF183" i="1"/>
  <c r="AE183" i="1"/>
  <c r="AF181" i="1"/>
  <c r="AE181" i="1"/>
  <c r="AB187" i="1"/>
  <c r="AA187" i="1"/>
  <c r="AB185" i="1"/>
  <c r="AA185" i="1"/>
  <c r="AB183" i="1"/>
  <c r="AA183" i="1"/>
  <c r="AB181" i="1"/>
  <c r="AA181" i="1"/>
  <c r="U187" i="1"/>
  <c r="T187" i="1"/>
  <c r="S187" i="1"/>
  <c r="U185" i="1"/>
  <c r="T185" i="1"/>
  <c r="S185" i="1"/>
  <c r="U183" i="1"/>
  <c r="T183" i="1"/>
  <c r="S183" i="1"/>
  <c r="U181" i="1"/>
  <c r="T181" i="1"/>
  <c r="S181" i="1"/>
  <c r="Q187" i="1"/>
  <c r="N187" i="1"/>
  <c r="M187" i="1"/>
  <c r="L187" i="1"/>
  <c r="N185" i="1"/>
  <c r="M185" i="1"/>
  <c r="L185" i="1"/>
  <c r="N183" i="1"/>
  <c r="M183" i="1"/>
  <c r="L183" i="1"/>
  <c r="N181" i="1"/>
  <c r="M181" i="1"/>
  <c r="L181" i="1"/>
  <c r="J187" i="1"/>
  <c r="J185" i="1"/>
  <c r="J183" i="1"/>
  <c r="J181" i="1"/>
  <c r="E187" i="1"/>
  <c r="E185" i="1"/>
  <c r="E183" i="1"/>
  <c r="E181" i="1"/>
  <c r="C187" i="1"/>
  <c r="C185" i="1"/>
  <c r="C183" i="1"/>
  <c r="C181" i="1"/>
  <c r="AE155" i="1"/>
  <c r="AD155" i="1"/>
  <c r="AC155" i="1"/>
  <c r="AE153" i="1"/>
  <c r="AD153" i="1"/>
  <c r="AC153" i="1"/>
  <c r="AE151" i="1"/>
  <c r="AD151" i="1"/>
  <c r="AC151" i="1"/>
  <c r="AE149" i="1"/>
  <c r="AD149" i="1"/>
  <c r="AC149" i="1"/>
  <c r="AA155" i="1"/>
  <c r="AA153" i="1"/>
  <c r="AA151" i="1"/>
  <c r="AA149" i="1"/>
  <c r="X155" i="1"/>
  <c r="W155" i="1"/>
  <c r="V155" i="1"/>
  <c r="X153" i="1"/>
  <c r="W153" i="1"/>
  <c r="V153" i="1"/>
  <c r="X151" i="1"/>
  <c r="W151" i="1"/>
  <c r="V151" i="1"/>
  <c r="X149" i="1"/>
  <c r="W149" i="1"/>
  <c r="V149" i="1"/>
  <c r="T155" i="1"/>
  <c r="T153" i="1"/>
  <c r="T151" i="1"/>
  <c r="T149" i="1"/>
  <c r="Q155" i="1"/>
  <c r="P155" i="1"/>
  <c r="O155" i="1"/>
  <c r="Q153" i="1"/>
  <c r="P153" i="1"/>
  <c r="O153" i="1"/>
  <c r="Q151" i="1"/>
  <c r="P151" i="1"/>
  <c r="O151" i="1"/>
  <c r="Q149" i="1"/>
  <c r="P149" i="1"/>
  <c r="O149" i="1"/>
  <c r="M155" i="1"/>
  <c r="M153" i="1"/>
  <c r="M151" i="1"/>
  <c r="M149" i="1"/>
  <c r="J155" i="1"/>
  <c r="I155" i="1"/>
  <c r="H155" i="1"/>
  <c r="J153" i="1"/>
  <c r="I153" i="1"/>
  <c r="H153" i="1"/>
  <c r="J151" i="1"/>
  <c r="I151" i="1"/>
  <c r="H151" i="1"/>
  <c r="J149" i="1"/>
  <c r="I149" i="1"/>
  <c r="H149" i="1"/>
  <c r="F155" i="1"/>
  <c r="F153" i="1"/>
  <c r="F151" i="1"/>
  <c r="F149" i="1"/>
  <c r="AC123" i="1"/>
  <c r="AC121" i="1"/>
  <c r="AC119" i="1"/>
  <c r="AC117" i="1"/>
  <c r="AF123" i="1"/>
  <c r="AE123" i="1"/>
  <c r="AF121" i="1"/>
  <c r="AE121" i="1"/>
  <c r="AF119" i="1"/>
  <c r="AE119" i="1"/>
  <c r="AF117" i="1"/>
  <c r="AE117" i="1"/>
  <c r="Z123" i="1"/>
  <c r="Z121" i="1"/>
  <c r="Z119" i="1"/>
  <c r="Z117" i="1"/>
  <c r="S123" i="1"/>
  <c r="S121" i="1"/>
  <c r="S119" i="1"/>
  <c r="NC405" i="1"/>
  <c r="NB405" i="1"/>
  <c r="MP405" i="1"/>
  <c r="MD405" i="1"/>
  <c r="LR405" i="1"/>
  <c r="LF405" i="1"/>
  <c r="KT405" i="1"/>
  <c r="KH405" i="1"/>
  <c r="JV405" i="1"/>
  <c r="JJ405" i="1"/>
  <c r="IX405" i="1"/>
  <c r="IL405" i="1"/>
  <c r="HZ405" i="1"/>
  <c r="HN405" i="1"/>
  <c r="GY405" i="1"/>
  <c r="GM405" i="1"/>
  <c r="GA405" i="1"/>
  <c r="FO405" i="1"/>
  <c r="FC405" i="1"/>
  <c r="EQ405" i="1"/>
  <c r="EE405" i="1"/>
  <c r="DS405" i="1"/>
  <c r="DG405" i="1"/>
  <c r="CU405" i="1"/>
  <c r="CI405" i="1"/>
  <c r="BW405" i="1"/>
  <c r="BK405" i="1"/>
  <c r="AY405" i="1"/>
  <c r="AJ405" i="1"/>
  <c r="AW405" i="1"/>
  <c r="GI405" i="1"/>
  <c r="DO405" i="1"/>
  <c r="BG405" i="1"/>
  <c r="LM405" i="1"/>
  <c r="IR405" i="1"/>
  <c r="FT405" i="1"/>
  <c r="NA405" i="1"/>
  <c r="MO405" i="1"/>
  <c r="MC405" i="1"/>
  <c r="LQ405" i="1"/>
  <c r="LE405" i="1"/>
  <c r="KS405" i="1"/>
  <c r="KG405" i="1"/>
  <c r="JU405" i="1"/>
  <c r="JI405" i="1"/>
  <c r="IW405" i="1"/>
  <c r="IK405" i="1"/>
  <c r="HY405" i="1"/>
  <c r="HM405" i="1"/>
  <c r="GX405" i="1"/>
  <c r="GL405" i="1"/>
  <c r="FZ405" i="1"/>
  <c r="FN405" i="1"/>
  <c r="FB405" i="1"/>
  <c r="EP405" i="1"/>
  <c r="ED405" i="1"/>
  <c r="DR405" i="1"/>
  <c r="DF405" i="1"/>
  <c r="CT405" i="1"/>
  <c r="CH405" i="1"/>
  <c r="BV405" i="1"/>
  <c r="BJ405" i="1"/>
  <c r="AX405" i="1"/>
  <c r="MN405" i="1"/>
  <c r="MB405" i="1"/>
  <c r="LP405" i="1"/>
  <c r="LD405" i="1"/>
  <c r="KR405" i="1"/>
  <c r="KF405" i="1"/>
  <c r="JT405" i="1"/>
  <c r="JH405" i="1"/>
  <c r="IV405" i="1"/>
  <c r="IJ405" i="1"/>
  <c r="HX405" i="1"/>
  <c r="HL405" i="1"/>
  <c r="GW405" i="1"/>
  <c r="GK405" i="1"/>
  <c r="FY405" i="1"/>
  <c r="FM405" i="1"/>
  <c r="FA405" i="1"/>
  <c r="EO405" i="1"/>
  <c r="EC405" i="1"/>
  <c r="DQ405" i="1"/>
  <c r="DE405" i="1"/>
  <c r="CS405" i="1"/>
  <c r="CG405" i="1"/>
  <c r="BU405" i="1"/>
  <c r="BI405" i="1"/>
  <c r="GU405" i="1"/>
  <c r="DC405" i="1"/>
  <c r="AR405" i="1"/>
  <c r="MW405" i="1"/>
  <c r="JP405" i="1"/>
  <c r="GR405" i="1"/>
  <c r="MZ405" i="1"/>
  <c r="MI405" i="1"/>
  <c r="MY405" i="1"/>
  <c r="MM405" i="1"/>
  <c r="MA405" i="1"/>
  <c r="LO405" i="1"/>
  <c r="LC405" i="1"/>
  <c r="KQ405" i="1"/>
  <c r="KE405" i="1"/>
  <c r="JS405" i="1"/>
  <c r="JG405" i="1"/>
  <c r="IU405" i="1"/>
  <c r="II405" i="1"/>
  <c r="HW405" i="1"/>
  <c r="HK405" i="1"/>
  <c r="GV405" i="1"/>
  <c r="GJ405" i="1"/>
  <c r="FX405" i="1"/>
  <c r="FL405" i="1"/>
  <c r="EZ405" i="1"/>
  <c r="EN405" i="1"/>
  <c r="EB405" i="1"/>
  <c r="DP405" i="1"/>
  <c r="DD405" i="1"/>
  <c r="CR405" i="1"/>
  <c r="CF405" i="1"/>
  <c r="BT405" i="1"/>
  <c r="BH405" i="1"/>
  <c r="AS405" i="1"/>
  <c r="MX405" i="1"/>
  <c r="ML405" i="1"/>
  <c r="LZ405" i="1"/>
  <c r="LN405" i="1"/>
  <c r="LB405" i="1"/>
  <c r="KP405" i="1"/>
  <c r="KD405" i="1"/>
  <c r="JR405" i="1"/>
  <c r="JF405" i="1"/>
  <c r="IT405" i="1"/>
  <c r="IH405" i="1"/>
  <c r="HV405" i="1"/>
  <c r="HJ405" i="1"/>
  <c r="FW405" i="1"/>
  <c r="FK405" i="1"/>
  <c r="EY405" i="1"/>
  <c r="EM405" i="1"/>
  <c r="EA405" i="1"/>
  <c r="CQ405" i="1"/>
  <c r="CE405" i="1"/>
  <c r="BS405" i="1"/>
  <c r="MK405" i="1"/>
  <c r="LY405" i="1"/>
  <c r="LA405" i="1"/>
  <c r="KO405" i="1"/>
  <c r="KC405" i="1"/>
  <c r="JQ405" i="1"/>
  <c r="JE405" i="1"/>
  <c r="IS405" i="1"/>
  <c r="IG405" i="1"/>
  <c r="HU405" i="1"/>
  <c r="HI405" i="1"/>
  <c r="GT405" i="1"/>
  <c r="GH405" i="1"/>
  <c r="FV405" i="1"/>
  <c r="FJ405" i="1"/>
  <c r="EX405" i="1"/>
  <c r="EL405" i="1"/>
  <c r="DZ405" i="1"/>
  <c r="DN405" i="1"/>
  <c r="DB405" i="1"/>
  <c r="CP405" i="1"/>
  <c r="CD405" i="1"/>
  <c r="BR405" i="1"/>
  <c r="BF405" i="1"/>
  <c r="AQ405" i="1"/>
  <c r="MV405" i="1"/>
  <c r="MJ405" i="1"/>
  <c r="LX405" i="1"/>
  <c r="LL405" i="1"/>
  <c r="KZ405" i="1"/>
  <c r="KN405" i="1"/>
  <c r="KB405" i="1"/>
  <c r="JD405" i="1"/>
  <c r="IF405" i="1"/>
  <c r="HT405" i="1"/>
  <c r="HE405" i="1"/>
  <c r="GS405" i="1"/>
  <c r="GG405" i="1"/>
  <c r="FU405" i="1"/>
  <c r="FI405" i="1"/>
  <c r="EW405" i="1"/>
  <c r="EK405" i="1"/>
  <c r="DY405" i="1"/>
  <c r="DM405" i="1"/>
  <c r="DA405" i="1"/>
  <c r="CO405" i="1"/>
  <c r="BQ405" i="1"/>
  <c r="BE405" i="1"/>
  <c r="AP405" i="1"/>
  <c r="NG405" i="1"/>
  <c r="MU405" i="1"/>
  <c r="LW405" i="1"/>
  <c r="LK405" i="1"/>
  <c r="KY405" i="1"/>
  <c r="KM405" i="1"/>
  <c r="KA405" i="1"/>
  <c r="JO405" i="1"/>
  <c r="JC405" i="1"/>
  <c r="IQ405" i="1"/>
  <c r="IE405" i="1"/>
  <c r="HS405" i="1"/>
  <c r="HD405" i="1"/>
  <c r="GF405" i="1"/>
  <c r="FH405" i="1"/>
  <c r="EV405" i="1"/>
  <c r="EJ405" i="1"/>
  <c r="DX405" i="1"/>
  <c r="DL405" i="1"/>
  <c r="CZ405" i="1"/>
  <c r="CN405" i="1"/>
  <c r="CB405" i="1"/>
  <c r="BP405" i="1"/>
  <c r="BD405" i="1"/>
  <c r="AO405" i="1"/>
  <c r="NF405" i="1"/>
  <c r="MT405" i="1"/>
  <c r="MH405" i="1"/>
  <c r="LV405" i="1"/>
  <c r="LJ405" i="1"/>
  <c r="CC405" i="1"/>
  <c r="MS405" i="1"/>
  <c r="KX405" i="1"/>
  <c r="JN405" i="1"/>
  <c r="ID405" i="1"/>
  <c r="GQ405" i="1"/>
  <c r="FG405" i="1"/>
  <c r="DW405" i="1"/>
  <c r="CM405" i="1"/>
  <c r="BC405" i="1"/>
  <c r="JB405" i="1"/>
  <c r="HQ405" i="1"/>
  <c r="ES405" i="1"/>
  <c r="AK405" i="1"/>
  <c r="CY405" i="1"/>
  <c r="CX405" i="1"/>
  <c r="EG405" i="1"/>
  <c r="MR405" i="1"/>
  <c r="KW405" i="1"/>
  <c r="JM405" i="1"/>
  <c r="IC405" i="1"/>
  <c r="GP405" i="1"/>
  <c r="FF405" i="1"/>
  <c r="DV405" i="1"/>
  <c r="CL405" i="1"/>
  <c r="BB405" i="1"/>
  <c r="HR405" i="1"/>
  <c r="CA405" i="1"/>
  <c r="BZ405" i="1"/>
  <c r="GZ405" i="1"/>
  <c r="MQ405" i="1"/>
  <c r="KV405" i="1"/>
  <c r="JL405" i="1"/>
  <c r="IB405" i="1"/>
  <c r="GO405" i="1"/>
  <c r="FE405" i="1"/>
  <c r="DU405" i="1"/>
  <c r="CK405" i="1"/>
  <c r="BA405" i="1"/>
  <c r="KL405" i="1"/>
  <c r="DK405" i="1"/>
  <c r="ER405" i="1"/>
  <c r="LS405" i="1"/>
  <c r="IP405" i="1"/>
  <c r="HC405" i="1"/>
  <c r="FS405" i="1"/>
  <c r="EI405" i="1"/>
  <c r="BO405" i="1"/>
  <c r="LI405" i="1"/>
  <c r="JY405" i="1"/>
  <c r="IO405" i="1"/>
  <c r="FR405" i="1"/>
  <c r="EH405" i="1"/>
  <c r="BN405" i="1"/>
  <c r="NE405" i="1"/>
  <c r="JX405" i="1"/>
  <c r="HA405" i="1"/>
  <c r="FQ405" i="1"/>
  <c r="CW405" i="1"/>
  <c r="ND405" i="1"/>
  <c r="LG405" i="1"/>
  <c r="JW405" i="1"/>
  <c r="FP405" i="1"/>
  <c r="EF405" i="1"/>
  <c r="CV405" i="1"/>
  <c r="BL405" i="1"/>
  <c r="MG405" i="1"/>
  <c r="KU405" i="1"/>
  <c r="JK405" i="1"/>
  <c r="IA405" i="1"/>
  <c r="GN405" i="1"/>
  <c r="FD405" i="1"/>
  <c r="DT405" i="1"/>
  <c r="CJ405" i="1"/>
  <c r="AZ405" i="1"/>
  <c r="GE405" i="1"/>
  <c r="EU405" i="1"/>
  <c r="AN405" i="1"/>
  <c r="ME405" i="1"/>
  <c r="KK405" i="1"/>
  <c r="JA405" i="1"/>
  <c r="GD405" i="1"/>
  <c r="DJ405" i="1"/>
  <c r="AM405" i="1"/>
  <c r="LU405" i="1"/>
  <c r="KJ405" i="1"/>
  <c r="IZ405" i="1"/>
  <c r="GC405" i="1"/>
  <c r="IN405" i="1"/>
  <c r="IM405" i="1"/>
  <c r="MF405" i="1"/>
  <c r="ET405" i="1"/>
  <c r="HP405" i="1"/>
  <c r="DI405" i="1"/>
  <c r="BY405" i="1"/>
  <c r="AL405" i="1"/>
  <c r="LT405" i="1"/>
  <c r="KI405" i="1"/>
  <c r="IY405" i="1"/>
  <c r="HO405" i="1"/>
  <c r="GB405" i="1"/>
  <c r="DH405" i="1"/>
  <c r="BX405" i="1"/>
  <c r="JZ405" i="1"/>
  <c r="HB405" i="1"/>
  <c r="BM405" i="1"/>
  <c r="LH405" i="1"/>
  <c r="L123" i="1" l="1"/>
  <c r="L121" i="1"/>
  <c r="L119" i="1"/>
  <c r="V59" i="1"/>
  <c r="V57" i="1"/>
  <c r="V55" i="1"/>
  <c r="V53" i="1"/>
  <c r="K187" i="1" l="1"/>
  <c r="K185" i="1"/>
  <c r="K183" i="1"/>
  <c r="K181" i="1"/>
  <c r="D187" i="1"/>
  <c r="D185" i="1"/>
  <c r="D183" i="1"/>
  <c r="D181" i="1"/>
  <c r="AB155" i="1"/>
  <c r="AB153" i="1"/>
  <c r="AB151" i="1"/>
  <c r="AB149" i="1"/>
  <c r="U155" i="1"/>
  <c r="U153" i="1"/>
  <c r="U151" i="1"/>
  <c r="U149" i="1"/>
  <c r="N155" i="1"/>
  <c r="N153" i="1"/>
  <c r="N151" i="1"/>
  <c r="N149" i="1"/>
  <c r="G155" i="1"/>
  <c r="G153" i="1"/>
  <c r="G151" i="1"/>
  <c r="U195" i="1" l="1"/>
  <c r="T195" i="1"/>
  <c r="U193" i="1"/>
  <c r="T193" i="1"/>
  <c r="U191" i="1"/>
  <c r="T191" i="1"/>
  <c r="N195" i="1"/>
  <c r="M195" i="1"/>
  <c r="N193" i="1"/>
  <c r="M193" i="1"/>
  <c r="N191" i="1"/>
  <c r="M191" i="1"/>
  <c r="E195" i="1"/>
  <c r="E193" i="1"/>
  <c r="E191" i="1"/>
  <c r="AE163" i="1"/>
  <c r="AE161" i="1"/>
  <c r="AE159" i="1"/>
  <c r="X163" i="1"/>
  <c r="X161" i="1"/>
  <c r="X159" i="1"/>
  <c r="Q163" i="1"/>
  <c r="Q161" i="1"/>
  <c r="Q159" i="1"/>
  <c r="J163" i="1"/>
  <c r="J161" i="1"/>
  <c r="J159" i="1"/>
  <c r="AF131" i="1"/>
  <c r="AF129" i="1"/>
  <c r="AF127" i="1"/>
  <c r="Z131" i="1"/>
  <c r="Y131" i="1"/>
  <c r="Z129" i="1"/>
  <c r="Y129" i="1"/>
  <c r="Z127" i="1"/>
  <c r="Y127" i="1"/>
  <c r="L131" i="1"/>
  <c r="L129" i="1"/>
  <c r="L127" i="1"/>
  <c r="L117" i="1"/>
  <c r="AB99" i="1"/>
  <c r="AB97" i="1"/>
  <c r="AB95" i="1"/>
  <c r="AB81" i="1"/>
  <c r="AC99" i="1"/>
  <c r="AC97" i="1"/>
  <c r="AC95" i="1"/>
  <c r="V99" i="1"/>
  <c r="O99" i="1"/>
  <c r="H99" i="1"/>
  <c r="AC67" i="1"/>
  <c r="V67" i="1"/>
  <c r="U67" i="1"/>
  <c r="V97" i="1"/>
  <c r="V95" i="1"/>
  <c r="V93" i="1"/>
  <c r="O97" i="1"/>
  <c r="O95" i="1"/>
  <c r="O93" i="1"/>
  <c r="H97" i="1"/>
  <c r="H95" i="1"/>
  <c r="H93" i="1"/>
  <c r="AC61" i="1"/>
  <c r="V65" i="1"/>
  <c r="U65" i="1"/>
  <c r="V63" i="1"/>
  <c r="U63" i="1"/>
  <c r="V61" i="1"/>
  <c r="U61" i="1"/>
  <c r="H67" i="1"/>
  <c r="H65" i="1"/>
  <c r="U49" i="1"/>
  <c r="U47" i="1"/>
  <c r="U45" i="1"/>
  <c r="U43" i="1"/>
  <c r="AD123" i="1" l="1"/>
  <c r="AD119" i="1" l="1"/>
  <c r="AD117" i="1"/>
  <c r="Y123" i="1"/>
  <c r="Y121" i="1"/>
  <c r="Y119" i="1"/>
  <c r="Y117" i="1"/>
  <c r="R123" i="1"/>
  <c r="R121" i="1"/>
  <c r="R119" i="1"/>
  <c r="R117" i="1"/>
  <c r="P123" i="1"/>
  <c r="P121" i="1"/>
  <c r="P119" i="1"/>
  <c r="P117" i="1"/>
  <c r="K123" i="1"/>
  <c r="K121" i="1"/>
  <c r="K119" i="1"/>
  <c r="K117" i="1"/>
  <c r="I123" i="1"/>
  <c r="I121" i="1"/>
  <c r="I119" i="1"/>
  <c r="I117" i="1"/>
  <c r="AG91" i="1"/>
  <c r="AG89" i="1"/>
  <c r="AG87" i="1"/>
  <c r="AG85" i="1"/>
  <c r="AB91" i="1"/>
  <c r="AB89" i="1"/>
  <c r="AB87" i="1"/>
  <c r="AB85" i="1"/>
  <c r="Z91" i="1"/>
  <c r="Z89" i="1"/>
  <c r="Z87" i="1"/>
  <c r="Z85" i="1"/>
  <c r="U91" i="1"/>
  <c r="U89" i="1"/>
  <c r="U87" i="1"/>
  <c r="U85" i="1"/>
  <c r="S91" i="1"/>
  <c r="S89" i="1"/>
  <c r="S87" i="1"/>
  <c r="S85" i="1"/>
  <c r="N91" i="1"/>
  <c r="N89" i="1"/>
  <c r="N87" i="1"/>
  <c r="N85" i="1"/>
  <c r="L91" i="1"/>
  <c r="L89" i="1"/>
  <c r="L87" i="1"/>
  <c r="L85" i="1"/>
  <c r="G91" i="1"/>
  <c r="G89" i="1"/>
  <c r="G87" i="1"/>
  <c r="G85" i="1"/>
  <c r="E91" i="1"/>
  <c r="E89" i="1"/>
  <c r="E87" i="1"/>
  <c r="E85" i="1"/>
  <c r="AB59" i="1"/>
  <c r="Z59" i="1"/>
  <c r="U59" i="1"/>
  <c r="U57" i="1"/>
  <c r="U55" i="1"/>
  <c r="U53" i="1"/>
  <c r="N59" i="1"/>
  <c r="N57" i="1"/>
  <c r="N55" i="1"/>
  <c r="N53" i="1"/>
  <c r="L59" i="1"/>
  <c r="L57" i="1"/>
  <c r="L55" i="1"/>
  <c r="L53" i="1"/>
  <c r="G59" i="1"/>
  <c r="G57" i="1"/>
  <c r="G55" i="1"/>
  <c r="G53" i="1"/>
  <c r="E59" i="1"/>
  <c r="E57" i="1"/>
  <c r="E55" i="1"/>
  <c r="X123" i="1"/>
  <c r="X121" i="1"/>
  <c r="X119" i="1"/>
  <c r="X117" i="1"/>
  <c r="Q123" i="1"/>
  <c r="Q121" i="1"/>
  <c r="Q119" i="1"/>
  <c r="Q117" i="1"/>
  <c r="O123" i="1"/>
  <c r="O121" i="1"/>
  <c r="O119" i="1"/>
  <c r="O117" i="1"/>
  <c r="J123" i="1"/>
  <c r="J121" i="1"/>
  <c r="J119" i="1"/>
  <c r="J117" i="1"/>
  <c r="H123" i="1"/>
  <c r="H121" i="1"/>
  <c r="H119" i="1"/>
  <c r="H117" i="1"/>
  <c r="C123" i="1"/>
  <c r="C121" i="1"/>
  <c r="C119" i="1"/>
  <c r="C117" i="1"/>
  <c r="AF91" i="1"/>
  <c r="AF89" i="1"/>
  <c r="AF87" i="1"/>
  <c r="AF85" i="1"/>
  <c r="AA91" i="1"/>
  <c r="AA89" i="1"/>
  <c r="AA87" i="1"/>
  <c r="AA85" i="1"/>
  <c r="Y91" i="1"/>
  <c r="Y89" i="1"/>
  <c r="Y87" i="1"/>
  <c r="Y85" i="1"/>
  <c r="T91" i="1"/>
  <c r="T89" i="1"/>
  <c r="T87" i="1"/>
  <c r="T85" i="1"/>
  <c r="R91" i="1"/>
  <c r="R89" i="1"/>
  <c r="R87" i="1"/>
  <c r="R85" i="1"/>
  <c r="M91" i="1"/>
  <c r="M89" i="1"/>
  <c r="M87" i="1"/>
  <c r="M85" i="1"/>
  <c r="K91" i="1"/>
  <c r="K89" i="1"/>
  <c r="K87" i="1"/>
  <c r="K85" i="1"/>
  <c r="F91" i="1"/>
  <c r="F89" i="1"/>
  <c r="F87" i="1"/>
  <c r="F85" i="1"/>
  <c r="D91" i="1"/>
  <c r="D89" i="1"/>
  <c r="D87" i="1"/>
  <c r="D85" i="1"/>
  <c r="AA59" i="1"/>
  <c r="Y59" i="1"/>
  <c r="M59" i="1"/>
  <c r="M57" i="1"/>
  <c r="M55" i="1"/>
  <c r="M53" i="1"/>
  <c r="K59" i="1"/>
  <c r="K57" i="1"/>
  <c r="K55" i="1"/>
  <c r="K53" i="1"/>
  <c r="F59" i="1"/>
  <c r="F57" i="1"/>
  <c r="F55" i="1"/>
  <c r="C177" i="1" l="1"/>
  <c r="C175" i="1"/>
  <c r="C173" i="1"/>
  <c r="C171" i="1"/>
  <c r="AC145" i="1"/>
  <c r="AC143" i="1"/>
  <c r="AC141" i="1"/>
  <c r="AC139" i="1"/>
  <c r="V145" i="1"/>
  <c r="V143" i="1"/>
  <c r="V141" i="1"/>
  <c r="V139" i="1"/>
  <c r="T145" i="1"/>
  <c r="T143" i="1"/>
  <c r="T141" i="1"/>
  <c r="T139" i="1"/>
  <c r="O145" i="1"/>
  <c r="O143" i="1"/>
  <c r="O141" i="1"/>
  <c r="O139" i="1"/>
  <c r="H145" i="1"/>
  <c r="H143" i="1"/>
  <c r="H141" i="1"/>
  <c r="H139" i="1"/>
  <c r="F145" i="1"/>
  <c r="F143" i="1"/>
  <c r="F141" i="1"/>
  <c r="F139" i="1"/>
  <c r="AE113" i="1"/>
  <c r="AE111" i="1"/>
  <c r="AE109" i="1"/>
  <c r="AE107" i="1"/>
  <c r="AC113" i="1"/>
  <c r="AC111" i="1"/>
  <c r="AC109" i="1"/>
  <c r="AC107" i="1"/>
  <c r="X113" i="1"/>
  <c r="X111" i="1"/>
  <c r="X109" i="1"/>
  <c r="X107" i="1"/>
  <c r="O109" i="1"/>
  <c r="O107" i="1"/>
  <c r="J113" i="1"/>
  <c r="J111" i="1"/>
  <c r="J109" i="1"/>
  <c r="J107" i="1"/>
  <c r="H113" i="1"/>
  <c r="H111" i="1"/>
  <c r="H109" i="1"/>
  <c r="H107" i="1"/>
  <c r="C113" i="1"/>
  <c r="C111" i="1"/>
  <c r="C109" i="1"/>
  <c r="C107" i="1"/>
  <c r="AF81" i="1"/>
  <c r="AF79" i="1"/>
  <c r="AF77" i="1"/>
  <c r="AF75" i="1"/>
  <c r="Y81" i="1"/>
  <c r="Y79" i="1"/>
  <c r="Y77" i="1"/>
  <c r="Y75" i="1"/>
  <c r="T81" i="1"/>
  <c r="T79" i="1"/>
  <c r="T77" i="1"/>
  <c r="T75" i="1"/>
  <c r="M81" i="1"/>
  <c r="M79" i="1"/>
  <c r="M77" i="1"/>
  <c r="M75" i="1"/>
  <c r="K81" i="1"/>
  <c r="K79" i="1"/>
  <c r="K77" i="1"/>
  <c r="K75" i="1"/>
  <c r="F81" i="1"/>
  <c r="F79" i="1"/>
  <c r="F77" i="1"/>
  <c r="F75" i="1"/>
  <c r="D81" i="1"/>
  <c r="D79" i="1"/>
  <c r="D77" i="1"/>
  <c r="D75" i="1"/>
  <c r="AA49" i="1"/>
  <c r="M49" i="1"/>
  <c r="M47" i="1"/>
  <c r="M45" i="1"/>
  <c r="M43" i="1"/>
  <c r="K49" i="1"/>
  <c r="K47" i="1"/>
  <c r="K45" i="1"/>
  <c r="K43" i="1"/>
  <c r="F49" i="1"/>
  <c r="F47" i="1"/>
  <c r="F45" i="1"/>
  <c r="AC43" i="1" l="1"/>
  <c r="AC45" i="1"/>
  <c r="AC47" i="1"/>
  <c r="AC49" i="1"/>
  <c r="D59" i="1"/>
  <c r="D57" i="1"/>
  <c r="D55" i="1"/>
  <c r="D49" i="1"/>
  <c r="D47" i="1"/>
  <c r="D45" i="1"/>
  <c r="O133" i="1"/>
  <c r="O131" i="1"/>
  <c r="O129" i="1"/>
  <c r="O127" i="1"/>
  <c r="S133" i="1"/>
  <c r="S131" i="1"/>
  <c r="S129" i="1"/>
  <c r="S127" i="1"/>
  <c r="L133" i="1"/>
  <c r="M165" i="1"/>
  <c r="M163" i="1"/>
  <c r="M161" i="1"/>
  <c r="M159" i="1"/>
  <c r="AG381" i="1" l="1"/>
  <c r="AF381" i="1"/>
  <c r="AE381" i="1"/>
  <c r="AD381" i="1"/>
  <c r="AB381" i="1"/>
  <c r="Y381" i="1"/>
  <c r="X381" i="1"/>
  <c r="W381" i="1"/>
  <c r="U381" i="1"/>
  <c r="T381" i="1"/>
  <c r="S381" i="1"/>
  <c r="Q381" i="1"/>
  <c r="P381" i="1"/>
  <c r="N381" i="1"/>
  <c r="AI380" i="1"/>
  <c r="AG371" i="1"/>
  <c r="AF371" i="1"/>
  <c r="AE371" i="1"/>
  <c r="AD371" i="1"/>
  <c r="AB371" i="1"/>
  <c r="Y371" i="1"/>
  <c r="X371" i="1"/>
  <c r="W371" i="1"/>
  <c r="U371" i="1"/>
  <c r="T371" i="1"/>
  <c r="S371" i="1"/>
  <c r="Q371" i="1"/>
  <c r="P371" i="1"/>
  <c r="N371" i="1"/>
  <c r="AI370" i="1"/>
  <c r="AF349" i="1"/>
  <c r="AD349" i="1"/>
  <c r="W349" i="1"/>
  <c r="P349" i="1"/>
  <c r="I349" i="1"/>
  <c r="AI348" i="1"/>
  <c r="AF339" i="1"/>
  <c r="AD339" i="1"/>
  <c r="W339" i="1"/>
  <c r="P339" i="1"/>
  <c r="I339" i="1"/>
  <c r="AI338" i="1"/>
  <c r="AG317" i="1"/>
  <c r="Z317" i="1"/>
  <c r="S317" i="1"/>
  <c r="L317" i="1"/>
  <c r="E317" i="1"/>
  <c r="AI316" i="1"/>
  <c r="AG307" i="1"/>
  <c r="S307" i="1"/>
  <c r="L307" i="1"/>
  <c r="E307" i="1"/>
  <c r="AI306" i="1"/>
  <c r="AB285" i="1"/>
  <c r="U285" i="1"/>
  <c r="G285" i="1"/>
  <c r="AI284" i="1"/>
  <c r="AB275" i="1"/>
  <c r="U275" i="1"/>
  <c r="N275" i="1"/>
  <c r="G275" i="1"/>
  <c r="AI274" i="1"/>
  <c r="AG253" i="1"/>
  <c r="AE253" i="1"/>
  <c r="AD253" i="1"/>
  <c r="AC253" i="1"/>
  <c r="AA253" i="1"/>
  <c r="Z253" i="1"/>
  <c r="W253" i="1"/>
  <c r="V253" i="1"/>
  <c r="U253" i="1"/>
  <c r="T253" i="1"/>
  <c r="S253" i="1"/>
  <c r="Q253" i="1"/>
  <c r="P253" i="1"/>
  <c r="O253" i="1"/>
  <c r="N253" i="1"/>
  <c r="M253" i="1"/>
  <c r="L253" i="1"/>
  <c r="J253" i="1"/>
  <c r="I253" i="1"/>
  <c r="H253" i="1"/>
  <c r="G253" i="1"/>
  <c r="F253" i="1"/>
  <c r="E253" i="1"/>
  <c r="C253" i="1"/>
  <c r="AI252" i="1"/>
  <c r="AG243" i="1"/>
  <c r="AD243" i="1"/>
  <c r="AC243" i="1"/>
  <c r="AB243" i="1"/>
  <c r="AA243" i="1"/>
  <c r="Z243" i="1"/>
  <c r="X243" i="1"/>
  <c r="W243" i="1"/>
  <c r="V243" i="1"/>
  <c r="U243" i="1"/>
  <c r="T243" i="1"/>
  <c r="S243" i="1"/>
  <c r="Q243" i="1"/>
  <c r="P243" i="1"/>
  <c r="O243" i="1"/>
  <c r="N243" i="1"/>
  <c r="M243" i="1"/>
  <c r="L243" i="1"/>
  <c r="J243" i="1"/>
  <c r="I243" i="1"/>
  <c r="H243" i="1"/>
  <c r="G243" i="1"/>
  <c r="F243" i="1"/>
  <c r="E243" i="1"/>
  <c r="C243" i="1"/>
  <c r="AI242" i="1"/>
  <c r="AG221" i="1"/>
  <c r="AF221" i="1"/>
  <c r="AE221" i="1"/>
  <c r="AD221" i="1"/>
  <c r="AC221" i="1"/>
  <c r="AA221" i="1"/>
  <c r="Z221" i="1"/>
  <c r="Y221" i="1"/>
  <c r="X221" i="1"/>
  <c r="W221" i="1"/>
  <c r="V221" i="1"/>
  <c r="T221" i="1"/>
  <c r="S221" i="1"/>
  <c r="R221" i="1"/>
  <c r="Q221" i="1"/>
  <c r="P221" i="1"/>
  <c r="O221" i="1"/>
  <c r="M221" i="1"/>
  <c r="L221" i="1"/>
  <c r="K221" i="1"/>
  <c r="J221" i="1"/>
  <c r="I221" i="1"/>
  <c r="H221" i="1"/>
  <c r="F221" i="1"/>
  <c r="E221" i="1"/>
  <c r="C221" i="1"/>
  <c r="AI220" i="1"/>
  <c r="AG211" i="1"/>
  <c r="AF211" i="1"/>
  <c r="AE211" i="1"/>
  <c r="AD211" i="1"/>
  <c r="AC211" i="1"/>
  <c r="AA211" i="1"/>
  <c r="Z211" i="1"/>
  <c r="Y211" i="1"/>
  <c r="X211" i="1"/>
  <c r="W211" i="1"/>
  <c r="V211" i="1"/>
  <c r="T211" i="1"/>
  <c r="M211" i="1"/>
  <c r="L211" i="1"/>
  <c r="K211" i="1"/>
  <c r="J211" i="1"/>
  <c r="I211" i="1"/>
  <c r="H211" i="1"/>
  <c r="F211" i="1"/>
  <c r="E211" i="1"/>
  <c r="C211" i="1"/>
  <c r="AI210" i="1"/>
  <c r="AF189" i="1"/>
  <c r="AE189" i="1"/>
  <c r="AC189" i="1"/>
  <c r="AB189" i="1"/>
  <c r="AA189" i="1"/>
  <c r="X189" i="1"/>
  <c r="V189" i="1"/>
  <c r="U189" i="1"/>
  <c r="T189" i="1"/>
  <c r="S189" i="1"/>
  <c r="R189" i="1"/>
  <c r="Q189" i="1"/>
  <c r="N189" i="1"/>
  <c r="M189" i="1"/>
  <c r="L189" i="1"/>
  <c r="K189" i="1"/>
  <c r="J189" i="1"/>
  <c r="H189" i="1"/>
  <c r="G189" i="1"/>
  <c r="E189" i="1"/>
  <c r="D189" i="1"/>
  <c r="AI188" i="1"/>
  <c r="AF179" i="1"/>
  <c r="AE179" i="1"/>
  <c r="AC179" i="1"/>
  <c r="AB179" i="1"/>
  <c r="AA179" i="1"/>
  <c r="X179" i="1"/>
  <c r="V179" i="1"/>
  <c r="U179" i="1"/>
  <c r="T179" i="1"/>
  <c r="S179" i="1"/>
  <c r="R179" i="1"/>
  <c r="Q179" i="1"/>
  <c r="N179" i="1"/>
  <c r="M179" i="1"/>
  <c r="L179" i="1"/>
  <c r="K179" i="1"/>
  <c r="J179" i="1"/>
  <c r="H179" i="1"/>
  <c r="G179" i="1"/>
  <c r="E179" i="1"/>
  <c r="D179" i="1"/>
  <c r="AI178" i="1"/>
  <c r="AF157" i="1"/>
  <c r="AE157" i="1"/>
  <c r="AD157" i="1"/>
  <c r="AC157" i="1"/>
  <c r="AB157" i="1"/>
  <c r="AA157" i="1"/>
  <c r="Y157" i="1"/>
  <c r="X157" i="1"/>
  <c r="W157" i="1"/>
  <c r="V157" i="1"/>
  <c r="U157" i="1"/>
  <c r="T157" i="1"/>
  <c r="R157" i="1"/>
  <c r="Q157" i="1"/>
  <c r="P157" i="1"/>
  <c r="O157" i="1"/>
  <c r="N157" i="1"/>
  <c r="M157" i="1"/>
  <c r="K157" i="1"/>
  <c r="J157" i="1"/>
  <c r="I157" i="1"/>
  <c r="H157" i="1"/>
  <c r="G157" i="1"/>
  <c r="F157" i="1"/>
  <c r="D157" i="1"/>
  <c r="AI156" i="1"/>
  <c r="AF147" i="1"/>
  <c r="AE147" i="1"/>
  <c r="AD147" i="1"/>
  <c r="AC147" i="1"/>
  <c r="AB147" i="1"/>
  <c r="AA147" i="1"/>
  <c r="Y147" i="1"/>
  <c r="X147" i="1"/>
  <c r="W147" i="1"/>
  <c r="V147" i="1"/>
  <c r="U147" i="1"/>
  <c r="T147" i="1"/>
  <c r="R147" i="1"/>
  <c r="Q147" i="1"/>
  <c r="P147" i="1"/>
  <c r="O147" i="1"/>
  <c r="N147" i="1"/>
  <c r="M147" i="1"/>
  <c r="K147" i="1"/>
  <c r="J147" i="1"/>
  <c r="I147" i="1"/>
  <c r="H147" i="1"/>
  <c r="G147" i="1"/>
  <c r="F147" i="1"/>
  <c r="D147" i="1"/>
  <c r="AF125" i="1"/>
  <c r="AE125" i="1"/>
  <c r="AD125" i="1"/>
  <c r="AC125" i="1"/>
  <c r="AA125" i="1"/>
  <c r="Z125" i="1"/>
  <c r="Y125" i="1"/>
  <c r="X125" i="1"/>
  <c r="V125" i="1"/>
  <c r="T125" i="1"/>
  <c r="S125" i="1"/>
  <c r="R125" i="1"/>
  <c r="Q125" i="1"/>
  <c r="P125" i="1"/>
  <c r="O125" i="1"/>
  <c r="M125" i="1"/>
  <c r="L125" i="1"/>
  <c r="K125" i="1"/>
  <c r="J125" i="1"/>
  <c r="I125" i="1"/>
  <c r="H125" i="1"/>
  <c r="F125" i="1"/>
  <c r="C125" i="1"/>
  <c r="AI124" i="1"/>
  <c r="AF115" i="1"/>
  <c r="AE115" i="1"/>
  <c r="AD115" i="1"/>
  <c r="AC115" i="1"/>
  <c r="AA115" i="1"/>
  <c r="Z115" i="1"/>
  <c r="Y115" i="1"/>
  <c r="X115" i="1"/>
  <c r="V115" i="1"/>
  <c r="T115" i="1"/>
  <c r="S115" i="1"/>
  <c r="R115" i="1"/>
  <c r="Q115" i="1"/>
  <c r="P115" i="1"/>
  <c r="O115" i="1"/>
  <c r="M115" i="1"/>
  <c r="L115" i="1"/>
  <c r="K115" i="1"/>
  <c r="J115" i="1"/>
  <c r="I115" i="1"/>
  <c r="H115" i="1"/>
  <c r="F115" i="1"/>
  <c r="C115" i="1"/>
  <c r="AI114" i="1"/>
  <c r="AG93" i="1"/>
  <c r="AF93" i="1"/>
  <c r="AD93" i="1"/>
  <c r="AC93" i="1"/>
  <c r="AB93" i="1"/>
  <c r="AA93" i="1"/>
  <c r="Z93" i="1"/>
  <c r="Y93" i="1"/>
  <c r="W93" i="1"/>
  <c r="U93" i="1"/>
  <c r="T93" i="1"/>
  <c r="S93" i="1"/>
  <c r="R93" i="1"/>
  <c r="P93" i="1"/>
  <c r="N93" i="1"/>
  <c r="M93" i="1"/>
  <c r="L93" i="1"/>
  <c r="K93" i="1"/>
  <c r="I93" i="1"/>
  <c r="G93" i="1"/>
  <c r="F93" i="1"/>
  <c r="E93" i="1"/>
  <c r="D93" i="1"/>
  <c r="AI92" i="1"/>
  <c r="AG83" i="1"/>
  <c r="AF83" i="1"/>
  <c r="AD83" i="1"/>
  <c r="AC83" i="1"/>
  <c r="AB83" i="1"/>
  <c r="AA83" i="1"/>
  <c r="Z83" i="1"/>
  <c r="Y83" i="1"/>
  <c r="W83" i="1"/>
  <c r="V83" i="1"/>
  <c r="U83" i="1"/>
  <c r="T83" i="1"/>
  <c r="S83" i="1"/>
  <c r="R83" i="1"/>
  <c r="P83" i="1"/>
  <c r="O83" i="1"/>
  <c r="N83" i="1"/>
  <c r="M83" i="1"/>
  <c r="L83" i="1"/>
  <c r="K83" i="1"/>
  <c r="I83" i="1"/>
  <c r="H83" i="1"/>
  <c r="G83" i="1"/>
  <c r="F83" i="1"/>
  <c r="E83" i="1"/>
  <c r="D83" i="1"/>
  <c r="AD61" i="1"/>
  <c r="AB61" i="1"/>
  <c r="AA61" i="1"/>
  <c r="Z61" i="1"/>
  <c r="Y61" i="1"/>
  <c r="W61" i="1"/>
  <c r="P61" i="1"/>
  <c r="N61" i="1"/>
  <c r="M61" i="1"/>
  <c r="L61" i="1"/>
  <c r="K61" i="1"/>
  <c r="I61" i="1"/>
  <c r="H61" i="1"/>
  <c r="G61" i="1"/>
  <c r="F61" i="1"/>
  <c r="E61" i="1"/>
  <c r="D61" i="1"/>
  <c r="AI60" i="1"/>
  <c r="AD51" i="1"/>
  <c r="AC51" i="1"/>
  <c r="AB51" i="1"/>
  <c r="AA51" i="1"/>
  <c r="Z51" i="1"/>
  <c r="Y51" i="1"/>
  <c r="W51" i="1"/>
  <c r="V51" i="1"/>
  <c r="U51" i="1"/>
  <c r="P51" i="1"/>
  <c r="M51" i="1"/>
  <c r="K51" i="1"/>
  <c r="I51" i="1"/>
  <c r="H51" i="1"/>
  <c r="F51" i="1"/>
  <c r="D51" i="1"/>
  <c r="AI50" i="1"/>
  <c r="AG29" i="1"/>
  <c r="AF29" i="1"/>
  <c r="AE29" i="1"/>
  <c r="AD29" i="1"/>
  <c r="AC29" i="1"/>
  <c r="AB29" i="1"/>
  <c r="Z29" i="1"/>
  <c r="Y29" i="1"/>
  <c r="X29" i="1"/>
  <c r="W29" i="1"/>
  <c r="V29" i="1"/>
  <c r="U29" i="1"/>
  <c r="S29" i="1"/>
  <c r="R29" i="1"/>
  <c r="Q29" i="1"/>
  <c r="P29" i="1"/>
  <c r="O29" i="1"/>
  <c r="N29" i="1"/>
  <c r="L29" i="1"/>
  <c r="K29" i="1"/>
  <c r="J29" i="1"/>
  <c r="I29" i="1"/>
  <c r="H29" i="1"/>
  <c r="G29" i="1"/>
  <c r="E29" i="1"/>
  <c r="D29" i="1"/>
  <c r="AI28" i="1"/>
  <c r="AG19" i="1"/>
  <c r="AF19" i="1"/>
  <c r="AE19" i="1"/>
  <c r="AD19" i="1"/>
  <c r="AC19" i="1"/>
  <c r="AB19" i="1"/>
  <c r="Z19" i="1"/>
  <c r="Y19" i="1"/>
  <c r="X19" i="1"/>
  <c r="W19" i="1"/>
  <c r="V19" i="1"/>
  <c r="U19" i="1"/>
  <c r="S19" i="1"/>
  <c r="R19" i="1"/>
  <c r="Q19" i="1"/>
  <c r="P19" i="1"/>
  <c r="O19" i="1"/>
  <c r="N19" i="1"/>
  <c r="L19" i="1"/>
  <c r="K19" i="1"/>
  <c r="J19" i="1"/>
  <c r="I19" i="1"/>
  <c r="H19" i="1"/>
  <c r="G19" i="1"/>
  <c r="E19" i="1"/>
  <c r="D19" i="1"/>
  <c r="AI18" i="1"/>
  <c r="AG325" i="1"/>
  <c r="AG323" i="1"/>
  <c r="AG321" i="1"/>
  <c r="AG319" i="1"/>
  <c r="AG315" i="1"/>
  <c r="AG313" i="1"/>
  <c r="AG311" i="1"/>
  <c r="AG309" i="1"/>
  <c r="AG299" i="1"/>
  <c r="AD69" i="1"/>
  <c r="AD67" i="1"/>
  <c r="AD65" i="1"/>
  <c r="AD63" i="1"/>
  <c r="AD59" i="1"/>
  <c r="AD57" i="1"/>
  <c r="AD55" i="1"/>
  <c r="AD53" i="1"/>
  <c r="AD49" i="1"/>
  <c r="AD47" i="1"/>
  <c r="AD45" i="1"/>
  <c r="AD43" i="1"/>
  <c r="AG37" i="1"/>
  <c r="AG35" i="1"/>
  <c r="AG33" i="1"/>
  <c r="AG31" i="1"/>
  <c r="AG27" i="1"/>
  <c r="AG25" i="1"/>
  <c r="AG23" i="1"/>
  <c r="AG21" i="1"/>
  <c r="AG17" i="1"/>
  <c r="AG15" i="1"/>
  <c r="AG13" i="1"/>
  <c r="AG11" i="1"/>
  <c r="N389" i="1"/>
  <c r="N387" i="1"/>
  <c r="N385" i="1"/>
  <c r="N383" i="1"/>
  <c r="N379" i="1"/>
  <c r="N377" i="1"/>
  <c r="N375" i="1"/>
  <c r="N373" i="1"/>
  <c r="N363" i="1"/>
  <c r="U389" i="1"/>
  <c r="U387" i="1"/>
  <c r="U385" i="1"/>
  <c r="U383" i="1"/>
  <c r="U379" i="1"/>
  <c r="U377" i="1"/>
  <c r="U375" i="1"/>
  <c r="U373" i="1"/>
  <c r="U363" i="1"/>
  <c r="AB389" i="1"/>
  <c r="AB387" i="1"/>
  <c r="AB385" i="1"/>
  <c r="AB383" i="1"/>
  <c r="AB379" i="1"/>
  <c r="AB377" i="1"/>
  <c r="AB375" i="1"/>
  <c r="AB373" i="1"/>
  <c r="AB369" i="1"/>
  <c r="AB367" i="1"/>
  <c r="AB365" i="1"/>
  <c r="AB363" i="1"/>
  <c r="AD357" i="1"/>
  <c r="AD355" i="1"/>
  <c r="AD353" i="1"/>
  <c r="AD351" i="1"/>
  <c r="AD347" i="1"/>
  <c r="AD345" i="1"/>
  <c r="AD343" i="1"/>
  <c r="AD341" i="1"/>
  <c r="AD331" i="1"/>
  <c r="W357" i="1"/>
  <c r="W355" i="1"/>
  <c r="W353" i="1"/>
  <c r="W351" i="1"/>
  <c r="W347" i="1"/>
  <c r="W345" i="1"/>
  <c r="W343" i="1"/>
  <c r="W341" i="1"/>
  <c r="W337" i="1"/>
  <c r="W335" i="1"/>
  <c r="W333" i="1"/>
  <c r="W331" i="1"/>
  <c r="P357" i="1"/>
  <c r="P355" i="1"/>
  <c r="P353" i="1"/>
  <c r="P351" i="1"/>
  <c r="P347" i="1"/>
  <c r="P345" i="1"/>
  <c r="P343" i="1"/>
  <c r="P341" i="1"/>
  <c r="P331" i="1"/>
  <c r="I357" i="1"/>
  <c r="I355" i="1"/>
  <c r="I353" i="1"/>
  <c r="I351" i="1"/>
  <c r="I347" i="1"/>
  <c r="I345" i="1"/>
  <c r="I343" i="1"/>
  <c r="I341" i="1"/>
  <c r="I331" i="1"/>
  <c r="E325" i="1"/>
  <c r="E323" i="1"/>
  <c r="E321" i="1"/>
  <c r="E319" i="1"/>
  <c r="E315" i="1"/>
  <c r="E313" i="1"/>
  <c r="E311" i="1"/>
  <c r="E309" i="1"/>
  <c r="E305" i="1"/>
  <c r="E303" i="1"/>
  <c r="E301" i="1"/>
  <c r="E299" i="1"/>
  <c r="L325" i="1"/>
  <c r="L323" i="1"/>
  <c r="L321" i="1"/>
  <c r="L319" i="1"/>
  <c r="L315" i="1"/>
  <c r="L313" i="1"/>
  <c r="L311" i="1"/>
  <c r="L309" i="1"/>
  <c r="L305" i="1"/>
  <c r="L303" i="1"/>
  <c r="L301" i="1"/>
  <c r="L299" i="1"/>
  <c r="S325" i="1"/>
  <c r="S323" i="1"/>
  <c r="S321" i="1"/>
  <c r="S319" i="1"/>
  <c r="S315" i="1"/>
  <c r="S313" i="1"/>
  <c r="S311" i="1"/>
  <c r="S309" i="1"/>
  <c r="S305" i="1"/>
  <c r="S303" i="1"/>
  <c r="S301" i="1"/>
  <c r="S299" i="1"/>
  <c r="Z325" i="1"/>
  <c r="Z323" i="1"/>
  <c r="Z321" i="1"/>
  <c r="Z319" i="1"/>
  <c r="Z315" i="1"/>
  <c r="Z313" i="1"/>
  <c r="Z299" i="1"/>
  <c r="AB293" i="1"/>
  <c r="AB291" i="1"/>
  <c r="AB289" i="1"/>
  <c r="AB287" i="1"/>
  <c r="AB283" i="1"/>
  <c r="AB281" i="1"/>
  <c r="AB279" i="1"/>
  <c r="AB277" i="1"/>
  <c r="AB273" i="1"/>
  <c r="AB271" i="1"/>
  <c r="AB269" i="1"/>
  <c r="AB267" i="1"/>
  <c r="U293" i="1"/>
  <c r="U291" i="1"/>
  <c r="U289" i="1"/>
  <c r="U287" i="1"/>
  <c r="U283" i="1"/>
  <c r="U281" i="1"/>
  <c r="U279" i="1"/>
  <c r="U277" i="1"/>
  <c r="U273" i="1"/>
  <c r="U271" i="1"/>
  <c r="U269" i="1"/>
  <c r="U267" i="1"/>
  <c r="N293" i="1"/>
  <c r="N291" i="1"/>
  <c r="N289" i="1"/>
  <c r="N287" i="1"/>
  <c r="N277" i="1"/>
  <c r="N273" i="1"/>
  <c r="N271" i="1"/>
  <c r="N269" i="1"/>
  <c r="N267" i="1"/>
  <c r="G293" i="1"/>
  <c r="G291" i="1"/>
  <c r="G289" i="1"/>
  <c r="G287" i="1"/>
  <c r="G273" i="1"/>
  <c r="G271" i="1"/>
  <c r="G269" i="1"/>
  <c r="G267" i="1"/>
  <c r="C261" i="1"/>
  <c r="C259" i="1"/>
  <c r="C257" i="1"/>
  <c r="C255" i="1"/>
  <c r="C251" i="1"/>
  <c r="C249" i="1"/>
  <c r="C247" i="1"/>
  <c r="C245" i="1"/>
  <c r="C241" i="1"/>
  <c r="C239" i="1"/>
  <c r="C237" i="1"/>
  <c r="C235" i="1"/>
  <c r="J261" i="1"/>
  <c r="J259" i="1"/>
  <c r="J257" i="1"/>
  <c r="J255" i="1"/>
  <c r="J251" i="1"/>
  <c r="J249" i="1"/>
  <c r="J247" i="1"/>
  <c r="J245" i="1"/>
  <c r="J241" i="1"/>
  <c r="J239" i="1"/>
  <c r="J237" i="1"/>
  <c r="J235" i="1"/>
  <c r="Q261" i="1"/>
  <c r="Q259" i="1"/>
  <c r="Q257" i="1"/>
  <c r="Q255" i="1"/>
  <c r="Q251" i="1"/>
  <c r="Q249" i="1"/>
  <c r="Q247" i="1"/>
  <c r="Q241" i="1"/>
  <c r="Q239" i="1"/>
  <c r="Q237" i="1"/>
  <c r="Q235" i="1"/>
  <c r="X261" i="1"/>
  <c r="X259" i="1"/>
  <c r="X257" i="1"/>
  <c r="X255" i="1"/>
  <c r="X249" i="1"/>
  <c r="X247" i="1"/>
  <c r="X241" i="1"/>
  <c r="X239" i="1"/>
  <c r="X237" i="1"/>
  <c r="X235" i="1"/>
  <c r="AE261" i="1"/>
  <c r="AE259" i="1"/>
  <c r="AE257" i="1"/>
  <c r="AE255" i="1"/>
  <c r="AE251" i="1"/>
  <c r="AE249" i="1"/>
  <c r="AE247" i="1"/>
  <c r="AE235" i="1"/>
  <c r="AA229" i="1"/>
  <c r="AA227" i="1"/>
  <c r="AA225" i="1"/>
  <c r="AA223" i="1"/>
  <c r="AA219" i="1"/>
  <c r="AA217" i="1"/>
  <c r="AA215" i="1"/>
  <c r="AA213" i="1"/>
  <c r="AA209" i="1"/>
  <c r="AA207" i="1"/>
  <c r="AA205" i="1"/>
  <c r="AA203" i="1"/>
  <c r="T229" i="1"/>
  <c r="T227" i="1"/>
  <c r="T225" i="1"/>
  <c r="T223" i="1"/>
  <c r="T219" i="1"/>
  <c r="T217" i="1"/>
  <c r="T215" i="1"/>
  <c r="T213" i="1"/>
  <c r="T209" i="1"/>
  <c r="T207" i="1"/>
  <c r="T205" i="1"/>
  <c r="T203" i="1"/>
  <c r="M229" i="1"/>
  <c r="M227" i="1"/>
  <c r="M225" i="1"/>
  <c r="M223" i="1"/>
  <c r="M219" i="1"/>
  <c r="M217" i="1"/>
  <c r="M215" i="1"/>
  <c r="M213" i="1"/>
  <c r="M209" i="1"/>
  <c r="F229" i="1"/>
  <c r="F227" i="1"/>
  <c r="F225" i="1"/>
  <c r="F223" i="1"/>
  <c r="F219" i="1"/>
  <c r="F217" i="1"/>
  <c r="F215" i="1"/>
  <c r="F213" i="1"/>
  <c r="F209" i="1"/>
  <c r="F207" i="1"/>
  <c r="F205" i="1"/>
  <c r="F203" i="1"/>
  <c r="H197" i="1"/>
  <c r="H195" i="1"/>
  <c r="H193" i="1"/>
  <c r="H191" i="1"/>
  <c r="H187" i="1"/>
  <c r="H185" i="1"/>
  <c r="H183" i="1"/>
  <c r="H181" i="1"/>
  <c r="H177" i="1"/>
  <c r="H175" i="1"/>
  <c r="H173" i="1"/>
  <c r="H171" i="1"/>
  <c r="V197" i="1"/>
  <c r="V195" i="1"/>
  <c r="V193" i="1"/>
  <c r="V191" i="1"/>
  <c r="V187" i="1"/>
  <c r="V185" i="1"/>
  <c r="V183" i="1"/>
  <c r="V181" i="1"/>
  <c r="V177" i="1"/>
  <c r="V175" i="1"/>
  <c r="V173" i="1"/>
  <c r="V171" i="1"/>
  <c r="AC197" i="1"/>
  <c r="AC195" i="1"/>
  <c r="AC193" i="1"/>
  <c r="AC191" i="1"/>
  <c r="AC187" i="1"/>
  <c r="AC185" i="1"/>
  <c r="AC183" i="1"/>
  <c r="AC181" i="1"/>
  <c r="AC177" i="1"/>
  <c r="AF165" i="1"/>
  <c r="AF163" i="1"/>
  <c r="AF161" i="1"/>
  <c r="AF159" i="1"/>
  <c r="AF155" i="1"/>
  <c r="AF153" i="1"/>
  <c r="AF151" i="1"/>
  <c r="AF149" i="1"/>
  <c r="AF145" i="1"/>
  <c r="AF143" i="1"/>
  <c r="AF141" i="1"/>
  <c r="AF139" i="1"/>
  <c r="Y165" i="1"/>
  <c r="Y163" i="1"/>
  <c r="Y161" i="1"/>
  <c r="Y159" i="1"/>
  <c r="Y155" i="1"/>
  <c r="Y153" i="1"/>
  <c r="Y151" i="1"/>
  <c r="Y149" i="1"/>
  <c r="Y145" i="1"/>
  <c r="Y143" i="1"/>
  <c r="Y141" i="1"/>
  <c r="Y139" i="1"/>
  <c r="R165" i="1"/>
  <c r="R163" i="1"/>
  <c r="R161" i="1"/>
  <c r="R159" i="1"/>
  <c r="R155" i="1"/>
  <c r="R153" i="1"/>
  <c r="R151" i="1"/>
  <c r="R149" i="1"/>
  <c r="R145" i="1"/>
  <c r="R143" i="1"/>
  <c r="R141" i="1"/>
  <c r="R139" i="1"/>
  <c r="K165" i="1"/>
  <c r="K163" i="1"/>
  <c r="K161" i="1"/>
  <c r="K159" i="1"/>
  <c r="K155" i="1"/>
  <c r="K153" i="1"/>
  <c r="K151" i="1"/>
  <c r="K149" i="1"/>
  <c r="K145" i="1"/>
  <c r="K143" i="1"/>
  <c r="K141" i="1"/>
  <c r="K139" i="1"/>
  <c r="D165" i="1"/>
  <c r="D163" i="1"/>
  <c r="D161" i="1"/>
  <c r="D159" i="1"/>
  <c r="D155" i="1"/>
  <c r="D153" i="1"/>
  <c r="D151" i="1"/>
  <c r="D149" i="1"/>
  <c r="D145" i="1"/>
  <c r="D143" i="1"/>
  <c r="D141" i="1"/>
  <c r="D139" i="1"/>
  <c r="F133" i="1"/>
  <c r="F131" i="1"/>
  <c r="F129" i="1"/>
  <c r="F127" i="1"/>
  <c r="F123" i="1"/>
  <c r="F121" i="1"/>
  <c r="F119" i="1"/>
  <c r="F117" i="1"/>
  <c r="F113" i="1"/>
  <c r="F111" i="1"/>
  <c r="F109" i="1"/>
  <c r="F107" i="1"/>
  <c r="M133" i="1"/>
  <c r="M131" i="1"/>
  <c r="M129" i="1"/>
  <c r="M127" i="1"/>
  <c r="M123" i="1"/>
  <c r="M121" i="1"/>
  <c r="M119" i="1"/>
  <c r="M117" i="1"/>
  <c r="M113" i="1"/>
  <c r="M111" i="1"/>
  <c r="M109" i="1"/>
  <c r="M107" i="1"/>
  <c r="T133" i="1"/>
  <c r="T131" i="1"/>
  <c r="T129" i="1"/>
  <c r="T127" i="1"/>
  <c r="T123" i="1"/>
  <c r="T121" i="1"/>
  <c r="T119" i="1"/>
  <c r="T117" i="1"/>
  <c r="T113" i="1"/>
  <c r="T111" i="1"/>
  <c r="T109" i="1"/>
  <c r="T107" i="1"/>
  <c r="AA133" i="1"/>
  <c r="AA131" i="1"/>
  <c r="AA129" i="1"/>
  <c r="AA127" i="1"/>
  <c r="AA123" i="1"/>
  <c r="AA121" i="1"/>
  <c r="AA119" i="1"/>
  <c r="AA117" i="1"/>
  <c r="AA113" i="1"/>
  <c r="AA111" i="1"/>
  <c r="AA109" i="1"/>
  <c r="AA107" i="1"/>
  <c r="AD101" i="1"/>
  <c r="AD99" i="1"/>
  <c r="AD97" i="1"/>
  <c r="AD95" i="1"/>
  <c r="AD91" i="1"/>
  <c r="AD89" i="1"/>
  <c r="AD87" i="1"/>
  <c r="AD85" i="1"/>
  <c r="AD81" i="1"/>
  <c r="AD79" i="1"/>
  <c r="AD77" i="1"/>
  <c r="AD75" i="1"/>
  <c r="W101" i="1"/>
  <c r="W99" i="1"/>
  <c r="W97" i="1"/>
  <c r="W95" i="1"/>
  <c r="W91" i="1"/>
  <c r="W89" i="1"/>
  <c r="W87" i="1"/>
  <c r="W85" i="1"/>
  <c r="W81" i="1"/>
  <c r="W79" i="1"/>
  <c r="W77" i="1"/>
  <c r="W75" i="1"/>
  <c r="P101" i="1"/>
  <c r="P99" i="1"/>
  <c r="P97" i="1"/>
  <c r="P95" i="1"/>
  <c r="P91" i="1"/>
  <c r="P89" i="1"/>
  <c r="P87" i="1"/>
  <c r="P85" i="1"/>
  <c r="P81" i="1"/>
  <c r="P79" i="1"/>
  <c r="P77" i="1"/>
  <c r="P75" i="1"/>
  <c r="I101" i="1"/>
  <c r="I99" i="1"/>
  <c r="I97" i="1"/>
  <c r="I95" i="1"/>
  <c r="I91" i="1"/>
  <c r="I89" i="1"/>
  <c r="I87" i="1"/>
  <c r="I85" i="1"/>
  <c r="I81" i="1"/>
  <c r="I79" i="1"/>
  <c r="I77" i="1"/>
  <c r="I75" i="1"/>
  <c r="I69" i="1"/>
  <c r="I67" i="1"/>
  <c r="I65" i="1"/>
  <c r="I63" i="1"/>
  <c r="I59" i="1"/>
  <c r="I57" i="1"/>
  <c r="I55" i="1"/>
  <c r="I53" i="1"/>
  <c r="I49" i="1"/>
  <c r="I47" i="1"/>
  <c r="I45" i="1"/>
  <c r="I43" i="1"/>
  <c r="P69" i="1"/>
  <c r="P67" i="1"/>
  <c r="P65" i="1"/>
  <c r="P63" i="1"/>
  <c r="P59" i="1"/>
  <c r="P57" i="1"/>
  <c r="P55" i="1"/>
  <c r="P53" i="1"/>
  <c r="P49" i="1"/>
  <c r="P47" i="1"/>
  <c r="P45" i="1"/>
  <c r="P43" i="1"/>
  <c r="W69" i="1"/>
  <c r="W67" i="1"/>
  <c r="W65" i="1"/>
  <c r="W63" i="1"/>
  <c r="W59" i="1"/>
  <c r="W57" i="1"/>
  <c r="W55" i="1"/>
  <c r="W53" i="1"/>
  <c r="W49" i="1"/>
  <c r="W47" i="1"/>
  <c r="W45" i="1"/>
  <c r="W43" i="1"/>
  <c r="Z37" i="1"/>
  <c r="Z35" i="1"/>
  <c r="Z33" i="1"/>
  <c r="Z31" i="1"/>
  <c r="Z27" i="1"/>
  <c r="Z25" i="1"/>
  <c r="Z23" i="1"/>
  <c r="Z21" i="1"/>
  <c r="Z17" i="1"/>
  <c r="Z15" i="1"/>
  <c r="Z13" i="1"/>
  <c r="Z11" i="1"/>
  <c r="S37" i="1"/>
  <c r="S35" i="1"/>
  <c r="S33" i="1"/>
  <c r="S31" i="1"/>
  <c r="S27" i="1"/>
  <c r="S25" i="1"/>
  <c r="S23" i="1"/>
  <c r="S21" i="1"/>
  <c r="S17" i="1"/>
  <c r="S15" i="1"/>
  <c r="S13" i="1"/>
  <c r="S11" i="1"/>
  <c r="L37" i="1"/>
  <c r="L35" i="1"/>
  <c r="L33" i="1"/>
  <c r="L31" i="1"/>
  <c r="L27" i="1"/>
  <c r="L25" i="1"/>
  <c r="L23" i="1"/>
  <c r="L21" i="1"/>
  <c r="L17" i="1"/>
  <c r="L15" i="1"/>
  <c r="L13" i="1"/>
  <c r="L11" i="1"/>
  <c r="AB359" i="1" l="1"/>
  <c r="AB327" i="1"/>
  <c r="AB295" i="1"/>
  <c r="AB263" i="1"/>
  <c r="AB231" i="1"/>
  <c r="AB199" i="1"/>
  <c r="AB167" i="1"/>
  <c r="AB135" i="1"/>
  <c r="AB103" i="1"/>
  <c r="AB71" i="1"/>
  <c r="A39" i="1"/>
  <c r="C41" i="1" s="1"/>
  <c r="D41" i="1" s="1"/>
  <c r="E41" i="1" s="1"/>
  <c r="F41" i="1" s="1"/>
  <c r="G41" i="1" s="1"/>
  <c r="H41" i="1" s="1"/>
  <c r="I41" i="1" s="1"/>
  <c r="J41" i="1" s="1"/>
  <c r="K41" i="1" s="1"/>
  <c r="L41" i="1" s="1"/>
  <c r="M41" i="1" s="1"/>
  <c r="N41" i="1" s="1"/>
  <c r="O41" i="1" s="1"/>
  <c r="P41" i="1" s="1"/>
  <c r="Q41" i="1" s="1"/>
  <c r="R41" i="1" s="1"/>
  <c r="S41" i="1" s="1"/>
  <c r="T41" i="1" s="1"/>
  <c r="U41" i="1" s="1"/>
  <c r="V41" i="1" s="1"/>
  <c r="W41" i="1" s="1"/>
  <c r="X41" i="1" s="1"/>
  <c r="Y41" i="1" s="1"/>
  <c r="Z41" i="1" s="1"/>
  <c r="AA41" i="1" s="1"/>
  <c r="AB41" i="1" s="1"/>
  <c r="AC41" i="1" s="1"/>
  <c r="AD41" i="1" s="1"/>
  <c r="AB39" i="1"/>
  <c r="AI100" i="1"/>
  <c r="AI98" i="1"/>
  <c r="AI96" i="1"/>
  <c r="AI94" i="1"/>
  <c r="AI90" i="1"/>
  <c r="AI88" i="1"/>
  <c r="AI86" i="1"/>
  <c r="AI84" i="1"/>
  <c r="AI80" i="1"/>
  <c r="AI78" i="1"/>
  <c r="AI76" i="1"/>
  <c r="AI68" i="1"/>
  <c r="AI66" i="1"/>
  <c r="AI64" i="1"/>
  <c r="AI62" i="1"/>
  <c r="AI58" i="1"/>
  <c r="AI56" i="1"/>
  <c r="AI54" i="1"/>
  <c r="AI52" i="1"/>
  <c r="AI48" i="1"/>
  <c r="AI46" i="1"/>
  <c r="AI44" i="1"/>
  <c r="AI42" i="1"/>
  <c r="AB7" i="1"/>
  <c r="M393" i="1"/>
  <c r="GI392" i="1"/>
  <c r="FU392" i="1"/>
  <c r="FG392" i="1"/>
  <c r="ES392" i="1"/>
  <c r="ET392" i="1" s="1"/>
  <c r="EE392" i="1"/>
  <c r="DQ392" i="1"/>
  <c r="DR392" i="1" s="1"/>
  <c r="DC392" i="1"/>
  <c r="DD392" i="1" s="1"/>
  <c r="CO392" i="1"/>
  <c r="CA392" i="1"/>
  <c r="BM392" i="1"/>
  <c r="AY392" i="1"/>
  <c r="AK392" i="1"/>
  <c r="GI391" i="1"/>
  <c r="GJ391" i="1" s="1"/>
  <c r="GK391" i="1" s="1"/>
  <c r="GL391" i="1" s="1"/>
  <c r="GM391" i="1" s="1"/>
  <c r="GN391" i="1" s="1"/>
  <c r="GO391" i="1" s="1"/>
  <c r="GP391" i="1" s="1"/>
  <c r="GQ391" i="1" s="1"/>
  <c r="GR391" i="1" s="1"/>
  <c r="GS391" i="1" s="1"/>
  <c r="GT391" i="1" s="1"/>
  <c r="GU391" i="1" s="1"/>
  <c r="FU391" i="1"/>
  <c r="FV391" i="1" s="1"/>
  <c r="FW391" i="1" s="1"/>
  <c r="FX391" i="1" s="1"/>
  <c r="FY391" i="1" s="1"/>
  <c r="FZ391" i="1" s="1"/>
  <c r="GA391" i="1" s="1"/>
  <c r="GB391" i="1" s="1"/>
  <c r="GC391" i="1" s="1"/>
  <c r="GD391" i="1" s="1"/>
  <c r="GE391" i="1" s="1"/>
  <c r="GF391" i="1" s="1"/>
  <c r="GG391" i="1" s="1"/>
  <c r="FG391" i="1"/>
  <c r="FH391" i="1" s="1"/>
  <c r="FI391" i="1" s="1"/>
  <c r="FJ391" i="1" s="1"/>
  <c r="FK391" i="1" s="1"/>
  <c r="FL391" i="1" s="1"/>
  <c r="FM391" i="1" s="1"/>
  <c r="FN391" i="1" s="1"/>
  <c r="FO391" i="1" s="1"/>
  <c r="FP391" i="1" s="1"/>
  <c r="FQ391" i="1" s="1"/>
  <c r="FR391" i="1" s="1"/>
  <c r="FS391" i="1" s="1"/>
  <c r="ES391" i="1"/>
  <c r="ET391" i="1" s="1"/>
  <c r="EU391" i="1" s="1"/>
  <c r="EV391" i="1" s="1"/>
  <c r="EW391" i="1" s="1"/>
  <c r="EX391" i="1" s="1"/>
  <c r="EY391" i="1" s="1"/>
  <c r="EZ391" i="1" s="1"/>
  <c r="FA391" i="1" s="1"/>
  <c r="FB391" i="1" s="1"/>
  <c r="FC391" i="1" s="1"/>
  <c r="FD391" i="1" s="1"/>
  <c r="FE391" i="1" s="1"/>
  <c r="EE391" i="1"/>
  <c r="EF391" i="1" s="1"/>
  <c r="EG391" i="1" s="1"/>
  <c r="EH391" i="1" s="1"/>
  <c r="EI391" i="1" s="1"/>
  <c r="EJ391" i="1" s="1"/>
  <c r="EK391" i="1" s="1"/>
  <c r="EL391" i="1" s="1"/>
  <c r="EM391" i="1" s="1"/>
  <c r="EN391" i="1" s="1"/>
  <c r="EO391" i="1" s="1"/>
  <c r="EP391" i="1" s="1"/>
  <c r="EQ391" i="1" s="1"/>
  <c r="DQ391" i="1"/>
  <c r="DR391" i="1" s="1"/>
  <c r="DS391" i="1" s="1"/>
  <c r="DT391" i="1" s="1"/>
  <c r="DU391" i="1" s="1"/>
  <c r="DV391" i="1" s="1"/>
  <c r="DW391" i="1" s="1"/>
  <c r="DX391" i="1" s="1"/>
  <c r="DY391" i="1" s="1"/>
  <c r="DZ391" i="1" s="1"/>
  <c r="EA391" i="1" s="1"/>
  <c r="EB391" i="1" s="1"/>
  <c r="EC391" i="1" s="1"/>
  <c r="DC391" i="1"/>
  <c r="DD391" i="1" s="1"/>
  <c r="DE391" i="1" s="1"/>
  <c r="DF391" i="1" s="1"/>
  <c r="DG391" i="1" s="1"/>
  <c r="DH391" i="1" s="1"/>
  <c r="DI391" i="1" s="1"/>
  <c r="DJ391" i="1" s="1"/>
  <c r="DK391" i="1" s="1"/>
  <c r="DL391" i="1" s="1"/>
  <c r="DM391" i="1" s="1"/>
  <c r="DN391" i="1" s="1"/>
  <c r="DO391" i="1" s="1"/>
  <c r="CO391" i="1"/>
  <c r="CP391" i="1" s="1"/>
  <c r="CQ391" i="1" s="1"/>
  <c r="CR391" i="1" s="1"/>
  <c r="CS391" i="1" s="1"/>
  <c r="CT391" i="1" s="1"/>
  <c r="CU391" i="1" s="1"/>
  <c r="CV391" i="1" s="1"/>
  <c r="CW391" i="1" s="1"/>
  <c r="CX391" i="1" s="1"/>
  <c r="CY391" i="1" s="1"/>
  <c r="CZ391" i="1" s="1"/>
  <c r="DA391" i="1" s="1"/>
  <c r="CA391" i="1"/>
  <c r="CB391" i="1" s="1"/>
  <c r="CC391" i="1" s="1"/>
  <c r="CD391" i="1" s="1"/>
  <c r="CE391" i="1" s="1"/>
  <c r="CF391" i="1" s="1"/>
  <c r="CG391" i="1" s="1"/>
  <c r="CH391" i="1" s="1"/>
  <c r="CI391" i="1" s="1"/>
  <c r="CJ391" i="1" s="1"/>
  <c r="CK391" i="1" s="1"/>
  <c r="CL391" i="1" s="1"/>
  <c r="CM391" i="1" s="1"/>
  <c r="BM391" i="1"/>
  <c r="BN391" i="1" s="1"/>
  <c r="BO391" i="1" s="1"/>
  <c r="BP391" i="1" s="1"/>
  <c r="BQ391" i="1" s="1"/>
  <c r="BR391" i="1" s="1"/>
  <c r="BS391" i="1" s="1"/>
  <c r="BT391" i="1" s="1"/>
  <c r="BU391" i="1" s="1"/>
  <c r="BV391" i="1" s="1"/>
  <c r="BW391" i="1" s="1"/>
  <c r="BX391" i="1" s="1"/>
  <c r="BY391" i="1" s="1"/>
  <c r="AY391" i="1"/>
  <c r="AZ391" i="1" s="1"/>
  <c r="BA391" i="1" s="1"/>
  <c r="BB391" i="1" s="1"/>
  <c r="BC391" i="1" s="1"/>
  <c r="BD391" i="1" s="1"/>
  <c r="BE391" i="1" s="1"/>
  <c r="BF391" i="1" s="1"/>
  <c r="BG391" i="1" s="1"/>
  <c r="BH391" i="1" s="1"/>
  <c r="BI391" i="1" s="1"/>
  <c r="BJ391" i="1" s="1"/>
  <c r="BK391" i="1" s="1"/>
  <c r="AK391" i="1"/>
  <c r="AL391" i="1" s="1"/>
  <c r="AM391" i="1" s="1"/>
  <c r="AN391" i="1" s="1"/>
  <c r="AO391" i="1" s="1"/>
  <c r="AP391" i="1" s="1"/>
  <c r="AQ391" i="1" s="1"/>
  <c r="AR391" i="1" s="1"/>
  <c r="AS391" i="1" s="1"/>
  <c r="AT391" i="1" s="1"/>
  <c r="AU391" i="1" s="1"/>
  <c r="AV391" i="1" s="1"/>
  <c r="AW391" i="1" s="1"/>
  <c r="AG389" i="1"/>
  <c r="AF389" i="1"/>
  <c r="AE389" i="1"/>
  <c r="AD389" i="1"/>
  <c r="Y389" i="1"/>
  <c r="X389" i="1"/>
  <c r="W389" i="1"/>
  <c r="T389" i="1"/>
  <c r="S389" i="1"/>
  <c r="Q389" i="1"/>
  <c r="P389" i="1"/>
  <c r="AI388" i="1"/>
  <c r="AG387" i="1"/>
  <c r="AF387" i="1"/>
  <c r="AE387" i="1"/>
  <c r="AD387" i="1"/>
  <c r="S387" i="1"/>
  <c r="Q387" i="1"/>
  <c r="P387" i="1"/>
  <c r="AI386" i="1"/>
  <c r="AG385" i="1"/>
  <c r="AF385" i="1"/>
  <c r="AE385" i="1"/>
  <c r="AD385" i="1"/>
  <c r="S385" i="1"/>
  <c r="Q385" i="1"/>
  <c r="P385" i="1"/>
  <c r="AI384" i="1"/>
  <c r="AG383" i="1"/>
  <c r="AF383" i="1"/>
  <c r="AE383" i="1"/>
  <c r="AD383" i="1"/>
  <c r="S383" i="1"/>
  <c r="Q383" i="1"/>
  <c r="P383" i="1"/>
  <c r="AI382" i="1"/>
  <c r="AG379" i="1"/>
  <c r="AF379" i="1"/>
  <c r="AE379" i="1"/>
  <c r="AD379" i="1"/>
  <c r="Y379" i="1"/>
  <c r="X379" i="1"/>
  <c r="W379" i="1"/>
  <c r="T379" i="1"/>
  <c r="S379" i="1"/>
  <c r="Q379" i="1"/>
  <c r="P379" i="1"/>
  <c r="AI378" i="1"/>
  <c r="AG377" i="1"/>
  <c r="AF377" i="1"/>
  <c r="AE377" i="1"/>
  <c r="AD377" i="1"/>
  <c r="Y377" i="1"/>
  <c r="X377" i="1"/>
  <c r="W377" i="1"/>
  <c r="T377" i="1"/>
  <c r="S377" i="1"/>
  <c r="Q377" i="1"/>
  <c r="P377" i="1"/>
  <c r="AI376" i="1"/>
  <c r="AG375" i="1"/>
  <c r="AF375" i="1"/>
  <c r="AE375" i="1"/>
  <c r="AD375" i="1"/>
  <c r="Y375" i="1"/>
  <c r="X375" i="1"/>
  <c r="W375" i="1"/>
  <c r="T375" i="1"/>
  <c r="S375" i="1"/>
  <c r="Q375" i="1"/>
  <c r="P375" i="1"/>
  <c r="AI374" i="1"/>
  <c r="AG373" i="1"/>
  <c r="AF373" i="1"/>
  <c r="AE373" i="1"/>
  <c r="AD373" i="1"/>
  <c r="Y373" i="1"/>
  <c r="X373" i="1"/>
  <c r="W373" i="1"/>
  <c r="T373" i="1"/>
  <c r="S373" i="1"/>
  <c r="Q373" i="1"/>
  <c r="P373" i="1"/>
  <c r="AI372" i="1"/>
  <c r="AG369" i="1"/>
  <c r="AF369" i="1"/>
  <c r="AE369" i="1"/>
  <c r="AD369" i="1"/>
  <c r="Y369" i="1"/>
  <c r="X369" i="1"/>
  <c r="W369" i="1"/>
  <c r="T369" i="1"/>
  <c r="AI368" i="1"/>
  <c r="AG367" i="1"/>
  <c r="AF367" i="1"/>
  <c r="AE367" i="1"/>
  <c r="AD367" i="1"/>
  <c r="Y367" i="1"/>
  <c r="X367" i="1"/>
  <c r="W367" i="1"/>
  <c r="T367" i="1"/>
  <c r="AI366" i="1"/>
  <c r="AG365" i="1"/>
  <c r="AF365" i="1"/>
  <c r="AE365" i="1"/>
  <c r="AD365" i="1"/>
  <c r="Y365" i="1"/>
  <c r="X365" i="1"/>
  <c r="W365" i="1"/>
  <c r="T365" i="1"/>
  <c r="AI364" i="1"/>
  <c r="AG363" i="1"/>
  <c r="AF363" i="1"/>
  <c r="AE363" i="1"/>
  <c r="AD363" i="1"/>
  <c r="Y363" i="1"/>
  <c r="X363" i="1"/>
  <c r="W363" i="1"/>
  <c r="T363" i="1"/>
  <c r="AI362" i="1"/>
  <c r="AF357" i="1"/>
  <c r="AI356" i="1"/>
  <c r="AF355" i="1"/>
  <c r="AI354" i="1"/>
  <c r="AF353" i="1"/>
  <c r="AI352" i="1"/>
  <c r="AF351" i="1"/>
  <c r="AI350" i="1"/>
  <c r="AF347" i="1"/>
  <c r="AI346" i="1"/>
  <c r="AF345" i="1"/>
  <c r="AI344" i="1"/>
  <c r="AF343" i="1"/>
  <c r="AI342" i="1"/>
  <c r="AF341" i="1"/>
  <c r="AI340" i="1"/>
  <c r="AF337" i="1"/>
  <c r="AI336" i="1"/>
  <c r="AF335" i="1"/>
  <c r="AI334" i="1"/>
  <c r="AF333" i="1"/>
  <c r="AI332" i="1"/>
  <c r="AF331" i="1"/>
  <c r="AI330" i="1"/>
  <c r="AI324" i="1"/>
  <c r="AI322" i="1"/>
  <c r="AI320" i="1"/>
  <c r="AI318" i="1"/>
  <c r="AI314" i="1"/>
  <c r="AI312" i="1"/>
  <c r="AI310" i="1"/>
  <c r="AI308" i="1"/>
  <c r="AI304" i="1"/>
  <c r="AI302" i="1"/>
  <c r="AI300" i="1"/>
  <c r="AI298" i="1"/>
  <c r="AI292" i="1"/>
  <c r="AI290" i="1"/>
  <c r="AI288" i="1"/>
  <c r="AI286" i="1"/>
  <c r="AI282" i="1"/>
  <c r="AI280" i="1"/>
  <c r="AI278" i="1"/>
  <c r="AI276" i="1"/>
  <c r="AI272" i="1"/>
  <c r="AI270" i="1"/>
  <c r="AI268" i="1"/>
  <c r="AI266" i="1"/>
  <c r="AG261" i="1"/>
  <c r="AB261" i="1"/>
  <c r="AA261" i="1"/>
  <c r="Z261" i="1"/>
  <c r="U261" i="1"/>
  <c r="T261" i="1"/>
  <c r="S261" i="1"/>
  <c r="O261" i="1"/>
  <c r="N261" i="1"/>
  <c r="M261" i="1"/>
  <c r="L261" i="1"/>
  <c r="I261" i="1"/>
  <c r="H261" i="1"/>
  <c r="G261" i="1"/>
  <c r="F261" i="1"/>
  <c r="E261" i="1"/>
  <c r="AI260" i="1"/>
  <c r="AG259" i="1"/>
  <c r="AB259" i="1"/>
  <c r="AA259" i="1"/>
  <c r="Z259" i="1"/>
  <c r="U259" i="1"/>
  <c r="T259" i="1"/>
  <c r="S259" i="1"/>
  <c r="O259" i="1"/>
  <c r="N259" i="1"/>
  <c r="M259" i="1"/>
  <c r="L259" i="1"/>
  <c r="I259" i="1"/>
  <c r="H259" i="1"/>
  <c r="G259" i="1"/>
  <c r="F259" i="1"/>
  <c r="E259" i="1"/>
  <c r="AI258" i="1"/>
  <c r="AG257" i="1"/>
  <c r="AA257" i="1"/>
  <c r="Z257" i="1"/>
  <c r="U257" i="1"/>
  <c r="T257" i="1"/>
  <c r="S257" i="1"/>
  <c r="O257" i="1"/>
  <c r="N257" i="1"/>
  <c r="M257" i="1"/>
  <c r="L257" i="1"/>
  <c r="I257" i="1"/>
  <c r="H257" i="1"/>
  <c r="G257" i="1"/>
  <c r="F257" i="1"/>
  <c r="E257" i="1"/>
  <c r="AI256" i="1"/>
  <c r="AG255" i="1"/>
  <c r="AA255" i="1"/>
  <c r="Z255" i="1"/>
  <c r="U255" i="1"/>
  <c r="T255" i="1"/>
  <c r="S255" i="1"/>
  <c r="O255" i="1"/>
  <c r="N255" i="1"/>
  <c r="M255" i="1"/>
  <c r="L255" i="1"/>
  <c r="I255" i="1"/>
  <c r="H255" i="1"/>
  <c r="G255" i="1"/>
  <c r="F255" i="1"/>
  <c r="E255" i="1"/>
  <c r="AI254" i="1"/>
  <c r="O251" i="1"/>
  <c r="M251" i="1"/>
  <c r="I251" i="1"/>
  <c r="H251" i="1"/>
  <c r="G251" i="1"/>
  <c r="F251" i="1"/>
  <c r="E251" i="1"/>
  <c r="AI250" i="1"/>
  <c r="O249" i="1"/>
  <c r="M249" i="1"/>
  <c r="I249" i="1"/>
  <c r="H249" i="1"/>
  <c r="G249" i="1"/>
  <c r="F249" i="1"/>
  <c r="E249" i="1"/>
  <c r="AI248" i="1"/>
  <c r="O247" i="1"/>
  <c r="M247" i="1"/>
  <c r="I247" i="1"/>
  <c r="H247" i="1"/>
  <c r="G247" i="1"/>
  <c r="F247" i="1"/>
  <c r="E247" i="1"/>
  <c r="AI246" i="1"/>
  <c r="I245" i="1"/>
  <c r="H245" i="1"/>
  <c r="G245" i="1"/>
  <c r="F245" i="1"/>
  <c r="E245" i="1"/>
  <c r="AI244" i="1"/>
  <c r="AD241" i="1"/>
  <c r="AC241" i="1"/>
  <c r="AI240" i="1"/>
  <c r="AD239" i="1"/>
  <c r="AC239" i="1"/>
  <c r="AI238" i="1"/>
  <c r="AD237" i="1"/>
  <c r="AC237" i="1"/>
  <c r="AI236" i="1"/>
  <c r="AD235" i="1"/>
  <c r="AC235" i="1"/>
  <c r="AI234" i="1"/>
  <c r="AG229" i="1"/>
  <c r="AF229" i="1"/>
  <c r="AE229" i="1"/>
  <c r="AD229" i="1"/>
  <c r="AC229" i="1"/>
  <c r="Z229" i="1"/>
  <c r="Y229" i="1"/>
  <c r="X229" i="1"/>
  <c r="W229" i="1"/>
  <c r="V229" i="1"/>
  <c r="Q229" i="1"/>
  <c r="P229" i="1"/>
  <c r="O229" i="1"/>
  <c r="L229" i="1"/>
  <c r="K229" i="1"/>
  <c r="J229" i="1"/>
  <c r="I229" i="1"/>
  <c r="H229" i="1"/>
  <c r="E229" i="1"/>
  <c r="C229" i="1"/>
  <c r="AI228" i="1"/>
  <c r="AG227" i="1"/>
  <c r="AF227" i="1"/>
  <c r="AE227" i="1"/>
  <c r="AD227" i="1"/>
  <c r="AC227" i="1"/>
  <c r="Z227" i="1"/>
  <c r="AI226" i="1"/>
  <c r="AG225" i="1"/>
  <c r="AF225" i="1"/>
  <c r="AE225" i="1"/>
  <c r="AD225" i="1"/>
  <c r="AC225" i="1"/>
  <c r="Z225" i="1"/>
  <c r="AI224" i="1"/>
  <c r="AG223" i="1"/>
  <c r="AF223" i="1"/>
  <c r="AE223" i="1"/>
  <c r="AD223" i="1"/>
  <c r="AC223" i="1"/>
  <c r="Z223" i="1"/>
  <c r="AI222" i="1"/>
  <c r="AG219" i="1"/>
  <c r="AF219" i="1"/>
  <c r="AE219" i="1"/>
  <c r="AD219" i="1"/>
  <c r="AC219" i="1"/>
  <c r="P219" i="1"/>
  <c r="E219" i="1"/>
  <c r="AI218" i="1"/>
  <c r="AG217" i="1"/>
  <c r="AF217" i="1"/>
  <c r="AE217" i="1"/>
  <c r="AD217" i="1"/>
  <c r="AC217" i="1"/>
  <c r="P217" i="1"/>
  <c r="E217" i="1"/>
  <c r="AI216" i="1"/>
  <c r="AG215" i="1"/>
  <c r="AF215" i="1"/>
  <c r="AD215" i="1"/>
  <c r="AC215" i="1"/>
  <c r="P215" i="1"/>
  <c r="O215" i="1"/>
  <c r="E215" i="1"/>
  <c r="AI214" i="1"/>
  <c r="AG213" i="1"/>
  <c r="AF213" i="1"/>
  <c r="AE213" i="1"/>
  <c r="AD213" i="1"/>
  <c r="AC213" i="1"/>
  <c r="P213" i="1"/>
  <c r="O213" i="1"/>
  <c r="E213" i="1"/>
  <c r="AI212" i="1"/>
  <c r="J209" i="1"/>
  <c r="E209" i="1"/>
  <c r="C209" i="1"/>
  <c r="AI208" i="1"/>
  <c r="J207" i="1"/>
  <c r="E207" i="1"/>
  <c r="C207" i="1"/>
  <c r="AI206" i="1"/>
  <c r="J205" i="1"/>
  <c r="E205" i="1"/>
  <c r="C205" i="1"/>
  <c r="AI204" i="1"/>
  <c r="J203" i="1"/>
  <c r="E203" i="1"/>
  <c r="C203" i="1"/>
  <c r="AI202" i="1"/>
  <c r="AF197" i="1"/>
  <c r="AE197" i="1"/>
  <c r="AB197" i="1"/>
  <c r="AA197" i="1"/>
  <c r="X197" i="1"/>
  <c r="U197" i="1"/>
  <c r="T197" i="1"/>
  <c r="S197" i="1"/>
  <c r="R197" i="1"/>
  <c r="Q197" i="1"/>
  <c r="N197" i="1"/>
  <c r="M197" i="1"/>
  <c r="L197" i="1"/>
  <c r="K197" i="1"/>
  <c r="J197" i="1"/>
  <c r="G197" i="1"/>
  <c r="E197" i="1"/>
  <c r="D197" i="1"/>
  <c r="AI196" i="1"/>
  <c r="X195" i="1"/>
  <c r="R195" i="1"/>
  <c r="Q195" i="1"/>
  <c r="K195" i="1"/>
  <c r="J195" i="1"/>
  <c r="G195" i="1"/>
  <c r="D195" i="1"/>
  <c r="AI194" i="1"/>
  <c r="X193" i="1"/>
  <c r="R193" i="1"/>
  <c r="Q193" i="1"/>
  <c r="K193" i="1"/>
  <c r="J193" i="1"/>
  <c r="G193" i="1"/>
  <c r="D193" i="1"/>
  <c r="AI192" i="1"/>
  <c r="X191" i="1"/>
  <c r="R191" i="1"/>
  <c r="Q191" i="1"/>
  <c r="K191" i="1"/>
  <c r="J191" i="1"/>
  <c r="G191" i="1"/>
  <c r="D191" i="1"/>
  <c r="AI190" i="1"/>
  <c r="X187" i="1"/>
  <c r="G187" i="1"/>
  <c r="AI186" i="1"/>
  <c r="X185" i="1"/>
  <c r="G185" i="1"/>
  <c r="AI184" i="1"/>
  <c r="X183" i="1"/>
  <c r="G183" i="1"/>
  <c r="AI182" i="1"/>
  <c r="X181" i="1"/>
  <c r="G181" i="1"/>
  <c r="AI180" i="1"/>
  <c r="X177" i="1"/>
  <c r="U177" i="1"/>
  <c r="T177" i="1"/>
  <c r="N177" i="1"/>
  <c r="M177" i="1"/>
  <c r="G177" i="1"/>
  <c r="E177" i="1"/>
  <c r="AI176" i="1"/>
  <c r="X175" i="1"/>
  <c r="U175" i="1"/>
  <c r="T175" i="1"/>
  <c r="N175" i="1"/>
  <c r="M175" i="1"/>
  <c r="G175" i="1"/>
  <c r="E175" i="1"/>
  <c r="AI174" i="1"/>
  <c r="X173" i="1"/>
  <c r="U173" i="1"/>
  <c r="T173" i="1"/>
  <c r="N173" i="1"/>
  <c r="M173" i="1"/>
  <c r="G173" i="1"/>
  <c r="E173" i="1"/>
  <c r="AI172" i="1"/>
  <c r="X171" i="1"/>
  <c r="U171" i="1"/>
  <c r="T171" i="1"/>
  <c r="N171" i="1"/>
  <c r="M171" i="1"/>
  <c r="G171" i="1"/>
  <c r="E171" i="1"/>
  <c r="AI170" i="1"/>
  <c r="AE165" i="1"/>
  <c r="AD165" i="1"/>
  <c r="AC165" i="1"/>
  <c r="AB165" i="1"/>
  <c r="AA165" i="1"/>
  <c r="X165" i="1"/>
  <c r="W165" i="1"/>
  <c r="V165" i="1"/>
  <c r="U165" i="1"/>
  <c r="T165" i="1"/>
  <c r="Q165" i="1"/>
  <c r="P165" i="1"/>
  <c r="O165" i="1"/>
  <c r="N165" i="1"/>
  <c r="J165" i="1"/>
  <c r="I165" i="1"/>
  <c r="H165" i="1"/>
  <c r="G165" i="1"/>
  <c r="F165" i="1"/>
  <c r="AI164" i="1"/>
  <c r="AC163" i="1"/>
  <c r="AB163" i="1"/>
  <c r="AA163" i="1"/>
  <c r="V163" i="1"/>
  <c r="U163" i="1"/>
  <c r="T163" i="1"/>
  <c r="O163" i="1"/>
  <c r="N163" i="1"/>
  <c r="H163" i="1"/>
  <c r="G163" i="1"/>
  <c r="F163" i="1"/>
  <c r="AI162" i="1"/>
  <c r="AC161" i="1"/>
  <c r="AB161" i="1"/>
  <c r="AA161" i="1"/>
  <c r="V161" i="1"/>
  <c r="U161" i="1"/>
  <c r="T161" i="1"/>
  <c r="O161" i="1"/>
  <c r="N161" i="1"/>
  <c r="H161" i="1"/>
  <c r="G161" i="1"/>
  <c r="F161" i="1"/>
  <c r="AI160" i="1"/>
  <c r="AC159" i="1"/>
  <c r="AB159" i="1"/>
  <c r="AA159" i="1"/>
  <c r="V159" i="1"/>
  <c r="U159" i="1"/>
  <c r="T159" i="1"/>
  <c r="O159" i="1"/>
  <c r="N159" i="1"/>
  <c r="H159" i="1"/>
  <c r="G159" i="1"/>
  <c r="F159" i="1"/>
  <c r="AI158" i="1"/>
  <c r="AI154" i="1"/>
  <c r="AI152" i="1"/>
  <c r="AI150" i="1"/>
  <c r="G149" i="1"/>
  <c r="AI148" i="1"/>
  <c r="AE145" i="1"/>
  <c r="X145" i="1"/>
  <c r="Q145" i="1"/>
  <c r="J145" i="1"/>
  <c r="AI144" i="1"/>
  <c r="AE143" i="1"/>
  <c r="X143" i="1"/>
  <c r="Q143" i="1"/>
  <c r="J143" i="1"/>
  <c r="AI142" i="1"/>
  <c r="AE141" i="1"/>
  <c r="X141" i="1"/>
  <c r="Q141" i="1"/>
  <c r="J141" i="1"/>
  <c r="AI140" i="1"/>
  <c r="AE139" i="1"/>
  <c r="X139" i="1"/>
  <c r="Q139" i="1"/>
  <c r="J139" i="1"/>
  <c r="AI138" i="1"/>
  <c r="AF133" i="1"/>
  <c r="AE133" i="1"/>
  <c r="AD133" i="1"/>
  <c r="AC133" i="1"/>
  <c r="Z133" i="1"/>
  <c r="Y133" i="1"/>
  <c r="X133" i="1"/>
  <c r="V133" i="1"/>
  <c r="R133" i="1"/>
  <c r="Q133" i="1"/>
  <c r="P133" i="1"/>
  <c r="K133" i="1"/>
  <c r="J133" i="1"/>
  <c r="I133" i="1"/>
  <c r="H133" i="1"/>
  <c r="C133" i="1"/>
  <c r="AI132" i="1"/>
  <c r="AE131" i="1"/>
  <c r="AD131" i="1"/>
  <c r="AC131" i="1"/>
  <c r="X131" i="1"/>
  <c r="V131" i="1"/>
  <c r="R131" i="1"/>
  <c r="Q131" i="1"/>
  <c r="P131" i="1"/>
  <c r="K131" i="1"/>
  <c r="J131" i="1"/>
  <c r="I131" i="1"/>
  <c r="H131" i="1"/>
  <c r="C131" i="1"/>
  <c r="AI130" i="1"/>
  <c r="AE129" i="1"/>
  <c r="AD129" i="1"/>
  <c r="AC129" i="1"/>
  <c r="X129" i="1"/>
  <c r="V129" i="1"/>
  <c r="R129" i="1"/>
  <c r="Q129" i="1"/>
  <c r="P129" i="1"/>
  <c r="K129" i="1"/>
  <c r="J129" i="1"/>
  <c r="I129" i="1"/>
  <c r="H129" i="1"/>
  <c r="C129" i="1"/>
  <c r="AI128" i="1"/>
  <c r="AE127" i="1"/>
  <c r="AD127" i="1"/>
  <c r="AC127" i="1"/>
  <c r="X127" i="1"/>
  <c r="V127" i="1"/>
  <c r="R127" i="1"/>
  <c r="Q127" i="1"/>
  <c r="P127" i="1"/>
  <c r="K127" i="1"/>
  <c r="J127" i="1"/>
  <c r="I127" i="1"/>
  <c r="H127" i="1"/>
  <c r="C127" i="1"/>
  <c r="AI126" i="1"/>
  <c r="V123" i="1"/>
  <c r="AI122" i="1"/>
  <c r="V121" i="1"/>
  <c r="AI120" i="1"/>
  <c r="V119" i="1"/>
  <c r="AI118" i="1"/>
  <c r="V117" i="1"/>
  <c r="AI116" i="1"/>
  <c r="AF113" i="1"/>
  <c r="Z113" i="1"/>
  <c r="Y113" i="1"/>
  <c r="V113" i="1"/>
  <c r="S113" i="1"/>
  <c r="R113" i="1"/>
  <c r="L113" i="1"/>
  <c r="AI112" i="1"/>
  <c r="AF111" i="1"/>
  <c r="Z111" i="1"/>
  <c r="Y111" i="1"/>
  <c r="V111" i="1"/>
  <c r="S111" i="1"/>
  <c r="R111" i="1"/>
  <c r="L111" i="1"/>
  <c r="AI110" i="1"/>
  <c r="AF109" i="1"/>
  <c r="Z109" i="1"/>
  <c r="Y109" i="1"/>
  <c r="V109" i="1"/>
  <c r="S109" i="1"/>
  <c r="R109" i="1"/>
  <c r="L109" i="1"/>
  <c r="AI108" i="1"/>
  <c r="AF107" i="1"/>
  <c r="Z107" i="1"/>
  <c r="Y107" i="1"/>
  <c r="V107" i="1"/>
  <c r="S107" i="1"/>
  <c r="R107" i="1"/>
  <c r="L107" i="1"/>
  <c r="AI106" i="1"/>
  <c r="AG101" i="1"/>
  <c r="AF101" i="1"/>
  <c r="AC101" i="1"/>
  <c r="AB101" i="1"/>
  <c r="AA101" i="1"/>
  <c r="Z101" i="1"/>
  <c r="Y101" i="1"/>
  <c r="V101" i="1"/>
  <c r="U101" i="1"/>
  <c r="T101" i="1"/>
  <c r="S101" i="1"/>
  <c r="R101" i="1"/>
  <c r="O101" i="1"/>
  <c r="N101" i="1"/>
  <c r="M101" i="1"/>
  <c r="L101" i="1"/>
  <c r="K101" i="1"/>
  <c r="H101" i="1"/>
  <c r="G101" i="1"/>
  <c r="F101" i="1"/>
  <c r="E101" i="1"/>
  <c r="D101" i="1"/>
  <c r="AG99" i="1"/>
  <c r="AF99" i="1"/>
  <c r="AA99" i="1"/>
  <c r="Z99" i="1"/>
  <c r="Y99" i="1"/>
  <c r="U99" i="1"/>
  <c r="T99" i="1"/>
  <c r="S99" i="1"/>
  <c r="R99" i="1"/>
  <c r="N99" i="1"/>
  <c r="M99" i="1"/>
  <c r="L99" i="1"/>
  <c r="K99" i="1"/>
  <c r="G99" i="1"/>
  <c r="F99" i="1"/>
  <c r="E99" i="1"/>
  <c r="D99" i="1"/>
  <c r="AG97" i="1"/>
  <c r="AF97" i="1"/>
  <c r="AA97" i="1"/>
  <c r="Z97" i="1"/>
  <c r="Y97" i="1"/>
  <c r="U97" i="1"/>
  <c r="T97" i="1"/>
  <c r="S97" i="1"/>
  <c r="R97" i="1"/>
  <c r="N97" i="1"/>
  <c r="M97" i="1"/>
  <c r="L97" i="1"/>
  <c r="K97" i="1"/>
  <c r="G97" i="1"/>
  <c r="F97" i="1"/>
  <c r="E97" i="1"/>
  <c r="D97" i="1"/>
  <c r="AG95" i="1"/>
  <c r="AF95" i="1"/>
  <c r="AA95" i="1"/>
  <c r="Z95" i="1"/>
  <c r="Y95" i="1"/>
  <c r="U95" i="1"/>
  <c r="T95" i="1"/>
  <c r="S95" i="1"/>
  <c r="R95" i="1"/>
  <c r="N95" i="1"/>
  <c r="M95" i="1"/>
  <c r="L95" i="1"/>
  <c r="K95" i="1"/>
  <c r="G95" i="1"/>
  <c r="F95" i="1"/>
  <c r="E95" i="1"/>
  <c r="D95" i="1"/>
  <c r="V81" i="1"/>
  <c r="O81" i="1"/>
  <c r="H81" i="1"/>
  <c r="V79" i="1"/>
  <c r="O79" i="1"/>
  <c r="H79" i="1"/>
  <c r="V77" i="1"/>
  <c r="O77" i="1"/>
  <c r="H77" i="1"/>
  <c r="V75" i="1"/>
  <c r="O75" i="1"/>
  <c r="H75" i="1"/>
  <c r="AI74" i="1"/>
  <c r="W71" i="1" s="1"/>
  <c r="AC69" i="1"/>
  <c r="AB69" i="1"/>
  <c r="AA69" i="1"/>
  <c r="Z69" i="1"/>
  <c r="Y69" i="1"/>
  <c r="V69" i="1"/>
  <c r="U69" i="1"/>
  <c r="N69" i="1"/>
  <c r="M69" i="1"/>
  <c r="L69" i="1"/>
  <c r="K69" i="1"/>
  <c r="H69" i="1"/>
  <c r="G69" i="1"/>
  <c r="F69" i="1"/>
  <c r="E69" i="1"/>
  <c r="D69" i="1"/>
  <c r="AB67" i="1"/>
  <c r="AA67" i="1"/>
  <c r="Z67" i="1"/>
  <c r="Y67" i="1"/>
  <c r="N67" i="1"/>
  <c r="M67" i="1"/>
  <c r="L67" i="1"/>
  <c r="K67" i="1"/>
  <c r="G67" i="1"/>
  <c r="F67" i="1"/>
  <c r="E67" i="1"/>
  <c r="D67" i="1"/>
  <c r="AB65" i="1"/>
  <c r="AA65" i="1"/>
  <c r="Z65" i="1"/>
  <c r="Y65" i="1"/>
  <c r="N65" i="1"/>
  <c r="M65" i="1"/>
  <c r="L65" i="1"/>
  <c r="K65" i="1"/>
  <c r="G65" i="1"/>
  <c r="F65" i="1"/>
  <c r="E65" i="1"/>
  <c r="D65" i="1"/>
  <c r="AB63" i="1"/>
  <c r="AA63" i="1"/>
  <c r="Z63" i="1"/>
  <c r="Y63" i="1"/>
  <c r="N63" i="1"/>
  <c r="M63" i="1"/>
  <c r="L63" i="1"/>
  <c r="K63" i="1"/>
  <c r="H63" i="1"/>
  <c r="G63" i="1"/>
  <c r="F63" i="1"/>
  <c r="E63" i="1"/>
  <c r="D63" i="1"/>
  <c r="AC59" i="1"/>
  <c r="H59" i="1"/>
  <c r="AC57" i="1"/>
  <c r="H57" i="1"/>
  <c r="AC55" i="1"/>
  <c r="H55" i="1"/>
  <c r="AC53" i="1"/>
  <c r="H53" i="1"/>
  <c r="F53" i="1"/>
  <c r="E53" i="1"/>
  <c r="D53" i="1"/>
  <c r="V49" i="1"/>
  <c r="H49" i="1"/>
  <c r="V47" i="1"/>
  <c r="H47" i="1"/>
  <c r="V45" i="1"/>
  <c r="H45" i="1"/>
  <c r="V43" i="1"/>
  <c r="H43" i="1"/>
  <c r="F43" i="1"/>
  <c r="D43" i="1"/>
  <c r="AF37" i="1"/>
  <c r="AE37" i="1"/>
  <c r="AD37" i="1"/>
  <c r="AC37" i="1"/>
  <c r="AB37" i="1"/>
  <c r="Y37" i="1"/>
  <c r="X37" i="1"/>
  <c r="W37" i="1"/>
  <c r="V37" i="1"/>
  <c r="U37" i="1"/>
  <c r="R37" i="1"/>
  <c r="Q37" i="1"/>
  <c r="P37" i="1"/>
  <c r="O37" i="1"/>
  <c r="N37" i="1"/>
  <c r="K37" i="1"/>
  <c r="J37" i="1"/>
  <c r="I37" i="1"/>
  <c r="H37" i="1"/>
  <c r="G37" i="1"/>
  <c r="E37" i="1"/>
  <c r="D37" i="1"/>
  <c r="AI36" i="1"/>
  <c r="Y35" i="1"/>
  <c r="X35" i="1"/>
  <c r="W35" i="1"/>
  <c r="V35" i="1"/>
  <c r="U35" i="1"/>
  <c r="R35" i="1"/>
  <c r="Q35" i="1"/>
  <c r="P35" i="1"/>
  <c r="O35" i="1"/>
  <c r="N35" i="1"/>
  <c r="K35" i="1"/>
  <c r="J35" i="1"/>
  <c r="I35" i="1"/>
  <c r="H35" i="1"/>
  <c r="G35" i="1"/>
  <c r="E35" i="1"/>
  <c r="D35" i="1"/>
  <c r="AI34" i="1"/>
  <c r="Y33" i="1"/>
  <c r="X33" i="1"/>
  <c r="W33" i="1"/>
  <c r="V33" i="1"/>
  <c r="U33" i="1"/>
  <c r="R33" i="1"/>
  <c r="Q33" i="1"/>
  <c r="P33" i="1"/>
  <c r="O33" i="1"/>
  <c r="N33" i="1"/>
  <c r="K33" i="1"/>
  <c r="J33" i="1"/>
  <c r="I33" i="1"/>
  <c r="H33" i="1"/>
  <c r="G33" i="1"/>
  <c r="E33" i="1"/>
  <c r="D33" i="1"/>
  <c r="AI32" i="1"/>
  <c r="Y31" i="1"/>
  <c r="X31" i="1"/>
  <c r="W31" i="1"/>
  <c r="V31" i="1"/>
  <c r="U31" i="1"/>
  <c r="R31" i="1"/>
  <c r="Q31" i="1"/>
  <c r="P31" i="1"/>
  <c r="O31" i="1"/>
  <c r="N31" i="1"/>
  <c r="K31" i="1"/>
  <c r="J31" i="1"/>
  <c r="I31" i="1"/>
  <c r="H31" i="1"/>
  <c r="G31" i="1"/>
  <c r="E31" i="1"/>
  <c r="D31" i="1"/>
  <c r="AI30" i="1"/>
  <c r="AF27" i="1"/>
  <c r="AE27" i="1"/>
  <c r="AD27" i="1"/>
  <c r="AC27" i="1"/>
  <c r="AB27" i="1"/>
  <c r="Y27" i="1"/>
  <c r="X27" i="1"/>
  <c r="W27" i="1"/>
  <c r="V27" i="1"/>
  <c r="U27" i="1"/>
  <c r="R27" i="1"/>
  <c r="Q27" i="1"/>
  <c r="P27" i="1"/>
  <c r="O27" i="1"/>
  <c r="N27" i="1"/>
  <c r="K27" i="1"/>
  <c r="J27" i="1"/>
  <c r="I27" i="1"/>
  <c r="H27" i="1"/>
  <c r="G27" i="1"/>
  <c r="E27" i="1"/>
  <c r="D27" i="1"/>
  <c r="AI26" i="1"/>
  <c r="AF25" i="1"/>
  <c r="AE25" i="1"/>
  <c r="AD25" i="1"/>
  <c r="AC25" i="1"/>
  <c r="AB25" i="1"/>
  <c r="Y25" i="1"/>
  <c r="X25" i="1"/>
  <c r="W25" i="1"/>
  <c r="V25" i="1"/>
  <c r="U25" i="1"/>
  <c r="R25" i="1"/>
  <c r="Q25" i="1"/>
  <c r="P25" i="1"/>
  <c r="O25" i="1"/>
  <c r="N25" i="1"/>
  <c r="K25" i="1"/>
  <c r="J25" i="1"/>
  <c r="I25" i="1"/>
  <c r="H25" i="1"/>
  <c r="G25" i="1"/>
  <c r="E25" i="1"/>
  <c r="D25" i="1"/>
  <c r="AI24" i="1"/>
  <c r="AF23" i="1"/>
  <c r="AE23" i="1"/>
  <c r="AD23" i="1"/>
  <c r="AC23" i="1"/>
  <c r="AB23" i="1"/>
  <c r="Y23" i="1"/>
  <c r="X23" i="1"/>
  <c r="W23" i="1"/>
  <c r="V23" i="1"/>
  <c r="U23" i="1"/>
  <c r="R23" i="1"/>
  <c r="Q23" i="1"/>
  <c r="P23" i="1"/>
  <c r="O23" i="1"/>
  <c r="N23" i="1"/>
  <c r="K23" i="1"/>
  <c r="J23" i="1"/>
  <c r="I23" i="1"/>
  <c r="H23" i="1"/>
  <c r="G23" i="1"/>
  <c r="E23" i="1"/>
  <c r="D23" i="1"/>
  <c r="AI22" i="1"/>
  <c r="AF21" i="1"/>
  <c r="AE21" i="1"/>
  <c r="AD21" i="1"/>
  <c r="AC21" i="1"/>
  <c r="AB21" i="1"/>
  <c r="Y21" i="1"/>
  <c r="X21" i="1"/>
  <c r="W21" i="1"/>
  <c r="V21" i="1"/>
  <c r="U21" i="1"/>
  <c r="R21" i="1"/>
  <c r="Q21" i="1"/>
  <c r="P21" i="1"/>
  <c r="O21" i="1"/>
  <c r="N21" i="1"/>
  <c r="K21" i="1"/>
  <c r="J21" i="1"/>
  <c r="I21" i="1"/>
  <c r="H21" i="1"/>
  <c r="G21" i="1"/>
  <c r="E21" i="1"/>
  <c r="D21" i="1"/>
  <c r="AI20" i="1"/>
  <c r="AF17" i="1"/>
  <c r="AE17" i="1"/>
  <c r="AD17" i="1"/>
  <c r="AC17" i="1"/>
  <c r="AB17" i="1"/>
  <c r="Y17" i="1"/>
  <c r="X17" i="1"/>
  <c r="W17" i="1"/>
  <c r="V17" i="1"/>
  <c r="U17" i="1"/>
  <c r="R17" i="1"/>
  <c r="Q17" i="1"/>
  <c r="P17" i="1"/>
  <c r="O17" i="1"/>
  <c r="N17" i="1"/>
  <c r="K17" i="1"/>
  <c r="J17" i="1"/>
  <c r="I17" i="1"/>
  <c r="H17" i="1"/>
  <c r="G17" i="1"/>
  <c r="E17" i="1"/>
  <c r="D17" i="1"/>
  <c r="AI16" i="1"/>
  <c r="AF15" i="1"/>
  <c r="AE15" i="1"/>
  <c r="AD15" i="1"/>
  <c r="AC15" i="1"/>
  <c r="AB15" i="1"/>
  <c r="Y15" i="1"/>
  <c r="X15" i="1"/>
  <c r="W15" i="1"/>
  <c r="V15" i="1"/>
  <c r="U15" i="1"/>
  <c r="R15" i="1"/>
  <c r="Q15" i="1"/>
  <c r="P15" i="1"/>
  <c r="O15" i="1"/>
  <c r="N15" i="1"/>
  <c r="K15" i="1"/>
  <c r="J15" i="1"/>
  <c r="I15" i="1"/>
  <c r="H15" i="1"/>
  <c r="G15" i="1"/>
  <c r="E15" i="1"/>
  <c r="D15" i="1"/>
  <c r="AI14" i="1"/>
  <c r="AF13" i="1"/>
  <c r="AE13" i="1"/>
  <c r="AD13" i="1"/>
  <c r="AC13" i="1"/>
  <c r="AB13" i="1"/>
  <c r="Y13" i="1"/>
  <c r="X13" i="1"/>
  <c r="W13" i="1"/>
  <c r="V13" i="1"/>
  <c r="U13" i="1"/>
  <c r="R13" i="1"/>
  <c r="Q13" i="1"/>
  <c r="P13" i="1"/>
  <c r="O13" i="1"/>
  <c r="N13" i="1"/>
  <c r="K13" i="1"/>
  <c r="J13" i="1"/>
  <c r="I13" i="1"/>
  <c r="H13" i="1"/>
  <c r="G13" i="1"/>
  <c r="E13" i="1"/>
  <c r="D13" i="1"/>
  <c r="AI12" i="1"/>
  <c r="AF11" i="1"/>
  <c r="AE11" i="1"/>
  <c r="AD11" i="1"/>
  <c r="AC11" i="1"/>
  <c r="AB11" i="1"/>
  <c r="Y11" i="1"/>
  <c r="X11" i="1"/>
  <c r="W11" i="1"/>
  <c r="V11" i="1"/>
  <c r="U11" i="1"/>
  <c r="R11" i="1"/>
  <c r="Q11" i="1"/>
  <c r="P11" i="1"/>
  <c r="O11" i="1"/>
  <c r="N11" i="1"/>
  <c r="K11" i="1"/>
  <c r="J11" i="1"/>
  <c r="I11" i="1"/>
  <c r="H11" i="1"/>
  <c r="G11" i="1"/>
  <c r="E11" i="1"/>
  <c r="D11" i="1"/>
  <c r="AI10" i="1"/>
  <c r="C9" i="1"/>
  <c r="D9" i="1" s="1"/>
  <c r="E9" i="1" s="1"/>
  <c r="F9" i="1" s="1"/>
  <c r="G9" i="1" s="1"/>
  <c r="H9" i="1" s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C8" i="1"/>
  <c r="D8" i="1" s="1"/>
  <c r="E8" i="1" s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C9" i="1" l="1"/>
  <c r="AD9" i="1" s="1"/>
  <c r="AE9" i="1" s="1"/>
  <c r="AF9" i="1" s="1"/>
  <c r="W135" i="1"/>
  <c r="W7" i="1"/>
  <c r="AF135" i="1"/>
  <c r="AF71" i="1"/>
  <c r="W39" i="1"/>
  <c r="AF39" i="1" s="1"/>
  <c r="W103" i="1"/>
  <c r="AF103" i="1" s="1"/>
  <c r="W231" i="1"/>
  <c r="AF231" i="1" s="1"/>
  <c r="W263" i="1"/>
  <c r="AF263" i="1" s="1"/>
  <c r="W199" i="1"/>
  <c r="AF199" i="1" s="1"/>
  <c r="W295" i="1"/>
  <c r="AF295" i="1" s="1"/>
  <c r="W327" i="1"/>
  <c r="AF327" i="1" s="1"/>
  <c r="W359" i="1"/>
  <c r="W167" i="1"/>
  <c r="C40" i="1"/>
  <c r="D40" i="1" s="1"/>
  <c r="E40" i="1" s="1"/>
  <c r="F40" i="1" s="1"/>
  <c r="G40" i="1" s="1"/>
  <c r="H40" i="1" s="1"/>
  <c r="I40" i="1" s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U40" i="1" s="1"/>
  <c r="V40" i="1" s="1"/>
  <c r="W40" i="1" s="1"/>
  <c r="X40" i="1" s="1"/>
  <c r="Y40" i="1" s="1"/>
  <c r="Z40" i="1" s="1"/>
  <c r="AA40" i="1" s="1"/>
  <c r="AB40" i="1" s="1"/>
  <c r="AC40" i="1" s="1"/>
  <c r="AD40" i="1" s="1"/>
  <c r="A71" i="1"/>
  <c r="AF7" i="1"/>
  <c r="AL392" i="1"/>
  <c r="CP392" i="1"/>
  <c r="EU392" i="1"/>
  <c r="CB392" i="1"/>
  <c r="GJ392" i="1"/>
  <c r="DS392" i="1"/>
  <c r="AZ392" i="1"/>
  <c r="DE392" i="1"/>
  <c r="FH392" i="1"/>
  <c r="EF392" i="1"/>
  <c r="BN392" i="1"/>
  <c r="FV392" i="1"/>
  <c r="AJ421" i="1"/>
  <c r="AK425" i="1"/>
  <c r="AJ422" i="1"/>
  <c r="AX406" i="1"/>
  <c r="HJ426" i="1"/>
  <c r="AJ425" i="1"/>
  <c r="HJ423" i="1"/>
  <c r="AX416" i="1"/>
  <c r="HK398" i="1"/>
  <c r="GV417" i="1"/>
  <c r="HK399" i="1"/>
  <c r="GV422" i="1"/>
  <c r="GW400" i="1"/>
  <c r="GW422" i="1"/>
  <c r="GV407" i="1"/>
  <c r="AK407" i="1"/>
  <c r="AJ407" i="1"/>
  <c r="GV410" i="1"/>
  <c r="AY397" i="1"/>
  <c r="GW409" i="1"/>
  <c r="AK426" i="1"/>
  <c r="AJ404" i="1"/>
  <c r="AK394" i="1"/>
  <c r="AJ399" i="1"/>
  <c r="GV409" i="1"/>
  <c r="HJ412" i="1"/>
  <c r="AK396" i="1"/>
  <c r="AJ412" i="1"/>
  <c r="HK420" i="1"/>
  <c r="AY398" i="1"/>
  <c r="GW416" i="1"/>
  <c r="AY420" i="1"/>
  <c r="AJ427" i="1"/>
  <c r="AK421" i="1"/>
  <c r="AJ416" i="1"/>
  <c r="HJ414" i="1"/>
  <c r="AJ397" i="1"/>
  <c r="GW417" i="1"/>
  <c r="HJ418" i="1"/>
  <c r="AJ423" i="1"/>
  <c r="AJ409" i="1"/>
  <c r="HK422" i="1"/>
  <c r="AY408" i="1"/>
  <c r="GV404" i="1"/>
  <c r="AK424" i="1"/>
  <c r="GV412" i="1"/>
  <c r="GV394" i="1"/>
  <c r="AK420" i="1"/>
  <c r="AX414" i="1"/>
  <c r="AK395" i="1"/>
  <c r="GV406" i="1"/>
  <c r="AY402" i="1"/>
  <c r="HJ411" i="1"/>
  <c r="AJ402" i="1"/>
  <c r="GW412" i="1"/>
  <c r="HJ415" i="1"/>
  <c r="AJ426" i="1"/>
  <c r="AV405" i="1"/>
  <c r="AX399" i="1"/>
  <c r="AK403" i="1"/>
  <c r="AY399" i="1"/>
  <c r="AK398" i="1"/>
  <c r="GW427" i="1"/>
  <c r="HJ401" i="1"/>
  <c r="AY412" i="1"/>
  <c r="HJ421" i="1"/>
  <c r="AK397" i="1"/>
  <c r="GV396" i="1"/>
  <c r="AX422" i="1"/>
  <c r="AY427" i="1"/>
  <c r="HJ402" i="1"/>
  <c r="AK414" i="1"/>
  <c r="AY413" i="1"/>
  <c r="AK415" i="1"/>
  <c r="AX401" i="1"/>
  <c r="HJ417" i="1"/>
  <c r="HK427" i="1"/>
  <c r="GW411" i="1"/>
  <c r="AX420" i="1"/>
  <c r="AX424" i="1"/>
  <c r="HK415" i="1"/>
  <c r="AX423" i="1"/>
  <c r="AX396" i="1"/>
  <c r="HJ404" i="1"/>
  <c r="HK412" i="1"/>
  <c r="AX394" i="1"/>
  <c r="HJ419" i="1"/>
  <c r="HJ425" i="1"/>
  <c r="HJ416" i="1"/>
  <c r="AY423" i="1"/>
  <c r="GV415" i="1"/>
  <c r="GV419" i="1"/>
  <c r="AK417" i="1"/>
  <c r="AX410" i="1"/>
  <c r="GW404" i="1"/>
  <c r="HJ397" i="1"/>
  <c r="HK394" i="1"/>
  <c r="AY419" i="1"/>
  <c r="HJ420" i="1"/>
  <c r="GW410" i="1"/>
  <c r="AX426" i="1"/>
  <c r="AX398" i="1"/>
  <c r="GV408" i="1"/>
  <c r="GV428" i="1"/>
  <c r="AX412" i="1"/>
  <c r="GV427" i="1"/>
  <c r="AK423" i="1"/>
  <c r="HJ394" i="1"/>
  <c r="AJ408" i="1"/>
  <c r="GW420" i="1"/>
  <c r="HJ427" i="1"/>
  <c r="AX397" i="1"/>
  <c r="AK404" i="1"/>
  <c r="AX417" i="1"/>
  <c r="AY415" i="1"/>
  <c r="AU405" i="1"/>
  <c r="HK410" i="1"/>
  <c r="AJ424" i="1"/>
  <c r="HK397" i="1"/>
  <c r="AK427" i="1"/>
  <c r="HK401" i="1"/>
  <c r="HK402" i="1"/>
  <c r="AJ403" i="1"/>
  <c r="GW395" i="1"/>
  <c r="GW403" i="1"/>
  <c r="AX419" i="1"/>
  <c r="AJ417" i="1"/>
  <c r="AK402" i="1"/>
  <c r="AJ428" i="1"/>
  <c r="GV416" i="1"/>
  <c r="AY414" i="1"/>
  <c r="GV424" i="1"/>
  <c r="AY406" i="1"/>
  <c r="AX427" i="1"/>
  <c r="GW415" i="1"/>
  <c r="GV413" i="1"/>
  <c r="HK416" i="1"/>
  <c r="GW396" i="1"/>
  <c r="HK425" i="1"/>
  <c r="GW394" i="1"/>
  <c r="AY396" i="1"/>
  <c r="AJ413" i="1"/>
  <c r="GW413" i="1"/>
  <c r="AJ395" i="1"/>
  <c r="GW419" i="1"/>
  <c r="AJ396" i="1"/>
  <c r="AX395" i="1"/>
  <c r="AK428" i="1"/>
  <c r="AJ406" i="1"/>
  <c r="AT405" i="1"/>
  <c r="GW406" i="1"/>
  <c r="HJ398" i="1"/>
  <c r="AY409" i="1"/>
  <c r="AY395" i="1"/>
  <c r="HK395" i="1"/>
  <c r="GV414" i="1"/>
  <c r="AY416" i="1"/>
  <c r="AK409" i="1"/>
  <c r="HJ403" i="1"/>
  <c r="AX407" i="1"/>
  <c r="GW418" i="1"/>
  <c r="AJ419" i="1"/>
  <c r="GW407" i="1"/>
  <c r="HJ409" i="1"/>
  <c r="HK417" i="1"/>
  <c r="AX413" i="1"/>
  <c r="HJ395" i="1"/>
  <c r="GV423" i="1"/>
  <c r="AY428" i="1"/>
  <c r="GW425" i="1"/>
  <c r="AJ418" i="1"/>
  <c r="AK418" i="1"/>
  <c r="AX402" i="1"/>
  <c r="HJ396" i="1"/>
  <c r="AK406" i="1"/>
  <c r="AY400" i="1"/>
  <c r="GW423" i="1"/>
  <c r="GV426" i="1"/>
  <c r="AK411" i="1"/>
  <c r="AK401" i="1"/>
  <c r="GW421" i="1"/>
  <c r="HK418" i="1"/>
  <c r="GW428" i="1"/>
  <c r="GV400" i="1"/>
  <c r="AY424" i="1"/>
  <c r="AX418" i="1"/>
  <c r="AX425" i="1"/>
  <c r="GV418" i="1"/>
  <c r="GW426" i="1"/>
  <c r="AK400" i="1"/>
  <c r="GV397" i="1"/>
  <c r="AY401" i="1"/>
  <c r="AX404" i="1"/>
  <c r="HJ413" i="1"/>
  <c r="GW398" i="1"/>
  <c r="HJ399" i="1"/>
  <c r="AY425" i="1"/>
  <c r="HK421" i="1"/>
  <c r="AX409" i="1"/>
  <c r="GW414" i="1"/>
  <c r="HK408" i="1"/>
  <c r="GV402" i="1"/>
  <c r="AX411" i="1"/>
  <c r="HK403" i="1"/>
  <c r="GV398" i="1"/>
  <c r="HK404" i="1"/>
  <c r="HK424" i="1"/>
  <c r="AJ400" i="1"/>
  <c r="AJ411" i="1"/>
  <c r="HJ400" i="1"/>
  <c r="HJ428" i="1"/>
  <c r="GV395" i="1"/>
  <c r="HK413" i="1"/>
  <c r="AY410" i="1"/>
  <c r="AY394" i="1"/>
  <c r="AJ394" i="1"/>
  <c r="HK423" i="1"/>
  <c r="GW397" i="1"/>
  <c r="AJ420" i="1"/>
  <c r="GV401" i="1"/>
  <c r="GW424" i="1"/>
  <c r="HJ406" i="1"/>
  <c r="GV425" i="1"/>
  <c r="AX415" i="1"/>
  <c r="HK400" i="1"/>
  <c r="AX403" i="1"/>
  <c r="AY426" i="1"/>
  <c r="AK408" i="1"/>
  <c r="HJ407" i="1"/>
  <c r="AX428" i="1"/>
  <c r="GW408" i="1"/>
  <c r="AK412" i="1"/>
  <c r="AX400" i="1"/>
  <c r="AJ414" i="1"/>
  <c r="GV399" i="1"/>
  <c r="AK413" i="1"/>
  <c r="AJ398" i="1"/>
  <c r="AJ401" i="1"/>
  <c r="AX421" i="1"/>
  <c r="GV411" i="1"/>
  <c r="HK407" i="1"/>
  <c r="HJ422" i="1"/>
  <c r="AY421" i="1"/>
  <c r="AY403" i="1"/>
  <c r="HK428" i="1"/>
  <c r="HJ410" i="1"/>
  <c r="AY417" i="1"/>
  <c r="AK422" i="1"/>
  <c r="GV421" i="1"/>
  <c r="HK414" i="1"/>
  <c r="GV403" i="1"/>
  <c r="GW401" i="1"/>
  <c r="AK416" i="1"/>
  <c r="AK419" i="1"/>
  <c r="GW399" i="1"/>
  <c r="AJ415" i="1"/>
  <c r="GW402" i="1"/>
  <c r="GV420" i="1"/>
  <c r="AY418" i="1"/>
  <c r="AK410" i="1"/>
  <c r="AY404" i="1"/>
  <c r="AY407" i="1"/>
  <c r="HK419" i="1"/>
  <c r="HK396" i="1"/>
  <c r="AJ410" i="1"/>
  <c r="HJ408" i="1"/>
  <c r="AY422" i="1"/>
  <c r="HK411" i="1"/>
  <c r="HK426" i="1"/>
  <c r="HJ424" i="1"/>
  <c r="AX408" i="1"/>
  <c r="AK399" i="1"/>
  <c r="AY411" i="1"/>
  <c r="X405" i="1" l="1"/>
  <c r="AG9" i="1"/>
  <c r="AF359" i="1"/>
  <c r="AF167" i="1"/>
  <c r="C73" i="1"/>
  <c r="D73" i="1" s="1"/>
  <c r="E73" i="1" s="1"/>
  <c r="F73" i="1" s="1"/>
  <c r="G73" i="1" s="1"/>
  <c r="H73" i="1" s="1"/>
  <c r="I73" i="1" s="1"/>
  <c r="J73" i="1" s="1"/>
  <c r="K73" i="1" s="1"/>
  <c r="L73" i="1" s="1"/>
  <c r="M73" i="1" s="1"/>
  <c r="N73" i="1" s="1"/>
  <c r="O73" i="1" s="1"/>
  <c r="P73" i="1" s="1"/>
  <c r="Q73" i="1" s="1"/>
  <c r="R73" i="1" s="1"/>
  <c r="S73" i="1" s="1"/>
  <c r="T73" i="1" s="1"/>
  <c r="U73" i="1" s="1"/>
  <c r="V73" i="1" s="1"/>
  <c r="W73" i="1" s="1"/>
  <c r="X73" i="1" s="1"/>
  <c r="Y73" i="1" s="1"/>
  <c r="Z73" i="1" s="1"/>
  <c r="AA73" i="1" s="1"/>
  <c r="AB73" i="1" s="1"/>
  <c r="AC73" i="1" s="1"/>
  <c r="AD73" i="1" s="1"/>
  <c r="AE73" i="1" s="1"/>
  <c r="AF73" i="1" s="1"/>
  <c r="AG73" i="1" s="1"/>
  <c r="A103" i="1"/>
  <c r="C72" i="1"/>
  <c r="EV392" i="1"/>
  <c r="FI392" i="1"/>
  <c r="BA392" i="1"/>
  <c r="DT392" i="1"/>
  <c r="CC392" i="1"/>
  <c r="AM392" i="1"/>
  <c r="FW392" i="1"/>
  <c r="BO392" i="1"/>
  <c r="CQ392" i="1"/>
  <c r="EG392" i="1"/>
  <c r="DF392" i="1"/>
  <c r="GK392" i="1"/>
  <c r="AZ400" i="1"/>
  <c r="HL426" i="1"/>
  <c r="HL427" i="1"/>
  <c r="AL427" i="1"/>
  <c r="AZ413" i="1"/>
  <c r="AZ396" i="1"/>
  <c r="AZ401" i="1"/>
  <c r="AZ417" i="1"/>
  <c r="GX406" i="1"/>
  <c r="AL398" i="1"/>
  <c r="AL409" i="1"/>
  <c r="HG405" i="1"/>
  <c r="AZ414" i="1"/>
  <c r="HL415" i="1"/>
  <c r="AZ398" i="1"/>
  <c r="GX395" i="1"/>
  <c r="AL416" i="1"/>
  <c r="HF405" i="1"/>
  <c r="AL420" i="1"/>
  <c r="HL409" i="1"/>
  <c r="HL398" i="1"/>
  <c r="HK409" i="1"/>
  <c r="AZ410" i="1"/>
  <c r="HL417" i="1"/>
  <c r="HL416" i="1"/>
  <c r="AZ399" i="1"/>
  <c r="HL422" i="1"/>
  <c r="HL420" i="1"/>
  <c r="GX428" i="1"/>
  <c r="AL406" i="1"/>
  <c r="GX417" i="1"/>
  <c r="AL403" i="1"/>
  <c r="AL408" i="1"/>
  <c r="HL410" i="1"/>
  <c r="HL406" i="1"/>
  <c r="GX404" i="1"/>
  <c r="AL396" i="1"/>
  <c r="HL425" i="1"/>
  <c r="AZ428" i="1"/>
  <c r="AL401" i="1"/>
  <c r="GX421" i="1"/>
  <c r="GX408" i="1"/>
  <c r="AZ412" i="1"/>
  <c r="AL411" i="1"/>
  <c r="HL421" i="1"/>
  <c r="AL421" i="1"/>
  <c r="GX409" i="1"/>
  <c r="HH405" i="1"/>
  <c r="GX412" i="1"/>
  <c r="AZ408" i="1"/>
  <c r="GX414" i="1"/>
  <c r="AL394" i="1"/>
  <c r="AZ406" i="1"/>
  <c r="GX416" i="1"/>
  <c r="AL412" i="1"/>
  <c r="GX422" i="1"/>
  <c r="HL419" i="1"/>
  <c r="AZ427" i="1"/>
  <c r="HL408" i="1"/>
  <c r="HL400" i="1"/>
  <c r="AL397" i="1"/>
  <c r="GX427" i="1"/>
  <c r="HL403" i="1"/>
  <c r="AL419" i="1"/>
  <c r="AZ394" i="1"/>
  <c r="AL417" i="1"/>
  <c r="AZ409" i="1"/>
  <c r="AL418" i="1"/>
  <c r="GX418" i="1"/>
  <c r="AL395" i="1"/>
  <c r="HL399" i="1"/>
  <c r="HL395" i="1"/>
  <c r="AZ424" i="1"/>
  <c r="Y405" i="1" l="1"/>
  <c r="Z405" i="1" s="1"/>
  <c r="AG424" i="1"/>
  <c r="AG422" i="1"/>
  <c r="AG421" i="1"/>
  <c r="D72" i="1"/>
  <c r="A135" i="1"/>
  <c r="C136" i="1" s="1"/>
  <c r="C105" i="1"/>
  <c r="D105" i="1" s="1"/>
  <c r="E105" i="1" s="1"/>
  <c r="F105" i="1" s="1"/>
  <c r="G105" i="1" s="1"/>
  <c r="H105" i="1" s="1"/>
  <c r="I105" i="1" s="1"/>
  <c r="J105" i="1" s="1"/>
  <c r="K105" i="1" s="1"/>
  <c r="L105" i="1" s="1"/>
  <c r="M105" i="1" s="1"/>
  <c r="N105" i="1" s="1"/>
  <c r="O105" i="1" s="1"/>
  <c r="P105" i="1" s="1"/>
  <c r="Q105" i="1" s="1"/>
  <c r="R105" i="1" s="1"/>
  <c r="S105" i="1" s="1"/>
  <c r="T105" i="1" s="1"/>
  <c r="U105" i="1" s="1"/>
  <c r="V105" i="1" s="1"/>
  <c r="W105" i="1" s="1"/>
  <c r="X105" i="1" s="1"/>
  <c r="Y105" i="1" s="1"/>
  <c r="Z105" i="1" s="1"/>
  <c r="AA105" i="1" s="1"/>
  <c r="AB105" i="1" s="1"/>
  <c r="AC105" i="1" s="1"/>
  <c r="AD105" i="1" s="1"/>
  <c r="AE105" i="1" s="1"/>
  <c r="AF105" i="1" s="1"/>
  <c r="C104" i="1"/>
  <c r="DU392" i="1"/>
  <c r="FX392" i="1"/>
  <c r="CD392" i="1"/>
  <c r="EW392" i="1"/>
  <c r="BB392" i="1"/>
  <c r="BP392" i="1"/>
  <c r="GL392" i="1"/>
  <c r="DG392" i="1"/>
  <c r="CR392" i="1"/>
  <c r="EH392" i="1"/>
  <c r="AN392" i="1"/>
  <c r="FJ392" i="1"/>
  <c r="GX423" i="1"/>
  <c r="AZ416" i="1"/>
  <c r="AZ422" i="1"/>
  <c r="GX413" i="1"/>
  <c r="AL404" i="1"/>
  <c r="GX399" i="1"/>
  <c r="AZ420" i="1"/>
  <c r="GX398" i="1"/>
  <c r="AL423" i="1"/>
  <c r="AZ426" i="1"/>
  <c r="AL414" i="1"/>
  <c r="AZ404" i="1"/>
  <c r="AL402" i="1"/>
  <c r="AL428" i="1"/>
  <c r="AZ423" i="1"/>
  <c r="GX426" i="1"/>
  <c r="GX403" i="1"/>
  <c r="HL424" i="1"/>
  <c r="AL426" i="1"/>
  <c r="HL411" i="1"/>
  <c r="HL402" i="1"/>
  <c r="AZ425" i="1"/>
  <c r="GX425" i="1"/>
  <c r="AL424" i="1"/>
  <c r="GX415" i="1"/>
  <c r="HL404" i="1"/>
  <c r="AL400" i="1"/>
  <c r="GX410" i="1"/>
  <c r="HL414" i="1"/>
  <c r="HL423" i="1"/>
  <c r="HL413" i="1"/>
  <c r="AL410" i="1"/>
  <c r="HL418" i="1"/>
  <c r="GX407" i="1"/>
  <c r="AL425" i="1"/>
  <c r="AZ419" i="1"/>
  <c r="GX424" i="1"/>
  <c r="AL399" i="1"/>
  <c r="AZ411" i="1"/>
  <c r="GX397" i="1"/>
  <c r="GX420" i="1"/>
  <c r="HL396" i="1"/>
  <c r="AL422" i="1"/>
  <c r="GX411" i="1"/>
  <c r="AL407" i="1"/>
  <c r="AZ403" i="1"/>
  <c r="GX401" i="1"/>
  <c r="AZ415" i="1"/>
  <c r="AZ418" i="1"/>
  <c r="GX400" i="1"/>
  <c r="GX394" i="1"/>
  <c r="AZ407" i="1"/>
  <c r="HK406" i="1"/>
  <c r="AL413" i="1"/>
  <c r="GX402" i="1"/>
  <c r="HL394" i="1"/>
  <c r="GX396" i="1"/>
  <c r="HL397" i="1"/>
  <c r="HL412" i="1"/>
  <c r="AZ395" i="1"/>
  <c r="AZ421" i="1"/>
  <c r="GX419" i="1"/>
  <c r="HL401" i="1"/>
  <c r="AL415" i="1"/>
  <c r="HL407" i="1"/>
  <c r="AZ402" i="1"/>
  <c r="HL428" i="1"/>
  <c r="AZ397" i="1"/>
  <c r="E72" i="1" l="1"/>
  <c r="D104" i="1"/>
  <c r="A167" i="1"/>
  <c r="C137" i="1"/>
  <c r="D137" i="1" s="1"/>
  <c r="E137" i="1" s="1"/>
  <c r="F137" i="1" s="1"/>
  <c r="G137" i="1" s="1"/>
  <c r="H137" i="1" s="1"/>
  <c r="I137" i="1" s="1"/>
  <c r="J137" i="1" s="1"/>
  <c r="K137" i="1" s="1"/>
  <c r="L137" i="1" s="1"/>
  <c r="M137" i="1" s="1"/>
  <c r="N137" i="1" s="1"/>
  <c r="O137" i="1" s="1"/>
  <c r="P137" i="1" s="1"/>
  <c r="Q137" i="1" s="1"/>
  <c r="R137" i="1" s="1"/>
  <c r="S137" i="1" s="1"/>
  <c r="T137" i="1" s="1"/>
  <c r="U137" i="1" s="1"/>
  <c r="V137" i="1" s="1"/>
  <c r="W137" i="1" s="1"/>
  <c r="X137" i="1" s="1"/>
  <c r="Y137" i="1" s="1"/>
  <c r="Z137" i="1" s="1"/>
  <c r="AA137" i="1" s="1"/>
  <c r="AB137" i="1" s="1"/>
  <c r="AC137" i="1" s="1"/>
  <c r="AD137" i="1" s="1"/>
  <c r="AE137" i="1" s="1"/>
  <c r="AF137" i="1" s="1"/>
  <c r="AG137" i="1" s="1"/>
  <c r="D136" i="1"/>
  <c r="CS392" i="1"/>
  <c r="GM392" i="1"/>
  <c r="BQ392" i="1"/>
  <c r="CE392" i="1"/>
  <c r="AO392" i="1"/>
  <c r="DV392" i="1"/>
  <c r="FK392" i="1"/>
  <c r="EX392" i="1"/>
  <c r="EI392" i="1"/>
  <c r="FY392" i="1"/>
  <c r="BC392" i="1"/>
  <c r="DH392" i="1"/>
  <c r="HN403" i="1"/>
  <c r="AM409" i="1"/>
  <c r="IB399" i="1"/>
  <c r="BP411" i="1"/>
  <c r="BA406" i="1"/>
  <c r="IB413" i="1"/>
  <c r="BA400" i="1"/>
  <c r="BA418" i="1"/>
  <c r="BB419" i="1"/>
  <c r="BP425" i="1"/>
  <c r="AN410" i="1"/>
  <c r="GY403" i="1"/>
  <c r="GY427" i="1"/>
  <c r="GY399" i="1"/>
  <c r="AM417" i="1"/>
  <c r="BA426" i="1"/>
  <c r="AN398" i="1"/>
  <c r="IB427" i="1"/>
  <c r="BP412" i="1"/>
  <c r="BB409" i="1"/>
  <c r="HN421" i="1"/>
  <c r="AN426" i="1"/>
  <c r="BP394" i="1"/>
  <c r="HN420" i="1"/>
  <c r="GY395" i="1"/>
  <c r="IB400" i="1"/>
  <c r="BP395" i="1"/>
  <c r="IB403" i="1"/>
  <c r="BB422" i="1"/>
  <c r="BA397" i="1"/>
  <c r="HM400" i="1"/>
  <c r="AM411" i="1"/>
  <c r="IB398" i="1"/>
  <c r="BP404" i="1"/>
  <c r="BP421" i="1"/>
  <c r="HN428" i="1"/>
  <c r="BP398" i="1"/>
  <c r="AM402" i="1"/>
  <c r="HM404" i="1"/>
  <c r="AM398" i="1"/>
  <c r="IB425" i="1"/>
  <c r="BP423" i="1"/>
  <c r="BA404" i="1"/>
  <c r="BB399" i="1"/>
  <c r="BB412" i="1"/>
  <c r="GZ420" i="1"/>
  <c r="AM414" i="1"/>
  <c r="HN424" i="1"/>
  <c r="IB426" i="1"/>
  <c r="BB404" i="1"/>
  <c r="GZ409" i="1"/>
  <c r="AN402" i="1"/>
  <c r="AM427" i="1"/>
  <c r="HM422" i="1"/>
  <c r="HM398" i="1"/>
  <c r="BP410" i="1"/>
  <c r="IB402" i="1"/>
  <c r="BP408" i="1"/>
  <c r="A199" i="1" l="1"/>
  <c r="C168" i="1"/>
  <c r="C169" i="1"/>
  <c r="D169" i="1" s="1"/>
  <c r="E169" i="1" s="1"/>
  <c r="F169" i="1" s="1"/>
  <c r="G169" i="1" s="1"/>
  <c r="H169" i="1" s="1"/>
  <c r="I169" i="1" s="1"/>
  <c r="J169" i="1" s="1"/>
  <c r="K169" i="1" s="1"/>
  <c r="L169" i="1" s="1"/>
  <c r="M169" i="1" s="1"/>
  <c r="N169" i="1" s="1"/>
  <c r="O169" i="1" s="1"/>
  <c r="P169" i="1" s="1"/>
  <c r="Q169" i="1" s="1"/>
  <c r="R169" i="1" s="1"/>
  <c r="S169" i="1" s="1"/>
  <c r="T169" i="1" s="1"/>
  <c r="U169" i="1" s="1"/>
  <c r="V169" i="1" s="1"/>
  <c r="W169" i="1" s="1"/>
  <c r="X169" i="1" s="1"/>
  <c r="Y169" i="1" s="1"/>
  <c r="Z169" i="1" s="1"/>
  <c r="AA169" i="1" s="1"/>
  <c r="AB169" i="1" s="1"/>
  <c r="AC169" i="1" s="1"/>
  <c r="AD169" i="1" s="1"/>
  <c r="AE169" i="1" s="1"/>
  <c r="AF169" i="1" s="1"/>
  <c r="E104" i="1"/>
  <c r="E136" i="1"/>
  <c r="F72" i="1"/>
  <c r="FL392" i="1"/>
  <c r="DW392" i="1"/>
  <c r="FZ392" i="1"/>
  <c r="BD392" i="1"/>
  <c r="DI392" i="1"/>
  <c r="EY392" i="1"/>
  <c r="EJ392" i="1"/>
  <c r="BR392" i="1"/>
  <c r="GN392" i="1"/>
  <c r="CT392" i="1"/>
  <c r="CF392" i="1"/>
  <c r="AP392" i="1"/>
  <c r="GZ395" i="1"/>
  <c r="AN420" i="1"/>
  <c r="HN402" i="1"/>
  <c r="AN422" i="1"/>
  <c r="GZ421" i="1"/>
  <c r="HN407" i="1"/>
  <c r="GY415" i="1"/>
  <c r="HN417" i="1"/>
  <c r="HM397" i="1"/>
  <c r="AN415" i="1"/>
  <c r="BP396" i="1"/>
  <c r="IB401" i="1"/>
  <c r="GZ397" i="1"/>
  <c r="AM407" i="1"/>
  <c r="AN403" i="1"/>
  <c r="BP407" i="1"/>
  <c r="HN414" i="1"/>
  <c r="GZ413" i="1"/>
  <c r="HN394" i="1"/>
  <c r="GY426" i="1"/>
  <c r="HN398" i="1"/>
  <c r="AN407" i="1"/>
  <c r="HN427" i="1"/>
  <c r="BB421" i="1"/>
  <c r="BP418" i="1"/>
  <c r="BA409" i="1"/>
  <c r="AM423" i="1"/>
  <c r="GZ427" i="1"/>
  <c r="BB402" i="1"/>
  <c r="AN417" i="1"/>
  <c r="AN428" i="1"/>
  <c r="HM414" i="1"/>
  <c r="IB412" i="1"/>
  <c r="AM420" i="1"/>
  <c r="BP406" i="1"/>
  <c r="AN408" i="1"/>
  <c r="BP415" i="1"/>
  <c r="HM402" i="1"/>
  <c r="BP402" i="1"/>
  <c r="BB427" i="1"/>
  <c r="GY402" i="1"/>
  <c r="BB406" i="1"/>
  <c r="AM415" i="1"/>
  <c r="HN406" i="1"/>
  <c r="BA394" i="1"/>
  <c r="GZ419" i="1"/>
  <c r="AN406" i="1"/>
  <c r="GY413" i="1"/>
  <c r="HN426" i="1"/>
  <c r="BB428" i="1"/>
  <c r="HN422" i="1"/>
  <c r="BA423" i="1"/>
  <c r="AN411" i="1"/>
  <c r="GZ398" i="1"/>
  <c r="AN423" i="1"/>
  <c r="IB408" i="1"/>
  <c r="IB419" i="1"/>
  <c r="GY419" i="1"/>
  <c r="AM410" i="1"/>
  <c r="BB410" i="1"/>
  <c r="GY417" i="1"/>
  <c r="AM394" i="1"/>
  <c r="BP414" i="1"/>
  <c r="AM413" i="1"/>
  <c r="BB425" i="1"/>
  <c r="IB417" i="1"/>
  <c r="BA398" i="1"/>
  <c r="BP420" i="1"/>
  <c r="GY425" i="1"/>
  <c r="GZ402" i="1"/>
  <c r="BB398" i="1"/>
  <c r="HM411" i="1"/>
  <c r="IB406" i="1"/>
  <c r="HM420" i="1"/>
  <c r="AM396" i="1"/>
  <c r="AM421" i="1"/>
  <c r="GY422" i="1"/>
  <c r="HM425" i="1"/>
  <c r="BA402" i="1"/>
  <c r="HM418" i="1"/>
  <c r="IB422" i="1"/>
  <c r="GY404" i="1"/>
  <c r="AN419" i="1"/>
  <c r="BP403" i="1"/>
  <c r="AN400" i="1"/>
  <c r="IB407" i="1"/>
  <c r="BP428" i="1"/>
  <c r="GY421" i="1"/>
  <c r="GY420" i="1"/>
  <c r="HM394" i="1"/>
  <c r="HM408" i="1"/>
  <c r="BP419" i="1"/>
  <c r="BA411" i="1"/>
  <c r="BA399" i="1"/>
  <c r="BA420" i="1"/>
  <c r="AM419" i="1"/>
  <c r="HN412" i="1"/>
  <c r="AN416" i="1"/>
  <c r="GZ428" i="1"/>
  <c r="HM399" i="1"/>
  <c r="HN411" i="1"/>
  <c r="BB416" i="1"/>
  <c r="HN401" i="1"/>
  <c r="GZ404" i="1"/>
  <c r="HN396" i="1"/>
  <c r="HM428" i="1"/>
  <c r="IB410" i="1"/>
  <c r="BB403" i="1"/>
  <c r="BA407" i="1"/>
  <c r="HN425" i="1"/>
  <c r="GZ417" i="1"/>
  <c r="BB423" i="1"/>
  <c r="HM427" i="1"/>
  <c r="BB407" i="1"/>
  <c r="HN419" i="1"/>
  <c r="IB418" i="1"/>
  <c r="GY418" i="1"/>
  <c r="GZ415" i="1"/>
  <c r="GZ403" i="1"/>
  <c r="HM406" i="1"/>
  <c r="BB424" i="1"/>
  <c r="BP422" i="1"/>
  <c r="GZ414" i="1"/>
  <c r="HM416" i="1"/>
  <c r="AM416" i="1"/>
  <c r="HM395" i="1"/>
  <c r="HN409" i="1"/>
  <c r="GY423" i="1"/>
  <c r="GZ411" i="1"/>
  <c r="HM409" i="1"/>
  <c r="GZ423" i="1"/>
  <c r="HM403" i="1"/>
  <c r="IB411" i="1"/>
  <c r="HN410" i="1"/>
  <c r="GZ407" i="1"/>
  <c r="IB428" i="1"/>
  <c r="HM421" i="1"/>
  <c r="BA419" i="1"/>
  <c r="AM400" i="1"/>
  <c r="AN425" i="1"/>
  <c r="BB420" i="1"/>
  <c r="GZ401" i="1"/>
  <c r="HN404" i="1"/>
  <c r="AM397" i="1"/>
  <c r="HM419" i="1"/>
  <c r="HN408" i="1"/>
  <c r="BB418" i="1"/>
  <c r="HM413" i="1"/>
  <c r="IB397" i="1"/>
  <c r="BP417" i="1"/>
  <c r="GY424" i="1"/>
  <c r="BP424" i="1"/>
  <c r="GY410" i="1"/>
  <c r="BB426" i="1"/>
  <c r="GY412" i="1"/>
  <c r="BA413" i="1"/>
  <c r="AM418" i="1"/>
  <c r="AN418" i="1"/>
  <c r="HM423" i="1"/>
  <c r="BB408" i="1"/>
  <c r="HN395" i="1"/>
  <c r="GY396" i="1"/>
  <c r="IB421" i="1"/>
  <c r="GY428" i="1"/>
  <c r="BB415" i="1"/>
  <c r="AN394" i="1"/>
  <c r="AN412" i="1"/>
  <c r="BP426" i="1"/>
  <c r="HN423" i="1"/>
  <c r="GY408" i="1"/>
  <c r="BA421" i="1"/>
  <c r="BA415" i="1"/>
  <c r="GZ422" i="1"/>
  <c r="BP409" i="1"/>
  <c r="BB394" i="1"/>
  <c r="GY414" i="1"/>
  <c r="AN413" i="1"/>
  <c r="HN413" i="1"/>
  <c r="GZ394" i="1"/>
  <c r="HM412" i="1"/>
  <c r="GY416" i="1"/>
  <c r="BB400" i="1"/>
  <c r="BP401" i="1"/>
  <c r="AM403" i="1"/>
  <c r="AN421" i="1"/>
  <c r="AM426" i="1"/>
  <c r="HM407" i="1"/>
  <c r="BA427" i="1"/>
  <c r="AM395" i="1"/>
  <c r="IB423" i="1"/>
  <c r="HM415" i="1"/>
  <c r="BP397" i="1"/>
  <c r="AM412" i="1"/>
  <c r="GZ396" i="1"/>
  <c r="IB404" i="1"/>
  <c r="GY400" i="1"/>
  <c r="AN427" i="1"/>
  <c r="F104" i="1" l="1"/>
  <c r="F136" i="1"/>
  <c r="D168" i="1"/>
  <c r="A231" i="1"/>
  <c r="C201" i="1"/>
  <c r="D201" i="1" s="1"/>
  <c r="E201" i="1" s="1"/>
  <c r="F201" i="1" s="1"/>
  <c r="G201" i="1" s="1"/>
  <c r="H201" i="1" s="1"/>
  <c r="I201" i="1" s="1"/>
  <c r="J201" i="1" s="1"/>
  <c r="K201" i="1" s="1"/>
  <c r="L201" i="1" s="1"/>
  <c r="M201" i="1" s="1"/>
  <c r="N201" i="1" s="1"/>
  <c r="O201" i="1" s="1"/>
  <c r="P201" i="1" s="1"/>
  <c r="Q201" i="1" s="1"/>
  <c r="R201" i="1" s="1"/>
  <c r="S201" i="1" s="1"/>
  <c r="T201" i="1" s="1"/>
  <c r="U201" i="1" s="1"/>
  <c r="V201" i="1" s="1"/>
  <c r="W201" i="1" s="1"/>
  <c r="X201" i="1" s="1"/>
  <c r="Y201" i="1" s="1"/>
  <c r="Z201" i="1" s="1"/>
  <c r="AA201" i="1" s="1"/>
  <c r="AB201" i="1" s="1"/>
  <c r="AC201" i="1" s="1"/>
  <c r="AD201" i="1" s="1"/>
  <c r="AE201" i="1" s="1"/>
  <c r="AF201" i="1" s="1"/>
  <c r="AG201" i="1" s="1"/>
  <c r="C200" i="1"/>
  <c r="G72" i="1"/>
  <c r="BE392" i="1"/>
  <c r="AQ392" i="1"/>
  <c r="CU392" i="1"/>
  <c r="DX392" i="1"/>
  <c r="GO392" i="1"/>
  <c r="GA392" i="1"/>
  <c r="BS392" i="1"/>
  <c r="FM392" i="1"/>
  <c r="EK392" i="1"/>
  <c r="EZ392" i="1"/>
  <c r="CG392" i="1"/>
  <c r="DJ392" i="1"/>
  <c r="AM428" i="1"/>
  <c r="BB396" i="1"/>
  <c r="AM422" i="1"/>
  <c r="HN415" i="1"/>
  <c r="BB397" i="1"/>
  <c r="BA412" i="1"/>
  <c r="GZ410" i="1"/>
  <c r="GZ408" i="1"/>
  <c r="GZ399" i="1"/>
  <c r="AN396" i="1"/>
  <c r="HN418" i="1"/>
  <c r="BA428" i="1"/>
  <c r="BB413" i="1"/>
  <c r="IB424" i="1"/>
  <c r="BB401" i="1"/>
  <c r="HM426" i="1"/>
  <c r="BA422" i="1"/>
  <c r="BP416" i="1"/>
  <c r="HM410" i="1"/>
  <c r="BB411" i="1"/>
  <c r="BP400" i="1"/>
  <c r="GY409" i="1"/>
  <c r="AN404" i="1"/>
  <c r="GZ418" i="1"/>
  <c r="HM417" i="1"/>
  <c r="GZ425" i="1"/>
  <c r="AN397" i="1"/>
  <c r="BA424" i="1"/>
  <c r="GY394" i="1"/>
  <c r="BA414" i="1"/>
  <c r="HN400" i="1"/>
  <c r="GY411" i="1"/>
  <c r="AN399" i="1"/>
  <c r="AM408" i="1"/>
  <c r="AM424" i="1"/>
  <c r="BA396" i="1"/>
  <c r="BB417" i="1"/>
  <c r="BP427" i="1"/>
  <c r="HN397" i="1"/>
  <c r="IB414" i="1"/>
  <c r="GZ400" i="1"/>
  <c r="IB420" i="1"/>
  <c r="AM425" i="1"/>
  <c r="BP399" i="1"/>
  <c r="GZ412" i="1"/>
  <c r="HN416" i="1"/>
  <c r="IB416" i="1"/>
  <c r="HM401" i="1"/>
  <c r="IB396" i="1"/>
  <c r="AN409" i="1"/>
  <c r="BA425" i="1"/>
  <c r="HM396" i="1"/>
  <c r="IB394" i="1"/>
  <c r="AN395" i="1"/>
  <c r="A263" i="1" l="1"/>
  <c r="C233" i="1"/>
  <c r="D233" i="1" s="1"/>
  <c r="E233" i="1" s="1"/>
  <c r="F233" i="1" s="1"/>
  <c r="G233" i="1" s="1"/>
  <c r="H233" i="1" s="1"/>
  <c r="I233" i="1" s="1"/>
  <c r="J233" i="1" s="1"/>
  <c r="K233" i="1" s="1"/>
  <c r="L233" i="1" s="1"/>
  <c r="M233" i="1" s="1"/>
  <c r="N233" i="1" s="1"/>
  <c r="O233" i="1" s="1"/>
  <c r="P233" i="1" s="1"/>
  <c r="Q233" i="1" s="1"/>
  <c r="R233" i="1" s="1"/>
  <c r="S233" i="1" s="1"/>
  <c r="T233" i="1" s="1"/>
  <c r="U233" i="1" s="1"/>
  <c r="V233" i="1" s="1"/>
  <c r="W233" i="1" s="1"/>
  <c r="X233" i="1" s="1"/>
  <c r="Y233" i="1" s="1"/>
  <c r="Z233" i="1" s="1"/>
  <c r="AA233" i="1" s="1"/>
  <c r="AB233" i="1" s="1"/>
  <c r="AC233" i="1" s="1"/>
  <c r="AD233" i="1" s="1"/>
  <c r="AE233" i="1" s="1"/>
  <c r="AF233" i="1" s="1"/>
  <c r="AG233" i="1" s="1"/>
  <c r="C232" i="1"/>
  <c r="E168" i="1"/>
  <c r="G104" i="1"/>
  <c r="G136" i="1"/>
  <c r="H72" i="1"/>
  <c r="D200" i="1"/>
  <c r="DY392" i="1"/>
  <c r="FA392" i="1"/>
  <c r="GP392" i="1"/>
  <c r="CV392" i="1"/>
  <c r="AR392" i="1"/>
  <c r="GB392" i="1"/>
  <c r="BT392" i="1"/>
  <c r="FN392" i="1"/>
  <c r="BF392" i="1"/>
  <c r="DK392" i="1"/>
  <c r="CH392" i="1"/>
  <c r="EL392" i="1"/>
  <c r="HN399" i="1"/>
  <c r="GY401" i="1"/>
  <c r="BP413" i="1"/>
  <c r="BA401" i="1"/>
  <c r="GY406" i="1"/>
  <c r="BA395" i="1"/>
  <c r="GY398" i="1"/>
  <c r="BA410" i="1"/>
  <c r="BB414" i="1"/>
  <c r="AN401" i="1"/>
  <c r="AM404" i="1"/>
  <c r="GZ406" i="1"/>
  <c r="IB409" i="1"/>
  <c r="AM401" i="1"/>
  <c r="AN424" i="1"/>
  <c r="BA408" i="1"/>
  <c r="AM399" i="1"/>
  <c r="BA416" i="1"/>
  <c r="BA417" i="1"/>
  <c r="IB395" i="1"/>
  <c r="H136" i="1" l="1"/>
  <c r="I136" i="1" s="1"/>
  <c r="E200" i="1"/>
  <c r="I72" i="1"/>
  <c r="H104" i="1"/>
  <c r="F168" i="1"/>
  <c r="D232" i="1"/>
  <c r="A295" i="1"/>
  <c r="C264" i="1"/>
  <c r="C265" i="1"/>
  <c r="D265" i="1" s="1"/>
  <c r="E265" i="1" s="1"/>
  <c r="F265" i="1" s="1"/>
  <c r="G265" i="1" s="1"/>
  <c r="H265" i="1" s="1"/>
  <c r="I265" i="1" s="1"/>
  <c r="J265" i="1" s="1"/>
  <c r="K265" i="1" s="1"/>
  <c r="L265" i="1" s="1"/>
  <c r="M265" i="1" s="1"/>
  <c r="N265" i="1" s="1"/>
  <c r="O265" i="1" s="1"/>
  <c r="P265" i="1" s="1"/>
  <c r="Q265" i="1" s="1"/>
  <c r="R265" i="1" s="1"/>
  <c r="S265" i="1" s="1"/>
  <c r="T265" i="1" s="1"/>
  <c r="U265" i="1" s="1"/>
  <c r="V265" i="1" s="1"/>
  <c r="W265" i="1" s="1"/>
  <c r="X265" i="1" s="1"/>
  <c r="Y265" i="1" s="1"/>
  <c r="Z265" i="1" s="1"/>
  <c r="AA265" i="1" s="1"/>
  <c r="AB265" i="1" s="1"/>
  <c r="AC265" i="1" s="1"/>
  <c r="AD265" i="1" s="1"/>
  <c r="AE265" i="1" s="1"/>
  <c r="AF265" i="1" s="1"/>
  <c r="GQ392" i="1"/>
  <c r="CW392" i="1"/>
  <c r="DL392" i="1"/>
  <c r="FB392" i="1"/>
  <c r="EM392" i="1"/>
  <c r="AS392" i="1"/>
  <c r="FO392" i="1"/>
  <c r="CI392" i="1"/>
  <c r="BU392" i="1"/>
  <c r="BG392" i="1"/>
  <c r="GC392" i="1"/>
  <c r="DZ392" i="1"/>
  <c r="BA403" i="1"/>
  <c r="IC427" i="1"/>
  <c r="AM406" i="1"/>
  <c r="BC412" i="1"/>
  <c r="BC413" i="1"/>
  <c r="E232" i="1" l="1"/>
  <c r="G168" i="1"/>
  <c r="I104" i="1"/>
  <c r="J72" i="1"/>
  <c r="F200" i="1"/>
  <c r="D264" i="1"/>
  <c r="A327" i="1"/>
  <c r="C296" i="1"/>
  <c r="C297" i="1"/>
  <c r="D297" i="1" s="1"/>
  <c r="E297" i="1" s="1"/>
  <c r="F297" i="1" s="1"/>
  <c r="G297" i="1" s="1"/>
  <c r="H297" i="1" s="1"/>
  <c r="I297" i="1" s="1"/>
  <c r="J297" i="1" s="1"/>
  <c r="K297" i="1" s="1"/>
  <c r="L297" i="1" s="1"/>
  <c r="M297" i="1" s="1"/>
  <c r="N297" i="1" s="1"/>
  <c r="O297" i="1" s="1"/>
  <c r="P297" i="1" s="1"/>
  <c r="Q297" i="1" s="1"/>
  <c r="R297" i="1" s="1"/>
  <c r="S297" i="1" s="1"/>
  <c r="T297" i="1" s="1"/>
  <c r="U297" i="1" s="1"/>
  <c r="V297" i="1" s="1"/>
  <c r="W297" i="1" s="1"/>
  <c r="X297" i="1" s="1"/>
  <c r="Y297" i="1" s="1"/>
  <c r="Z297" i="1" s="1"/>
  <c r="AA297" i="1" s="1"/>
  <c r="AB297" i="1" s="1"/>
  <c r="AC297" i="1" s="1"/>
  <c r="AD297" i="1" s="1"/>
  <c r="AE297" i="1" s="1"/>
  <c r="AF297" i="1" s="1"/>
  <c r="AG297" i="1" s="1"/>
  <c r="DM392" i="1"/>
  <c r="DN392" i="1" s="1"/>
  <c r="CX392" i="1"/>
  <c r="GD392" i="1"/>
  <c r="GR392" i="1"/>
  <c r="BH392" i="1"/>
  <c r="FP392" i="1"/>
  <c r="CJ392" i="1"/>
  <c r="EN392" i="1"/>
  <c r="BV392" i="1"/>
  <c r="AT392" i="1"/>
  <c r="FC392" i="1"/>
  <c r="FD392" i="1" s="1"/>
  <c r="EA392" i="1"/>
  <c r="EB392" i="1" s="1"/>
  <c r="J136" i="1"/>
  <c r="HA420" i="1"/>
  <c r="AN414" i="1"/>
  <c r="IC396" i="1"/>
  <c r="HA411" i="1"/>
  <c r="HA416" i="1"/>
  <c r="HA427" i="1"/>
  <c r="HA423" i="1"/>
  <c r="HA404" i="1"/>
  <c r="BQ426" i="1"/>
  <c r="BQ427" i="1"/>
  <c r="BQ419" i="1"/>
  <c r="AO420" i="1"/>
  <c r="HO421" i="1"/>
  <c r="BQ411" i="1"/>
  <c r="AO425" i="1"/>
  <c r="AO423" i="1"/>
  <c r="HA402" i="1"/>
  <c r="IC426" i="1"/>
  <c r="GZ416" i="1"/>
  <c r="HO414" i="1"/>
  <c r="BB395" i="1"/>
  <c r="IC411" i="1"/>
  <c r="HO412" i="1"/>
  <c r="BQ422" i="1"/>
  <c r="HA394" i="1"/>
  <c r="BQ397" i="1"/>
  <c r="IC421" i="1"/>
  <c r="BC394" i="1"/>
  <c r="HO395" i="1"/>
  <c r="AO426" i="1"/>
  <c r="AO424" i="1"/>
  <c r="HA398" i="1"/>
  <c r="IC416" i="1"/>
  <c r="GY407" i="1"/>
  <c r="HO409" i="1"/>
  <c r="HA426" i="1"/>
  <c r="GZ424" i="1"/>
  <c r="AO398" i="1"/>
  <c r="AO402" i="1"/>
  <c r="HA414" i="1"/>
  <c r="AO397" i="1"/>
  <c r="HA425" i="1"/>
  <c r="HO425" i="1"/>
  <c r="BQ398" i="1"/>
  <c r="BC415" i="1"/>
  <c r="HA407" i="1"/>
  <c r="HO404" i="1"/>
  <c r="BQ399" i="1"/>
  <c r="HA413" i="1"/>
  <c r="HO394" i="1"/>
  <c r="IB415" i="1"/>
  <c r="AO418" i="1"/>
  <c r="BQ409" i="1"/>
  <c r="IC414" i="1"/>
  <c r="IC404" i="1"/>
  <c r="GZ426" i="1"/>
  <c r="BQ396" i="1"/>
  <c r="HA399" i="1"/>
  <c r="FE392" i="1" l="1"/>
  <c r="EC392" i="1"/>
  <c r="DO392" i="1"/>
  <c r="K72" i="1"/>
  <c r="J104" i="1"/>
  <c r="K136" i="1"/>
  <c r="D296" i="1"/>
  <c r="A359" i="1"/>
  <c r="C329" i="1"/>
  <c r="D329" i="1" s="1"/>
  <c r="E329" i="1" s="1"/>
  <c r="F329" i="1" s="1"/>
  <c r="G329" i="1" s="1"/>
  <c r="H329" i="1" s="1"/>
  <c r="I329" i="1" s="1"/>
  <c r="J329" i="1" s="1"/>
  <c r="K329" i="1" s="1"/>
  <c r="L329" i="1" s="1"/>
  <c r="M329" i="1" s="1"/>
  <c r="N329" i="1" s="1"/>
  <c r="O329" i="1" s="1"/>
  <c r="P329" i="1" s="1"/>
  <c r="Q329" i="1" s="1"/>
  <c r="R329" i="1" s="1"/>
  <c r="S329" i="1" s="1"/>
  <c r="T329" i="1" s="1"/>
  <c r="U329" i="1" s="1"/>
  <c r="V329" i="1" s="1"/>
  <c r="W329" i="1" s="1"/>
  <c r="X329" i="1" s="1"/>
  <c r="Y329" i="1" s="1"/>
  <c r="Z329" i="1" s="1"/>
  <c r="AA329" i="1" s="1"/>
  <c r="AB329" i="1" s="1"/>
  <c r="AC329" i="1" s="1"/>
  <c r="AD329" i="1" s="1"/>
  <c r="AE329" i="1" s="1"/>
  <c r="AF329" i="1" s="1"/>
  <c r="C328" i="1"/>
  <c r="E264" i="1"/>
  <c r="G200" i="1"/>
  <c r="H168" i="1"/>
  <c r="F232" i="1"/>
  <c r="FQ392" i="1"/>
  <c r="FR392" i="1" s="1"/>
  <c r="EO392" i="1"/>
  <c r="EP392" i="1" s="1"/>
  <c r="GE392" i="1"/>
  <c r="GF392" i="1" s="1"/>
  <c r="GS392" i="1"/>
  <c r="GT392" i="1" s="1"/>
  <c r="AU392" i="1"/>
  <c r="AV392" i="1" s="1"/>
  <c r="CY392" i="1"/>
  <c r="CZ392" i="1" s="1"/>
  <c r="BW392" i="1"/>
  <c r="BX392" i="1" s="1"/>
  <c r="BI392" i="1"/>
  <c r="BJ392" i="1" s="1"/>
  <c r="CK392" i="1"/>
  <c r="CL392" i="1" s="1"/>
  <c r="IC407" i="1"/>
  <c r="BQ408" i="1"/>
  <c r="BQ421" i="1"/>
  <c r="BC404" i="1"/>
  <c r="HO424" i="1"/>
  <c r="IC400" i="1"/>
  <c r="HA408" i="1"/>
  <c r="IC403" i="1"/>
  <c r="HO417" i="1"/>
  <c r="HM424" i="1"/>
  <c r="IC412" i="1"/>
  <c r="IC408" i="1"/>
  <c r="HA396" i="1"/>
  <c r="BC418" i="1"/>
  <c r="BQ410" i="1"/>
  <c r="AO413" i="1"/>
  <c r="GU392" i="1" l="1"/>
  <c r="GG392" i="1"/>
  <c r="FS392" i="1"/>
  <c r="EQ392" i="1"/>
  <c r="DA392" i="1"/>
  <c r="CM392" i="1"/>
  <c r="HO428" i="1"/>
  <c r="AO395" i="1"/>
  <c r="BQ424" i="1"/>
  <c r="BC395" i="1"/>
  <c r="HO416" i="1"/>
  <c r="HA410" i="1"/>
  <c r="AO409" i="1"/>
  <c r="HO419" i="1"/>
  <c r="BY392" i="1" l="1"/>
  <c r="BK392" i="1"/>
  <c r="AW392" i="1"/>
  <c r="BQ395" i="1"/>
  <c r="HO399" i="1"/>
  <c r="BQ412" i="1"/>
  <c r="BQ414" i="1"/>
  <c r="BQ403" i="1"/>
  <c r="HA412" i="1"/>
  <c r="AO394" i="1"/>
  <c r="HO420" i="1"/>
  <c r="BC419" i="1"/>
  <c r="BC406" i="1"/>
  <c r="HO401" i="1"/>
  <c r="HO423" i="1"/>
  <c r="IC410" i="1"/>
  <c r="F264" i="1" l="1"/>
  <c r="D328" i="1"/>
  <c r="C360" i="1"/>
  <c r="C361" i="1"/>
  <c r="D361" i="1" s="1"/>
  <c r="E361" i="1" s="1"/>
  <c r="F361" i="1" s="1"/>
  <c r="G361" i="1" s="1"/>
  <c r="H361" i="1" s="1"/>
  <c r="I361" i="1" s="1"/>
  <c r="J361" i="1" s="1"/>
  <c r="K361" i="1" s="1"/>
  <c r="L361" i="1" s="1"/>
  <c r="M361" i="1" s="1"/>
  <c r="N361" i="1" s="1"/>
  <c r="O361" i="1" s="1"/>
  <c r="P361" i="1" s="1"/>
  <c r="Q361" i="1" s="1"/>
  <c r="R361" i="1" s="1"/>
  <c r="S361" i="1" s="1"/>
  <c r="T361" i="1" s="1"/>
  <c r="U361" i="1" s="1"/>
  <c r="V361" i="1" s="1"/>
  <c r="W361" i="1" s="1"/>
  <c r="X361" i="1" s="1"/>
  <c r="Y361" i="1" s="1"/>
  <c r="Z361" i="1" s="1"/>
  <c r="AA361" i="1" s="1"/>
  <c r="AB361" i="1" s="1"/>
  <c r="AC361" i="1" s="1"/>
  <c r="AD361" i="1" s="1"/>
  <c r="AE361" i="1" s="1"/>
  <c r="AF361" i="1" s="1"/>
  <c r="AG361" i="1" s="1"/>
  <c r="E296" i="1"/>
  <c r="G232" i="1"/>
  <c r="L136" i="1"/>
  <c r="I168" i="1"/>
  <c r="K104" i="1"/>
  <c r="H200" i="1"/>
  <c r="L72" i="1"/>
  <c r="IC394" i="1"/>
  <c r="GY397" i="1"/>
  <c r="IC417" i="1"/>
  <c r="AO427" i="1"/>
  <c r="HA424" i="1"/>
  <c r="BC411" i="1"/>
  <c r="HO400" i="1"/>
  <c r="HA403" i="1"/>
  <c r="HO398" i="1"/>
  <c r="BE408" i="1"/>
  <c r="IC428" i="1"/>
  <c r="BC421" i="1"/>
  <c r="BC396" i="1"/>
  <c r="BQ402" i="1"/>
  <c r="ID400" i="1"/>
  <c r="BQ415" i="1"/>
  <c r="BQ394" i="1"/>
  <c r="BC417" i="1"/>
  <c r="BC397" i="1"/>
  <c r="BR396" i="1"/>
  <c r="BR409" i="1"/>
  <c r="AP399" i="1"/>
  <c r="BC401" i="1"/>
  <c r="BS420" i="1"/>
  <c r="BR421" i="1"/>
  <c r="BQ428" i="1"/>
  <c r="BQ423" i="1"/>
  <c r="HO406" i="1"/>
  <c r="BQ407" i="1"/>
  <c r="BQ418" i="1"/>
  <c r="HB397" i="1"/>
  <c r="IC397" i="1"/>
  <c r="HO411" i="1"/>
  <c r="AO417" i="1"/>
  <c r="IC398" i="1"/>
  <c r="IC419" i="1"/>
  <c r="HO407" i="1"/>
  <c r="HA401" i="1"/>
  <c r="AO406" i="1"/>
  <c r="IC413" i="1"/>
  <c r="HA395" i="1"/>
  <c r="AO428" i="1"/>
  <c r="HA418" i="1"/>
  <c r="J168" i="1" l="1"/>
  <c r="H232" i="1"/>
  <c r="F296" i="1"/>
  <c r="M72" i="1"/>
  <c r="I200" i="1"/>
  <c r="E328" i="1"/>
  <c r="M136" i="1"/>
  <c r="D360" i="1"/>
  <c r="L104" i="1"/>
  <c r="G264" i="1"/>
  <c r="IC423" i="1"/>
  <c r="BQ416" i="1"/>
  <c r="AO412" i="1"/>
  <c r="BC427" i="1"/>
  <c r="ID427" i="1"/>
  <c r="BC416" i="1"/>
  <c r="HA428" i="1"/>
  <c r="N136" i="1" l="1"/>
  <c r="E360" i="1"/>
  <c r="F328" i="1"/>
  <c r="N72" i="1"/>
  <c r="J200" i="1"/>
  <c r="G296" i="1"/>
  <c r="H264" i="1"/>
  <c r="I232" i="1"/>
  <c r="M104" i="1"/>
  <c r="K168" i="1"/>
  <c r="HO427" i="1"/>
  <c r="BC399" i="1"/>
  <c r="BC407" i="1"/>
  <c r="BC422" i="1"/>
  <c r="HO410" i="1"/>
  <c r="IC406" i="1"/>
  <c r="AO410" i="1"/>
  <c r="BQ406" i="1"/>
  <c r="HA400" i="1"/>
  <c r="HA417" i="1"/>
  <c r="BC400" i="1"/>
  <c r="BC402" i="1"/>
  <c r="AO421" i="1"/>
  <c r="HP423" i="1"/>
  <c r="AO416" i="1"/>
  <c r="HP421" i="1"/>
  <c r="HB394" i="1"/>
  <c r="BC428" i="1"/>
  <c r="BC425" i="1"/>
  <c r="ID424" i="1"/>
  <c r="BC398" i="1"/>
  <c r="HO408" i="1"/>
  <c r="AO407" i="1"/>
  <c r="BR415" i="1"/>
  <c r="IC425" i="1"/>
  <c r="HP419" i="1"/>
  <c r="CF428" i="1"/>
  <c r="IC415" i="1"/>
  <c r="IC401" i="1"/>
  <c r="ID422" i="1"/>
  <c r="ID425" i="1"/>
  <c r="AO404" i="1"/>
  <c r="BC426" i="1"/>
  <c r="AO422" i="1"/>
  <c r="HO422" i="1"/>
  <c r="HO396" i="1"/>
  <c r="HA406" i="1"/>
  <c r="IC420" i="1"/>
  <c r="BD394" i="1"/>
  <c r="HO418" i="1"/>
  <c r="ID398" i="1"/>
  <c r="BQ425" i="1"/>
  <c r="AO396" i="1"/>
  <c r="IC424" i="1"/>
  <c r="AO401" i="1"/>
  <c r="HO413" i="1"/>
  <c r="HP397" i="1"/>
  <c r="ID426" i="1"/>
  <c r="BQ401" i="1"/>
  <c r="IR411" i="1"/>
  <c r="CF397" i="1"/>
  <c r="ID415" i="1"/>
  <c r="HB402" i="1"/>
  <c r="IR396" i="1"/>
  <c r="BD397" i="1"/>
  <c r="HA397" i="1"/>
  <c r="AO408" i="1"/>
  <c r="HA419" i="1"/>
  <c r="ID402" i="1"/>
  <c r="BD409" i="1"/>
  <c r="BT418" i="1"/>
  <c r="HP417" i="1"/>
  <c r="HB407" i="1"/>
  <c r="HP406" i="1"/>
  <c r="BD422" i="1"/>
  <c r="HO402" i="1"/>
  <c r="BC424" i="1"/>
  <c r="BC423" i="1"/>
  <c r="BQ417" i="1"/>
  <c r="HO403" i="1"/>
  <c r="BC409" i="1"/>
  <c r="AO399" i="1"/>
  <c r="BC414" i="1"/>
  <c r="AO400" i="1"/>
  <c r="IS417" i="1"/>
  <c r="IS398" i="1"/>
  <c r="CF411" i="1"/>
  <c r="IC399" i="1"/>
  <c r="BR399" i="1"/>
  <c r="BQ400" i="1"/>
  <c r="BC408" i="1"/>
  <c r="BD411" i="1"/>
  <c r="IR414" i="1"/>
  <c r="HA415" i="1"/>
  <c r="BC410" i="1"/>
  <c r="IE410" i="1"/>
  <c r="L168" i="1" l="1"/>
  <c r="O72" i="1"/>
  <c r="J232" i="1"/>
  <c r="I264" i="1"/>
  <c r="F360" i="1"/>
  <c r="H296" i="1"/>
  <c r="K200" i="1"/>
  <c r="N104" i="1"/>
  <c r="G328" i="1"/>
  <c r="O136" i="1"/>
  <c r="IC422" i="1"/>
  <c r="BE410" i="1"/>
  <c r="HB422" i="1"/>
  <c r="L200" i="1" l="1"/>
  <c r="I296" i="1"/>
  <c r="O104" i="1"/>
  <c r="G360" i="1"/>
  <c r="P72" i="1"/>
  <c r="J264" i="1"/>
  <c r="K232" i="1"/>
  <c r="P136" i="1"/>
  <c r="H328" i="1"/>
  <c r="M168" i="1"/>
  <c r="HC395" i="1"/>
  <c r="IE415" i="1"/>
  <c r="ID396" i="1"/>
  <c r="HP415" i="1"/>
  <c r="BD420" i="1"/>
  <c r="HQ409" i="1"/>
  <c r="BS421" i="1"/>
  <c r="HQ408" i="1"/>
  <c r="IR422" i="1"/>
  <c r="HB412" i="1"/>
  <c r="BE403" i="1"/>
  <c r="HP398" i="1"/>
  <c r="IR419" i="1"/>
  <c r="ID397" i="1"/>
  <c r="ID395" i="1"/>
  <c r="N168" i="1" l="1"/>
  <c r="Q72" i="1"/>
  <c r="I328" i="1"/>
  <c r="H360" i="1"/>
  <c r="Q136" i="1"/>
  <c r="P104" i="1"/>
  <c r="L232" i="1"/>
  <c r="J296" i="1"/>
  <c r="K264" i="1"/>
  <c r="M200" i="1"/>
  <c r="BD415" i="1"/>
  <c r="AQ403" i="1"/>
  <c r="IR402" i="1"/>
  <c r="BR402" i="1"/>
  <c r="AP401" i="1"/>
  <c r="HC401" i="1"/>
  <c r="AP417" i="1"/>
  <c r="IC395" i="1"/>
  <c r="AO411" i="1"/>
  <c r="BR412" i="1"/>
  <c r="ID408" i="1"/>
  <c r="BD407" i="1"/>
  <c r="AQ398" i="1"/>
  <c r="IE411" i="1"/>
  <c r="HB408" i="1"/>
  <c r="BE427" i="1"/>
  <c r="BR427" i="1"/>
  <c r="BQ413" i="1"/>
  <c r="HQ414" i="1"/>
  <c r="ID419" i="1"/>
  <c r="IS415" i="1"/>
  <c r="AP407" i="1"/>
  <c r="BS424" i="1"/>
  <c r="BE413" i="1"/>
  <c r="AQ427" i="1"/>
  <c r="CF396" i="1"/>
  <c r="CG399" i="1"/>
  <c r="HB410" i="1"/>
  <c r="CF400" i="1"/>
  <c r="IS402" i="1"/>
  <c r="IR418" i="1"/>
  <c r="BE420" i="1"/>
  <c r="HC394" i="1"/>
  <c r="HB417" i="1"/>
  <c r="BR417" i="1"/>
  <c r="HB399" i="1"/>
  <c r="BC420" i="1"/>
  <c r="HB416" i="1"/>
  <c r="AO419" i="1"/>
  <c r="IC409" i="1"/>
  <c r="HA421" i="1"/>
  <c r="HP404" i="1"/>
  <c r="IS423" i="1"/>
  <c r="HC416" i="1"/>
  <c r="BQ420" i="1"/>
  <c r="BE401" i="1"/>
  <c r="BQ404" i="1"/>
  <c r="IR398" i="1"/>
  <c r="CF408" i="1"/>
  <c r="M232" i="1" l="1"/>
  <c r="Q104" i="1"/>
  <c r="K296" i="1"/>
  <c r="R136" i="1"/>
  <c r="R72" i="1"/>
  <c r="I360" i="1"/>
  <c r="J328" i="1"/>
  <c r="N200" i="1"/>
  <c r="L264" i="1"/>
  <c r="O168" i="1"/>
  <c r="AO403" i="1"/>
  <c r="BR413" i="1"/>
  <c r="IR397" i="1"/>
  <c r="ID416" i="1"/>
  <c r="MR403" i="1"/>
  <c r="IE412" i="1"/>
  <c r="BD418" i="1"/>
  <c r="BD419" i="1"/>
  <c r="BR410" i="1"/>
  <c r="AP395" i="1"/>
  <c r="HB414" i="1"/>
  <c r="ID412" i="1"/>
  <c r="HP399" i="1"/>
  <c r="BD425" i="1"/>
  <c r="BD401" i="1"/>
  <c r="BD395" i="1"/>
  <c r="CH424" i="1"/>
  <c r="BS418" i="1"/>
  <c r="HC421" i="1"/>
  <c r="HO397" i="1"/>
  <c r="IS414" i="1"/>
  <c r="IS427" i="1"/>
  <c r="BD404" i="1"/>
  <c r="IS411" i="1"/>
  <c r="BR406" i="1"/>
  <c r="BR408" i="1"/>
  <c r="AP423" i="1"/>
  <c r="AP416" i="1"/>
  <c r="AQ413" i="1"/>
  <c r="IC418" i="1"/>
  <c r="BR425" i="1"/>
  <c r="IR407" i="1"/>
  <c r="CH414" i="1"/>
  <c r="BS414" i="1"/>
  <c r="CF419" i="1"/>
  <c r="HO426" i="1"/>
  <c r="AQ410" i="1"/>
  <c r="BT415" i="1"/>
  <c r="IC402" i="1"/>
  <c r="HB403" i="1"/>
  <c r="MR410" i="1"/>
  <c r="IR410" i="1"/>
  <c r="AP426" i="1"/>
  <c r="HP427" i="1"/>
  <c r="HP416" i="1"/>
  <c r="HP428" i="1"/>
  <c r="CG413" i="1"/>
  <c r="IR416" i="1"/>
  <c r="HP412" i="1"/>
  <c r="HP401" i="1"/>
  <c r="CF406" i="1"/>
  <c r="AQ414" i="1"/>
  <c r="HB406" i="1"/>
  <c r="BS398" i="1"/>
  <c r="HC420" i="1"/>
  <c r="CH415" i="1"/>
  <c r="HQ399" i="1"/>
  <c r="IR408" i="1"/>
  <c r="AP408" i="1"/>
  <c r="HO415" i="1"/>
  <c r="MR423" i="1"/>
  <c r="IS418" i="1"/>
  <c r="IR426" i="1"/>
  <c r="CF421" i="1"/>
  <c r="ID414" i="1"/>
  <c r="HP422" i="1"/>
  <c r="HP414" i="1"/>
  <c r="HR394" i="1"/>
  <c r="AO414" i="1"/>
  <c r="AP406" i="1"/>
  <c r="ID399" i="1"/>
  <c r="HB428" i="1"/>
  <c r="BS428" i="1"/>
  <c r="HP409" i="1"/>
  <c r="IE428" i="1"/>
  <c r="BR394" i="1"/>
  <c r="ID410" i="1"/>
  <c r="BF427" i="1"/>
  <c r="NF418" i="1"/>
  <c r="HQ419" i="1"/>
  <c r="CF402" i="1"/>
  <c r="CF427" i="1"/>
  <c r="HP425" i="1"/>
  <c r="HC418" i="1"/>
  <c r="HQ400" i="1"/>
  <c r="HB398" i="1"/>
  <c r="CG394" i="1"/>
  <c r="HB426" i="1"/>
  <c r="BD421" i="1"/>
  <c r="HQ410" i="1"/>
  <c r="BS422" i="1"/>
  <c r="HP424" i="1"/>
  <c r="AP398" i="1"/>
  <c r="BD399" i="1"/>
  <c r="IE417" i="1"/>
  <c r="HB395" i="1"/>
  <c r="CF409" i="1"/>
  <c r="HA422" i="1"/>
  <c r="CG424" i="1"/>
  <c r="BE394" i="1"/>
  <c r="HC423" i="1"/>
  <c r="CF424" i="1"/>
  <c r="HA409" i="1"/>
  <c r="IR404" i="1"/>
  <c r="ID423" i="1"/>
  <c r="IR424" i="1"/>
  <c r="HB411" i="1"/>
  <c r="BC403" i="1"/>
  <c r="IS403" i="1"/>
  <c r="P168" i="1" l="1"/>
  <c r="S72" i="1"/>
  <c r="M264" i="1"/>
  <c r="S136" i="1"/>
  <c r="O200" i="1"/>
  <c r="L296" i="1"/>
  <c r="K328" i="1"/>
  <c r="R104" i="1"/>
  <c r="J360" i="1"/>
  <c r="N232" i="1"/>
  <c r="IE427" i="1"/>
  <c r="ID409" i="1"/>
  <c r="HC404" i="1"/>
  <c r="CG398" i="1"/>
  <c r="HC410" i="1"/>
  <c r="IF411" i="1"/>
  <c r="HC413" i="1"/>
  <c r="AQ397" i="1"/>
  <c r="NF413" i="1"/>
  <c r="CF410" i="1"/>
  <c r="NF427" i="1"/>
  <c r="BF404" i="1"/>
  <c r="HQ411" i="1"/>
  <c r="MR395" i="1"/>
  <c r="AR417" i="1"/>
  <c r="AQ423" i="1"/>
  <c r="AQ425" i="1"/>
  <c r="ID420" i="1"/>
  <c r="BR404" i="1"/>
  <c r="HQ402" i="1"/>
  <c r="CG422" i="1"/>
  <c r="IF395" i="1"/>
  <c r="IR395" i="1"/>
  <c r="ID403" i="1"/>
  <c r="IS420" i="1"/>
  <c r="HD416" i="1"/>
  <c r="BE406" i="1"/>
  <c r="MR415" i="1"/>
  <c r="AP427" i="1"/>
  <c r="AP418" i="1"/>
  <c r="HQ396" i="1"/>
  <c r="CG415" i="1"/>
  <c r="IE407" i="1"/>
  <c r="AQ399" i="1"/>
  <c r="JH399" i="1"/>
  <c r="S104" i="1" l="1"/>
  <c r="T136" i="1"/>
  <c r="N264" i="1"/>
  <c r="O232" i="1"/>
  <c r="K360" i="1"/>
  <c r="L328" i="1"/>
  <c r="M296" i="1"/>
  <c r="P200" i="1"/>
  <c r="T72" i="1"/>
  <c r="Q168" i="1"/>
  <c r="AP422" i="1"/>
  <c r="CG403" i="1"/>
  <c r="CF415" i="1"/>
  <c r="BD423" i="1"/>
  <c r="HB421" i="1"/>
  <c r="NG398" i="1"/>
  <c r="IS399" i="1"/>
  <c r="CF395" i="1"/>
  <c r="MR424" i="1"/>
  <c r="MS413" i="1"/>
  <c r="CG412" i="1"/>
  <c r="BD413" i="1"/>
  <c r="BE404" i="1"/>
  <c r="CG400" i="1"/>
  <c r="P232" i="1" l="1"/>
  <c r="Q200" i="1"/>
  <c r="N296" i="1"/>
  <c r="M328" i="1"/>
  <c r="R168" i="1"/>
  <c r="L360" i="1"/>
  <c r="O264" i="1"/>
  <c r="U136" i="1"/>
  <c r="U72" i="1"/>
  <c r="T104" i="1"/>
  <c r="NF421" i="1"/>
  <c r="BS409" i="1"/>
  <c r="BF417" i="1"/>
  <c r="IT412" i="1"/>
  <c r="CF401" i="1"/>
  <c r="BS415" i="1"/>
  <c r="HB400" i="1"/>
  <c r="MS416" i="1"/>
  <c r="NF395" i="1"/>
  <c r="CF404" i="1"/>
  <c r="HC396" i="1"/>
  <c r="NF410" i="1"/>
  <c r="HC402" i="1"/>
  <c r="HP418" i="1"/>
  <c r="ID406" i="1"/>
  <c r="BR418" i="1"/>
  <c r="AQ418" i="1"/>
  <c r="MS425" i="1"/>
  <c r="BS410" i="1"/>
  <c r="BD417" i="1"/>
  <c r="IT398" i="1"/>
  <c r="AP419" i="1"/>
  <c r="HQ428" i="1"/>
  <c r="BD416" i="1"/>
  <c r="CF418" i="1"/>
  <c r="FD419" i="1"/>
  <c r="IE396" i="1"/>
  <c r="BE402" i="1"/>
  <c r="MS414" i="1"/>
  <c r="HD417" i="1"/>
  <c r="CG409" i="1"/>
  <c r="BR426" i="1"/>
  <c r="HQ412" i="1"/>
  <c r="AR401" i="1"/>
  <c r="MS418" i="1"/>
  <c r="BS404" i="1"/>
  <c r="AO415" i="1"/>
  <c r="HP396" i="1"/>
  <c r="MS402" i="1"/>
  <c r="HB404" i="1"/>
  <c r="IR421" i="1"/>
  <c r="BR407" i="1"/>
  <c r="HB415" i="1"/>
  <c r="AP420" i="1"/>
  <c r="AQ416" i="1"/>
  <c r="BR423" i="1"/>
  <c r="CG428" i="1"/>
  <c r="IR417" i="1"/>
  <c r="BE423" i="1"/>
  <c r="CF414" i="1"/>
  <c r="MR398" i="1"/>
  <c r="JH403" i="1"/>
  <c r="CF420" i="1"/>
  <c r="BR398" i="1"/>
  <c r="NG416" i="1"/>
  <c r="IE421" i="1"/>
  <c r="CH394" i="1"/>
  <c r="HC407" i="1"/>
  <c r="MS404" i="1"/>
  <c r="CF426" i="1"/>
  <c r="AP414" i="1"/>
  <c r="BD400" i="1"/>
  <c r="NG421" i="1"/>
  <c r="CF423" i="1"/>
  <c r="HB409" i="1"/>
  <c r="IE422" i="1"/>
  <c r="BS396" i="1"/>
  <c r="BS419" i="1"/>
  <c r="NF397" i="1"/>
  <c r="CG407" i="1"/>
  <c r="CG417" i="1"/>
  <c r="HB418" i="1"/>
  <c r="BS397" i="1"/>
  <c r="CH417" i="1"/>
  <c r="BS413" i="1"/>
  <c r="IE397" i="1"/>
  <c r="HP400" i="1"/>
  <c r="CF394" i="1"/>
  <c r="BS394" i="1"/>
  <c r="CV397" i="1"/>
  <c r="BR428" i="1"/>
  <c r="HQ398" i="1"/>
  <c r="V136" i="1" l="1"/>
  <c r="P264" i="1"/>
  <c r="M360" i="1"/>
  <c r="S168" i="1"/>
  <c r="U104" i="1"/>
  <c r="N328" i="1"/>
  <c r="O296" i="1"/>
  <c r="R200" i="1"/>
  <c r="V72" i="1"/>
  <c r="Q232" i="1"/>
  <c r="CV403" i="1"/>
  <c r="BS412" i="1"/>
  <c r="BR401" i="1"/>
  <c r="CG421" i="1"/>
  <c r="HP394" i="1"/>
  <c r="NF428" i="1"/>
  <c r="CV425" i="1"/>
  <c r="HC397" i="1"/>
  <c r="NG403" i="1"/>
  <c r="BT426" i="1"/>
  <c r="BT416" i="1"/>
  <c r="BR414" i="1"/>
  <c r="IE419" i="1"/>
  <c r="ID401" i="1"/>
  <c r="MR421" i="1"/>
  <c r="BE397" i="1"/>
  <c r="CG419" i="1"/>
  <c r="NG410" i="1"/>
  <c r="IF406" i="1"/>
  <c r="HR408" i="1"/>
  <c r="BD414" i="1"/>
  <c r="IF424" i="1"/>
  <c r="HR422" i="1"/>
  <c r="IS426" i="1"/>
  <c r="HD414" i="1"/>
  <c r="NG425" i="1"/>
  <c r="BF424" i="1"/>
  <c r="BD398" i="1"/>
  <c r="IT395" i="1"/>
  <c r="IF420" i="1"/>
  <c r="AP421" i="1"/>
  <c r="BS399" i="1"/>
  <c r="N360" i="1" l="1"/>
  <c r="Q264" i="1"/>
  <c r="W136" i="1"/>
  <c r="S200" i="1"/>
  <c r="T168" i="1"/>
  <c r="R232" i="1"/>
  <c r="W72" i="1"/>
  <c r="P296" i="1"/>
  <c r="O328" i="1"/>
  <c r="V104" i="1"/>
  <c r="CG404" i="1"/>
  <c r="IR412" i="1"/>
  <c r="BE418" i="1"/>
  <c r="HQ427" i="1"/>
  <c r="BT424" i="1"/>
  <c r="HD403" i="1"/>
  <c r="MR418" i="1"/>
  <c r="HD426" i="1"/>
  <c r="JH407" i="1"/>
  <c r="AQ408" i="1"/>
  <c r="HQ394" i="1"/>
  <c r="IF394" i="1"/>
  <c r="IR413" i="1"/>
  <c r="HP420" i="1"/>
  <c r="CF416" i="1"/>
  <c r="HQ397" i="1"/>
  <c r="CF425" i="1"/>
  <c r="NF406" i="1"/>
  <c r="AQ401" i="1"/>
  <c r="HP426" i="1"/>
  <c r="HP408" i="1"/>
  <c r="BR420" i="1"/>
  <c r="MR400" i="1"/>
  <c r="AR412" i="1"/>
  <c r="HQ417" i="1"/>
  <c r="BS427" i="1"/>
  <c r="AP412" i="1"/>
  <c r="HR418" i="1"/>
  <c r="AQ407" i="1"/>
  <c r="CV408" i="1"/>
  <c r="MS417" i="1"/>
  <c r="CF399" i="1"/>
  <c r="AQ406" i="1"/>
  <c r="NF425" i="1"/>
  <c r="BS425" i="1"/>
  <c r="BE400" i="1"/>
  <c r="BR422" i="1"/>
  <c r="KN412" i="1"/>
  <c r="NG428" i="1"/>
  <c r="HD408" i="1"/>
  <c r="IE403" i="1"/>
  <c r="IT428" i="1"/>
  <c r="IS421" i="1"/>
  <c r="NG414" i="1"/>
  <c r="MS395" i="1"/>
  <c r="NF422" i="1"/>
  <c r="NF404" i="1"/>
  <c r="BD412" i="1"/>
  <c r="BE395" i="1"/>
  <c r="X136" i="1" l="1"/>
  <c r="R264" i="1"/>
  <c r="P328" i="1"/>
  <c r="O360" i="1"/>
  <c r="Q296" i="1"/>
  <c r="T200" i="1"/>
  <c r="W104" i="1"/>
  <c r="X72" i="1"/>
  <c r="S232" i="1"/>
  <c r="U168" i="1"/>
  <c r="HQ422" i="1"/>
  <c r="NF415" i="1"/>
  <c r="HC422" i="1"/>
  <c r="MS403" i="1"/>
  <c r="HC412" i="1"/>
  <c r="BF395" i="1"/>
  <c r="IS401" i="1"/>
  <c r="JI413" i="1"/>
  <c r="BT396" i="1"/>
  <c r="HC400" i="1"/>
  <c r="NF403" i="1"/>
  <c r="IE394" i="1"/>
  <c r="CG427" i="1"/>
  <c r="BE428" i="1"/>
  <c r="CG402" i="1"/>
  <c r="NG424" i="1"/>
  <c r="IE420" i="1"/>
  <c r="CH425" i="1"/>
  <c r="CG418" i="1"/>
  <c r="BS407" i="1"/>
  <c r="AP410" i="1"/>
  <c r="HQ426" i="1"/>
  <c r="MS423" i="1"/>
  <c r="JH406" i="1"/>
  <c r="NG406" i="1"/>
  <c r="AP403" i="1"/>
  <c r="BS416" i="1"/>
  <c r="IS406" i="1"/>
  <c r="NF423" i="1"/>
  <c r="NF419" i="1"/>
  <c r="ID417" i="1"/>
  <c r="NG394" i="1"/>
  <c r="Q328" i="1" l="1"/>
  <c r="S264" i="1"/>
  <c r="T232" i="1"/>
  <c r="Y136" i="1"/>
  <c r="Y72" i="1"/>
  <c r="P360" i="1"/>
  <c r="V168" i="1"/>
  <c r="X104" i="1"/>
  <c r="U200" i="1"/>
  <c r="R296" i="1"/>
  <c r="HQ425" i="1"/>
  <c r="NF396" i="1"/>
  <c r="BD406" i="1"/>
  <c r="NF412" i="1"/>
  <c r="AP425" i="1"/>
  <c r="CV422" i="1"/>
  <c r="BT417" i="1"/>
  <c r="MR417" i="1"/>
  <c r="HB396" i="1"/>
  <c r="MS427" i="1"/>
  <c r="HC398" i="1"/>
  <c r="NG427" i="1"/>
  <c r="AQ424" i="1"/>
  <c r="BS395" i="1"/>
  <c r="S296" i="1" l="1"/>
  <c r="T264" i="1"/>
  <c r="V200" i="1"/>
  <c r="R328" i="1"/>
  <c r="Y104" i="1"/>
  <c r="Z136" i="1"/>
  <c r="U232" i="1"/>
  <c r="W168" i="1"/>
  <c r="Q360" i="1"/>
  <c r="Z72" i="1"/>
  <c r="AQ409" i="1"/>
  <c r="IS409" i="1"/>
  <c r="W200" i="1" l="1"/>
  <c r="U264" i="1"/>
  <c r="R360" i="1"/>
  <c r="T296" i="1"/>
  <c r="X168" i="1"/>
  <c r="S328" i="1"/>
  <c r="AA72" i="1"/>
  <c r="V232" i="1"/>
  <c r="AA136" i="1"/>
  <c r="Z104" i="1"/>
  <c r="MS394" i="1"/>
  <c r="ID411" i="1"/>
  <c r="U296" i="1" l="1"/>
  <c r="AA104" i="1"/>
  <c r="V264" i="1"/>
  <c r="AB136" i="1"/>
  <c r="X200" i="1"/>
  <c r="W232" i="1"/>
  <c r="S360" i="1"/>
  <c r="AB72" i="1"/>
  <c r="T328" i="1"/>
  <c r="Y168" i="1"/>
  <c r="ID428" i="1"/>
  <c r="HQ418" i="1"/>
  <c r="HD404" i="1"/>
  <c r="BE414" i="1"/>
  <c r="BR411" i="1"/>
  <c r="HC417" i="1"/>
  <c r="HR412" i="1"/>
  <c r="IT404" i="1"/>
  <c r="BS411" i="1"/>
  <c r="AQ419" i="1"/>
  <c r="IT417" i="1"/>
  <c r="HR401" i="1"/>
  <c r="IS424" i="1"/>
  <c r="AC136" i="1" l="1"/>
  <c r="Z168" i="1"/>
  <c r="AB104" i="1"/>
  <c r="V296" i="1"/>
  <c r="AC72" i="1"/>
  <c r="W264" i="1"/>
  <c r="U328" i="1"/>
  <c r="T360" i="1"/>
  <c r="X232" i="1"/>
  <c r="Y200" i="1"/>
  <c r="CG410" i="1"/>
  <c r="MR426" i="1"/>
  <c r="BF411" i="1"/>
  <c r="BE426" i="1"/>
  <c r="CV423" i="1"/>
  <c r="CG426" i="1"/>
  <c r="AP413" i="1"/>
  <c r="NG404" i="1"/>
  <c r="HC403" i="1"/>
  <c r="BD428" i="1"/>
  <c r="IT415" i="1"/>
  <c r="IE399" i="1"/>
  <c r="CH423" i="1"/>
  <c r="JH409" i="1"/>
  <c r="CI413" i="1"/>
  <c r="BT403" i="1"/>
  <c r="Z200" i="1" l="1"/>
  <c r="Y232" i="1"/>
  <c r="AD136" i="1"/>
  <c r="U360" i="1"/>
  <c r="W296" i="1"/>
  <c r="AC104" i="1"/>
  <c r="AA168" i="1"/>
  <c r="V328" i="1"/>
  <c r="X264" i="1"/>
  <c r="AD72" i="1"/>
  <c r="CH422" i="1"/>
  <c r="JZ406" i="1"/>
  <c r="IT419" i="1"/>
  <c r="IT400" i="1"/>
  <c r="NF401" i="1"/>
  <c r="IU402" i="1"/>
  <c r="ID407" i="1"/>
  <c r="IG421" i="1"/>
  <c r="BT428" i="1"/>
  <c r="JH410" i="1"/>
  <c r="MR422" i="1"/>
  <c r="IS408" i="1"/>
  <c r="IF415" i="1"/>
  <c r="AR406" i="1"/>
  <c r="HC415" i="1"/>
  <c r="FD413" i="1"/>
  <c r="HR410" i="1"/>
  <c r="HB401" i="1"/>
  <c r="IF427" i="1"/>
  <c r="IR394" i="1"/>
  <c r="BT395" i="1"/>
  <c r="BD396" i="1"/>
  <c r="FD422" i="1"/>
  <c r="MR406" i="1"/>
  <c r="NG400" i="1"/>
  <c r="CG397" i="1"/>
  <c r="BD403" i="1"/>
  <c r="BF399" i="1"/>
  <c r="IS412" i="1"/>
  <c r="CV424" i="1"/>
  <c r="IF414" i="1"/>
  <c r="AP400" i="1"/>
  <c r="BT425" i="1"/>
  <c r="HC406" i="1"/>
  <c r="NG418" i="1"/>
  <c r="IR415" i="1"/>
  <c r="JX419" i="1"/>
  <c r="AP409" i="1"/>
  <c r="AQ421" i="1"/>
  <c r="AR420" i="1"/>
  <c r="AQ422" i="1"/>
  <c r="JZ408" i="1"/>
  <c r="AQ411" i="1"/>
  <c r="NF407" i="1"/>
  <c r="HD396" i="1"/>
  <c r="AR400" i="1"/>
  <c r="V360" i="1" l="1"/>
  <c r="AE72" i="1"/>
  <c r="Z232" i="1"/>
  <c r="Y264" i="1"/>
  <c r="AA200" i="1"/>
  <c r="W328" i="1"/>
  <c r="AE136" i="1"/>
  <c r="AB168" i="1"/>
  <c r="AD104" i="1"/>
  <c r="X296" i="1"/>
  <c r="IT407" i="1"/>
  <c r="BE412" i="1"/>
  <c r="LP415" i="1"/>
  <c r="AR413" i="1"/>
  <c r="AR422" i="1"/>
  <c r="IE398" i="1"/>
  <c r="AR428" i="1"/>
  <c r="CH420" i="1"/>
  <c r="JZ396" i="1"/>
  <c r="IS413" i="1"/>
  <c r="BE415" i="1"/>
  <c r="ID413" i="1"/>
  <c r="BE419" i="1"/>
  <c r="IR401" i="1"/>
  <c r="HQ424" i="1"/>
  <c r="HP411" i="1"/>
  <c r="BE417" i="1"/>
  <c r="BD426" i="1"/>
  <c r="HQ406" i="1"/>
  <c r="NF420" i="1"/>
  <c r="NG402" i="1"/>
  <c r="IT414" i="1"/>
  <c r="HD409" i="1"/>
  <c r="MS411" i="1"/>
  <c r="DN394" i="1"/>
  <c r="BF409" i="1"/>
  <c r="AS398" i="1"/>
  <c r="BR419" i="1"/>
  <c r="MR407" i="1"/>
  <c r="BS406" i="1"/>
  <c r="IS422" i="1"/>
  <c r="IS419" i="1"/>
  <c r="IE426" i="1"/>
  <c r="LP414" i="1"/>
  <c r="AR410" i="1"/>
  <c r="BR416" i="1"/>
  <c r="CF398" i="1"/>
  <c r="NG396" i="1"/>
  <c r="CV421" i="1"/>
  <c r="JH422" i="1"/>
  <c r="HC411" i="1"/>
  <c r="NG409" i="1"/>
  <c r="CH419" i="1"/>
  <c r="AQ412" i="1"/>
  <c r="NG415" i="1"/>
  <c r="MR402" i="1"/>
  <c r="HB413" i="1"/>
  <c r="IT396" i="1"/>
  <c r="BR397" i="1"/>
  <c r="CG396" i="1"/>
  <c r="HD422" i="1"/>
  <c r="AQ417" i="1"/>
  <c r="CV398" i="1"/>
  <c r="CV419" i="1"/>
  <c r="LP395" i="1"/>
  <c r="NF400" i="1"/>
  <c r="AP396" i="1"/>
  <c r="IE425" i="1"/>
  <c r="BF407" i="1"/>
  <c r="CV412" i="1"/>
  <c r="HS419" i="1"/>
  <c r="IG413" i="1"/>
  <c r="IE409" i="1"/>
  <c r="HQ413" i="1"/>
  <c r="AR419" i="1"/>
  <c r="Z264" i="1" l="1"/>
  <c r="Y296" i="1"/>
  <c r="AE104" i="1"/>
  <c r="W360" i="1"/>
  <c r="AC168" i="1"/>
  <c r="AA232" i="1"/>
  <c r="AF72" i="1"/>
  <c r="AF136" i="1"/>
  <c r="X328" i="1"/>
  <c r="AB200" i="1"/>
  <c r="BF403" i="1"/>
  <c r="BF413" i="1"/>
  <c r="HC426" i="1"/>
  <c r="IE395" i="1"/>
  <c r="IS425" i="1"/>
  <c r="MR425" i="1"/>
  <c r="JI398" i="1"/>
  <c r="BE416" i="1"/>
  <c r="MR427" i="1"/>
  <c r="HR406" i="1"/>
  <c r="IE408" i="1"/>
  <c r="BT397" i="1"/>
  <c r="MS399" i="1"/>
  <c r="MS397" i="1"/>
  <c r="AR396" i="1"/>
  <c r="BE411" i="1"/>
  <c r="IF421" i="1"/>
  <c r="HP402" i="1"/>
  <c r="HQ423" i="1"/>
  <c r="CG420" i="1"/>
  <c r="MS408" i="1"/>
  <c r="ID418" i="1"/>
  <c r="HB419" i="1"/>
  <c r="MR397" i="1"/>
  <c r="IT411" i="1"/>
  <c r="AR399" i="1"/>
  <c r="HS406" i="1"/>
  <c r="AP404" i="1"/>
  <c r="HR404" i="1"/>
  <c r="IR423" i="1"/>
  <c r="IT399" i="1"/>
  <c r="IF396" i="1"/>
  <c r="IF402" i="1"/>
  <c r="BD410" i="1"/>
  <c r="DN417" i="1"/>
  <c r="JZ394" i="1"/>
  <c r="FD411" i="1"/>
  <c r="HD428" i="1"/>
  <c r="AP415" i="1"/>
  <c r="HR420" i="1"/>
  <c r="IS416" i="1"/>
  <c r="CV420" i="1"/>
  <c r="HR399" i="1"/>
  <c r="MS421" i="1"/>
  <c r="MR412" i="1"/>
  <c r="BS408" i="1"/>
  <c r="HC428" i="1"/>
  <c r="HC408" i="1"/>
  <c r="MS396" i="1"/>
  <c r="AQ396" i="1"/>
  <c r="MS419" i="1"/>
  <c r="CV411" i="1"/>
  <c r="IF408" i="1"/>
  <c r="CV401" i="1"/>
  <c r="HB420" i="1"/>
  <c r="HR416" i="1"/>
  <c r="CV410" i="1"/>
  <c r="NG420" i="1"/>
  <c r="BT394" i="1"/>
  <c r="NF408" i="1"/>
  <c r="JH417" i="1"/>
  <c r="CG416" i="1"/>
  <c r="AQ426" i="1"/>
  <c r="JH426" i="1"/>
  <c r="HC427" i="1"/>
  <c r="IR420" i="1"/>
  <c r="NF394" i="1"/>
  <c r="CF412" i="1"/>
  <c r="CV418" i="1"/>
  <c r="DN426" i="1"/>
  <c r="BD424" i="1"/>
  <c r="JZ409" i="1"/>
  <c r="IT421" i="1"/>
  <c r="HQ420" i="1"/>
  <c r="AR411" i="1"/>
  <c r="IR399" i="1"/>
  <c r="BT404" i="1"/>
  <c r="MS406" i="1"/>
  <c r="BT407" i="1"/>
  <c r="CV407" i="1"/>
  <c r="JH418" i="1"/>
  <c r="HR424" i="1"/>
  <c r="MS415" i="1"/>
  <c r="NF398" i="1"/>
  <c r="HP395" i="1"/>
  <c r="HD411" i="1"/>
  <c r="BR403" i="1"/>
  <c r="HQ404" i="1"/>
  <c r="MR401" i="1"/>
  <c r="MS398" i="1"/>
  <c r="NF426" i="1"/>
  <c r="JH414" i="1"/>
  <c r="IE424" i="1"/>
  <c r="HR400" i="1"/>
  <c r="CV409" i="1"/>
  <c r="EB425" i="1"/>
  <c r="HR413" i="1"/>
  <c r="IS410" i="1"/>
  <c r="IR425" i="1"/>
  <c r="BT401" i="1"/>
  <c r="IS404" i="1"/>
  <c r="MS400" i="1"/>
  <c r="BS403" i="1"/>
  <c r="IT416" i="1"/>
  <c r="AR404" i="1"/>
  <c r="BF412" i="1"/>
  <c r="CV417" i="1"/>
  <c r="NF416" i="1"/>
  <c r="NG413" i="1"/>
  <c r="JH394" i="1"/>
  <c r="AF104" i="1" l="1"/>
  <c r="Z296" i="1"/>
  <c r="Y328" i="1"/>
  <c r="AA264" i="1"/>
  <c r="AG136" i="1"/>
  <c r="X360" i="1"/>
  <c r="AC200" i="1"/>
  <c r="AG72" i="1"/>
  <c r="AB232" i="1"/>
  <c r="AD168" i="1"/>
  <c r="AP428" i="1"/>
  <c r="IT403" i="1"/>
  <c r="HP410" i="1"/>
  <c r="Z328" i="1" l="1"/>
  <c r="AA296" i="1"/>
  <c r="AC232" i="1"/>
  <c r="AB264" i="1"/>
  <c r="AE168" i="1"/>
  <c r="AD200" i="1"/>
  <c r="Y360" i="1"/>
  <c r="HP403" i="1"/>
  <c r="AD232" i="1" l="1"/>
  <c r="AB296" i="1"/>
  <c r="AC264" i="1"/>
  <c r="AA328" i="1"/>
  <c r="Z360" i="1"/>
  <c r="AE200" i="1"/>
  <c r="AF168" i="1"/>
  <c r="IE416" i="1"/>
  <c r="HC399" i="1"/>
  <c r="HC419" i="1"/>
  <c r="IF397" i="1"/>
  <c r="CH410" i="1"/>
  <c r="NF402" i="1"/>
  <c r="IT413" i="1"/>
  <c r="LP402" i="1"/>
  <c r="IS396" i="1"/>
  <c r="NG417" i="1"/>
  <c r="MR420" i="1"/>
  <c r="IR427" i="1"/>
  <c r="CF413" i="1"/>
  <c r="CV427" i="1"/>
  <c r="HC425" i="1"/>
  <c r="NG397" i="1"/>
  <c r="HQ395" i="1"/>
  <c r="MS410" i="1"/>
  <c r="HR425" i="1"/>
  <c r="CV415" i="1"/>
  <c r="HD407" i="1"/>
  <c r="IR400" i="1"/>
  <c r="IS394" i="1"/>
  <c r="CG423" i="1"/>
  <c r="JX411" i="1"/>
  <c r="EB413" i="1"/>
  <c r="BT411" i="1"/>
  <c r="HP413" i="1"/>
  <c r="MR414" i="1"/>
  <c r="NG426" i="1"/>
  <c r="NG407" i="1"/>
  <c r="ID394" i="1"/>
  <c r="JH401" i="1"/>
  <c r="BE424" i="1"/>
  <c r="BF396" i="1"/>
  <c r="BT409" i="1"/>
  <c r="HD425" i="1"/>
  <c r="HR423" i="1"/>
  <c r="ID404" i="1"/>
  <c r="IG425" i="1"/>
  <c r="BF415" i="1"/>
  <c r="HD406" i="1"/>
  <c r="MS412" i="1"/>
  <c r="CH398" i="1"/>
  <c r="BF408" i="1"/>
  <c r="IT394" i="1"/>
  <c r="JI400" i="1"/>
  <c r="HQ415" i="1"/>
  <c r="CH427" i="1"/>
  <c r="AP424" i="1"/>
  <c r="JH411" i="1"/>
  <c r="JX403" i="1"/>
  <c r="CH402" i="1"/>
  <c r="NG408" i="1"/>
  <c r="CF422" i="1"/>
  <c r="HR415" i="1"/>
  <c r="HQ403" i="1"/>
  <c r="HQ416" i="1"/>
  <c r="JH415" i="1"/>
  <c r="HR403" i="1"/>
  <c r="LP428" i="1"/>
  <c r="JZ403" i="1"/>
  <c r="CH428" i="1"/>
  <c r="BS400" i="1"/>
  <c r="AB328" i="1" l="1"/>
  <c r="AC296" i="1"/>
  <c r="AE232" i="1"/>
  <c r="AD264" i="1"/>
  <c r="AF200" i="1"/>
  <c r="AA360" i="1"/>
  <c r="AF232" i="1" l="1"/>
  <c r="AD296" i="1"/>
  <c r="AG200" i="1"/>
  <c r="AC328" i="1"/>
  <c r="AB360" i="1"/>
  <c r="AE264" i="1"/>
  <c r="AQ404" i="1"/>
  <c r="CI410" i="1"/>
  <c r="AR409" i="1"/>
  <c r="CG401" i="1"/>
  <c r="BE407" i="1"/>
  <c r="AQ420" i="1"/>
  <c r="CH412" i="1"/>
  <c r="IF416" i="1"/>
  <c r="DN419" i="1"/>
  <c r="BF418" i="1"/>
  <c r="HQ401" i="1"/>
  <c r="HD413" i="1"/>
  <c r="CG425" i="1"/>
  <c r="IE406" i="1"/>
  <c r="BS423" i="1"/>
  <c r="CH411" i="1"/>
  <c r="MS428" i="1"/>
  <c r="JH423" i="1"/>
  <c r="AR398" i="1"/>
  <c r="JZ424" i="1"/>
  <c r="IF412" i="1"/>
  <c r="KN411" i="1"/>
  <c r="MS420" i="1"/>
  <c r="HR398" i="1"/>
  <c r="AS394" i="1"/>
  <c r="HT414" i="1"/>
  <c r="CY406" i="1"/>
  <c r="EB406" i="1"/>
  <c r="IF409" i="1"/>
  <c r="AR394" i="1"/>
  <c r="LQ424" i="1"/>
  <c r="JH413" i="1"/>
  <c r="MS407" i="1"/>
  <c r="NF414" i="1"/>
  <c r="NG422" i="1"/>
  <c r="CH404" i="1"/>
  <c r="NF424" i="1"/>
  <c r="IE401" i="1"/>
  <c r="IE413" i="1"/>
  <c r="CF403" i="1"/>
  <c r="DN396" i="1"/>
  <c r="MR399" i="1"/>
  <c r="NG411" i="1"/>
  <c r="BE398" i="1"/>
  <c r="NF417" i="1"/>
  <c r="IF401" i="1"/>
  <c r="AR424" i="1"/>
  <c r="HH425" i="1"/>
  <c r="ME422" i="1"/>
  <c r="BT419" i="1"/>
  <c r="HD410" i="1"/>
  <c r="DN402" i="1"/>
  <c r="AW421" i="1"/>
  <c r="IH394" i="1"/>
  <c r="IU419" i="1"/>
  <c r="BF401" i="1"/>
  <c r="IY414" i="1"/>
  <c r="BT414" i="1"/>
  <c r="AQ415" i="1"/>
  <c r="MD403" i="1"/>
  <c r="IT425" i="1"/>
  <c r="HD398" i="1"/>
  <c r="BE421" i="1"/>
  <c r="IF426" i="1"/>
  <c r="BT427" i="1"/>
  <c r="BT420" i="1"/>
  <c r="LP417" i="1"/>
  <c r="LP423" i="1"/>
  <c r="MS401" i="1"/>
  <c r="HD399" i="1"/>
  <c r="AR407" i="1"/>
  <c r="HC409" i="1"/>
  <c r="JH395" i="1"/>
  <c r="HB423" i="1"/>
  <c r="FD426" i="1"/>
  <c r="CH407" i="1"/>
  <c r="DM395" i="1"/>
  <c r="LP407" i="1"/>
  <c r="IJ426" i="1"/>
  <c r="MD400" i="1"/>
  <c r="BU419" i="1"/>
  <c r="BW426" i="1"/>
  <c r="BS426" i="1"/>
  <c r="MS424" i="1"/>
  <c r="AP402" i="1"/>
  <c r="IE404" i="1"/>
  <c r="IE418" i="1"/>
  <c r="HB425" i="1"/>
  <c r="AR402" i="1"/>
  <c r="MR394" i="1"/>
  <c r="JZ397" i="1"/>
  <c r="AQ402" i="1"/>
  <c r="NG423" i="1"/>
  <c r="IF423" i="1"/>
  <c r="DA414" i="1"/>
  <c r="MS409" i="1"/>
  <c r="IT420" i="1"/>
  <c r="JH398" i="1"/>
  <c r="FS407" i="1"/>
  <c r="NF399" i="1"/>
  <c r="CV399" i="1"/>
  <c r="JH404" i="1"/>
  <c r="IF417" i="1"/>
  <c r="HD400" i="1"/>
  <c r="IF413" i="1"/>
  <c r="AV410" i="1"/>
  <c r="GU412" i="1"/>
  <c r="MR404" i="1"/>
  <c r="BF397" i="1"/>
  <c r="IF428" i="1"/>
  <c r="AR416" i="1"/>
  <c r="HD420" i="1"/>
  <c r="CF407" i="1"/>
  <c r="IS397" i="1"/>
  <c r="CW398" i="1"/>
  <c r="IW394" i="1"/>
  <c r="HQ421" i="1"/>
  <c r="DL413" i="1"/>
  <c r="CG408" i="1"/>
  <c r="HD418" i="1"/>
  <c r="AW413" i="1"/>
  <c r="CG395" i="1"/>
  <c r="BE422" i="1"/>
  <c r="HB424" i="1"/>
  <c r="JH402" i="1"/>
  <c r="AQ400" i="1"/>
  <c r="IT418" i="1"/>
  <c r="AR421" i="1"/>
  <c r="EB397" i="1"/>
  <c r="HC414" i="1"/>
  <c r="HD412" i="1"/>
  <c r="FE399" i="1"/>
  <c r="JZ402" i="1"/>
  <c r="GT425" i="1"/>
  <c r="NG399" i="1"/>
  <c r="IE402" i="1"/>
  <c r="HR421" i="1"/>
  <c r="MR409" i="1"/>
  <c r="BR400" i="1"/>
  <c r="IF404" i="1"/>
  <c r="DN411" i="1"/>
  <c r="JX394" i="1"/>
  <c r="BG399" i="1"/>
  <c r="BD402" i="1"/>
  <c r="AP397" i="1"/>
  <c r="CG411" i="1"/>
  <c r="BE409" i="1"/>
  <c r="BE425" i="1"/>
  <c r="JH425" i="1"/>
  <c r="AQ428" i="1"/>
  <c r="HW397" i="1"/>
  <c r="CV394" i="1"/>
  <c r="CH399" i="1"/>
  <c r="AR427" i="1"/>
  <c r="BS417" i="1"/>
  <c r="KO398" i="1"/>
  <c r="BS401" i="1"/>
  <c r="DL400" i="1"/>
  <c r="HR427" i="1"/>
  <c r="KA425" i="1"/>
  <c r="IE414" i="1"/>
  <c r="IE400" i="1"/>
  <c r="AQ394" i="1"/>
  <c r="EP395" i="1"/>
  <c r="EB411" i="1"/>
  <c r="CF417" i="1"/>
  <c r="HD424" i="1"/>
  <c r="IS395" i="1"/>
  <c r="CG414" i="1"/>
  <c r="BS402" i="1"/>
  <c r="FD425" i="1"/>
  <c r="HD402" i="1"/>
  <c r="IS428" i="1"/>
  <c r="BD427" i="1"/>
  <c r="JH397" i="1"/>
  <c r="KN400" i="1"/>
  <c r="BT423" i="1"/>
  <c r="IS407" i="1"/>
  <c r="MR411" i="1"/>
  <c r="MS422" i="1"/>
  <c r="AS417" i="1"/>
  <c r="AP411" i="1"/>
  <c r="EB421" i="1"/>
  <c r="NG412" i="1"/>
  <c r="EC403" i="1"/>
  <c r="FD408" i="1"/>
  <c r="IR403" i="1"/>
  <c r="HC424" i="1"/>
  <c r="KN421" i="1"/>
  <c r="DN397" i="1"/>
  <c r="AQ395" i="1"/>
  <c r="HT410" i="1"/>
  <c r="BD408" i="1"/>
  <c r="FD401" i="1"/>
  <c r="MR419" i="1"/>
  <c r="MR428" i="1"/>
  <c r="AV413" i="1"/>
  <c r="JH427" i="1"/>
  <c r="HS407" i="1"/>
  <c r="CJ398" i="1"/>
  <c r="AR418" i="1"/>
  <c r="MR408" i="1"/>
  <c r="DN407" i="1"/>
  <c r="BR395" i="1"/>
  <c r="JH408" i="1"/>
  <c r="HI407" i="1"/>
  <c r="NF411" i="1"/>
  <c r="NF409" i="1"/>
  <c r="HP407" i="1"/>
  <c r="MR413" i="1"/>
  <c r="NG395" i="1"/>
  <c r="HQ407" i="1"/>
  <c r="NG419" i="1"/>
  <c r="CI415" i="1"/>
  <c r="HR414" i="1"/>
  <c r="MR416" i="1"/>
  <c r="IR428" i="1"/>
  <c r="HD394" i="1"/>
  <c r="IE423" i="1"/>
  <c r="CH400" i="1"/>
  <c r="HD419" i="1"/>
  <c r="CZ421" i="1"/>
  <c r="CV400" i="1"/>
  <c r="CG406" i="1"/>
  <c r="CW415" i="1"/>
  <c r="ID421" i="1"/>
  <c r="MS426" i="1"/>
  <c r="AP394" i="1"/>
  <c r="IJ411" i="1"/>
  <c r="HB427" i="1"/>
  <c r="EB401" i="1"/>
  <c r="BF414" i="1"/>
  <c r="CH418" i="1"/>
  <c r="FD428" i="1"/>
  <c r="NG401" i="1"/>
  <c r="IF425" i="1"/>
  <c r="HI406" i="1"/>
  <c r="BR424" i="1"/>
  <c r="AW403" i="1"/>
  <c r="AF264" i="1" l="1"/>
  <c r="AC360" i="1"/>
  <c r="AD328" i="1"/>
  <c r="AE296" i="1"/>
  <c r="AG232" i="1"/>
  <c r="IW421" i="1"/>
  <c r="IG400" i="1"/>
  <c r="DL406" i="1"/>
  <c r="CK411" i="1"/>
  <c r="LB409" i="1"/>
  <c r="JK402" i="1"/>
  <c r="JL426" i="1"/>
  <c r="DL411" i="1"/>
  <c r="HD421" i="1"/>
  <c r="LP400" i="1"/>
  <c r="IG423" i="1"/>
  <c r="IR409" i="1"/>
  <c r="HF420" i="1"/>
  <c r="KO414" i="1"/>
  <c r="ME416" i="1"/>
  <c r="BT422" i="1"/>
  <c r="DO421" i="1"/>
  <c r="BU416" i="1"/>
  <c r="HE415" i="1"/>
  <c r="HS412" i="1"/>
  <c r="IU401" i="1"/>
  <c r="GG395" i="1"/>
  <c r="EP426" i="1"/>
  <c r="IR406" i="1"/>
  <c r="DN399" i="1"/>
  <c r="LB417" i="1"/>
  <c r="LP398" i="1"/>
  <c r="HE402" i="1"/>
  <c r="MD398" i="1"/>
  <c r="HR396" i="1"/>
  <c r="MR396" i="1"/>
  <c r="BJ398" i="1"/>
  <c r="AU421" i="1"/>
  <c r="HF408" i="1"/>
  <c r="GF399" i="1"/>
  <c r="BJ400" i="1"/>
  <c r="LC425" i="1"/>
  <c r="IX396" i="1"/>
  <c r="KA409" i="1"/>
  <c r="BE399" i="1"/>
  <c r="IF403" i="1"/>
  <c r="LP403" i="1"/>
  <c r="HT421" i="1"/>
  <c r="HR402" i="1"/>
  <c r="IS400" i="1"/>
  <c r="AS420" i="1"/>
  <c r="BF426" i="1"/>
  <c r="BE396" i="1"/>
  <c r="BF410" i="1"/>
  <c r="AF296" i="1" l="1"/>
  <c r="AE328" i="1"/>
  <c r="AD360" i="1"/>
  <c r="HE417" i="1"/>
  <c r="IV411" i="1"/>
  <c r="HH426" i="1"/>
  <c r="ME407" i="1"/>
  <c r="JJ410" i="1"/>
  <c r="LQ407" i="1"/>
  <c r="JY407" i="1"/>
  <c r="IG399" i="1"/>
  <c r="CJ404" i="1"/>
  <c r="JZ398" i="1"/>
  <c r="IU409" i="1"/>
  <c r="BX412" i="1"/>
  <c r="LQ403" i="1"/>
  <c r="HE425" i="1"/>
  <c r="AS407" i="1"/>
  <c r="EQ415" i="1"/>
  <c r="EP403" i="1"/>
  <c r="JM401" i="1"/>
  <c r="KA395" i="1"/>
  <c r="DO418" i="1"/>
  <c r="II410" i="1"/>
  <c r="EQ420" i="1"/>
  <c r="IF399" i="1"/>
  <c r="KN425" i="1"/>
  <c r="KO426" i="1"/>
  <c r="AS412" i="1"/>
  <c r="IW424" i="1"/>
  <c r="BG407" i="1"/>
  <c r="AU428" i="1"/>
  <c r="IU417" i="1"/>
  <c r="JH420" i="1"/>
  <c r="BY423" i="1"/>
  <c r="JY408" i="1"/>
  <c r="DL426" i="1"/>
  <c r="HS399" i="1"/>
  <c r="HE406" i="1"/>
  <c r="JI410" i="1"/>
  <c r="CM397" i="1"/>
  <c r="HG424" i="1"/>
  <c r="HF418" i="1"/>
  <c r="CX425" i="1"/>
  <c r="HS408" i="1"/>
  <c r="EB417" i="1"/>
  <c r="GU401" i="1"/>
  <c r="EP420" i="1"/>
  <c r="FD403" i="1"/>
  <c r="HE409" i="1"/>
  <c r="IU408" i="1"/>
  <c r="AU416" i="1"/>
  <c r="GT415" i="1"/>
  <c r="JX395" i="1"/>
  <c r="EQ416" i="1"/>
  <c r="BW423" i="1"/>
  <c r="JZ414" i="1"/>
  <c r="CK401" i="1"/>
  <c r="KA408" i="1"/>
  <c r="DO410" i="1"/>
  <c r="EB419" i="1"/>
  <c r="IY394" i="1"/>
  <c r="GT419" i="1"/>
  <c r="DN409" i="1"/>
  <c r="BH407" i="1"/>
  <c r="HI426" i="1"/>
  <c r="JH416" i="1"/>
  <c r="HI408" i="1"/>
  <c r="KO422" i="1"/>
  <c r="DO397" i="1"/>
  <c r="IV406" i="1"/>
  <c r="DN398" i="1"/>
  <c r="MD394" i="1"/>
  <c r="BW415" i="1"/>
  <c r="HW410" i="1"/>
  <c r="HD427" i="1"/>
  <c r="BH406" i="1"/>
  <c r="ME410" i="1"/>
  <c r="AU398" i="1"/>
  <c r="IK423" i="1"/>
  <c r="CK408" i="1"/>
  <c r="BX427" i="1"/>
  <c r="JH412" i="1"/>
  <c r="JZ395" i="1"/>
  <c r="KN426" i="1"/>
  <c r="IY406" i="1"/>
  <c r="CX420" i="1"/>
  <c r="CX401" i="1"/>
  <c r="BH428" i="1"/>
  <c r="LC403" i="1"/>
  <c r="HG421" i="1"/>
  <c r="GU421" i="1"/>
  <c r="JH421" i="1"/>
  <c r="BW410" i="1"/>
  <c r="GT422" i="1"/>
  <c r="DM427" i="1"/>
  <c r="IG422" i="1"/>
  <c r="MD396" i="1"/>
  <c r="MD401" i="1"/>
  <c r="BX399" i="1"/>
  <c r="FS398" i="1"/>
  <c r="AS428" i="1"/>
  <c r="KN395" i="1"/>
  <c r="GG403" i="1"/>
  <c r="GF411" i="1"/>
  <c r="AV425" i="1"/>
  <c r="AF328" i="1" l="1"/>
  <c r="AG296" i="1"/>
  <c r="AE360" i="1"/>
  <c r="CX395" i="1"/>
  <c r="BG395" i="1"/>
  <c r="CZ425" i="1"/>
  <c r="BU422" i="1"/>
  <c r="IG395" i="1"/>
  <c r="JY421" i="1"/>
  <c r="EP410" i="1"/>
  <c r="IX402" i="1"/>
  <c r="AF360" i="1" l="1"/>
  <c r="AT422" i="1"/>
  <c r="BW406" i="1"/>
  <c r="AG360" i="1" l="1"/>
  <c r="BK414" i="1"/>
  <c r="IT408" i="1"/>
  <c r="IX398" i="1"/>
  <c r="CM418" i="1"/>
  <c r="CM402" i="1"/>
  <c r="EP418" i="1"/>
  <c r="FR404" i="1"/>
  <c r="IJ394" i="1"/>
  <c r="HR426" i="1"/>
  <c r="LC400" i="1"/>
  <c r="HF401" i="1"/>
  <c r="BU411" i="1"/>
  <c r="DL423" i="1"/>
  <c r="HI425" i="1"/>
  <c r="CL421" i="1"/>
  <c r="MD412" i="1"/>
  <c r="BK417" i="1"/>
  <c r="HF407" i="1"/>
  <c r="AS418" i="1"/>
  <c r="BG409" i="1"/>
  <c r="DM423" i="1"/>
  <c r="LP396" i="1"/>
  <c r="HD401" i="1"/>
  <c r="KO409" i="1"/>
  <c r="DL407" i="1"/>
  <c r="GF428" i="1"/>
  <c r="JM404" i="1"/>
  <c r="LQ406" i="1"/>
  <c r="CM414" i="1"/>
  <c r="JZ418" i="1"/>
  <c r="EB410" i="1"/>
  <c r="KO419" i="1"/>
  <c r="BW416" i="1"/>
  <c r="AV397" i="1"/>
  <c r="FE398" i="1"/>
  <c r="CK427" i="1"/>
  <c r="JK403" i="1"/>
  <c r="IU399" i="1"/>
  <c r="LB399" i="1"/>
  <c r="LQ395" i="1"/>
  <c r="EB415" i="1"/>
  <c r="HW413" i="1"/>
  <c r="HU398" i="1"/>
  <c r="IH414" i="1"/>
  <c r="BJ408" i="1"/>
  <c r="CI402" i="1"/>
  <c r="CI394" i="1"/>
  <c r="AC395" i="1" l="1"/>
  <c r="AE395" i="1" s="1"/>
  <c r="AC398" i="1"/>
  <c r="AE398" i="1" s="1"/>
  <c r="AC401" i="1"/>
  <c r="AE401" i="1" s="1"/>
  <c r="AC404" i="1"/>
  <c r="AE404" i="1" s="1"/>
  <c r="AC407" i="1"/>
  <c r="AE407" i="1" s="1"/>
  <c r="AC410" i="1"/>
  <c r="AC413" i="1"/>
  <c r="AC416" i="1"/>
  <c r="AC419" i="1"/>
  <c r="AC422" i="1"/>
  <c r="AE422" i="1" s="1"/>
  <c r="AC396" i="1"/>
  <c r="AE396" i="1" s="1"/>
  <c r="AC399" i="1"/>
  <c r="AE399" i="1" s="1"/>
  <c r="AC402" i="1"/>
  <c r="AE402" i="1" s="1"/>
  <c r="AC405" i="1"/>
  <c r="AE405" i="1" s="1"/>
  <c r="AC408" i="1"/>
  <c r="AC411" i="1"/>
  <c r="AE411" i="1" s="1"/>
  <c r="AC414" i="1"/>
  <c r="AC417" i="1"/>
  <c r="AC420" i="1"/>
  <c r="AC423" i="1"/>
  <c r="AE423" i="1" s="1"/>
  <c r="AC426" i="1"/>
  <c r="AE426" i="1" s="1"/>
  <c r="AC424" i="1"/>
  <c r="AE424" i="1" s="1"/>
  <c r="AC425" i="1"/>
  <c r="AE425" i="1" s="1"/>
  <c r="AC397" i="1"/>
  <c r="AE397" i="1" s="1"/>
  <c r="AC400" i="1"/>
  <c r="AE400" i="1" s="1"/>
  <c r="AC403" i="1"/>
  <c r="AE403" i="1" s="1"/>
  <c r="AC406" i="1"/>
  <c r="AE406" i="1" s="1"/>
  <c r="AC409" i="1"/>
  <c r="AC412" i="1"/>
  <c r="AC415" i="1"/>
  <c r="AC418" i="1"/>
  <c r="AC421" i="1"/>
  <c r="AE421" i="1" s="1"/>
  <c r="AC427" i="1"/>
  <c r="AE427" i="1" s="1"/>
  <c r="AC428" i="1"/>
  <c r="AE428" i="1" s="1"/>
  <c r="AG405" i="1"/>
  <c r="AC394" i="1"/>
  <c r="AG394" i="1" s="1"/>
  <c r="AG415" i="1" l="1"/>
  <c r="AE415" i="1"/>
  <c r="AG417" i="1"/>
  <c r="AE417" i="1"/>
  <c r="AG408" i="1"/>
  <c r="AE408" i="1"/>
  <c r="AG419" i="1"/>
  <c r="AE419" i="1"/>
  <c r="AG410" i="1"/>
  <c r="AE410" i="1"/>
  <c r="AG409" i="1"/>
  <c r="AE409" i="1"/>
  <c r="AG420" i="1"/>
  <c r="AE420" i="1"/>
  <c r="AG413" i="1"/>
  <c r="AE413" i="1"/>
  <c r="AG412" i="1"/>
  <c r="AE412" i="1"/>
  <c r="AG414" i="1"/>
  <c r="AE414" i="1"/>
  <c r="AG416" i="1"/>
  <c r="AE416" i="1"/>
  <c r="AG418" i="1"/>
  <c r="AE418" i="1"/>
  <c r="AG407" i="1"/>
  <c r="AG406" i="1"/>
  <c r="AG404" i="1"/>
  <c r="AG403" i="1"/>
  <c r="AG402" i="1"/>
  <c r="AG401" i="1"/>
  <c r="AG400" i="1"/>
  <c r="AG399" i="1"/>
  <c r="AG398" i="1"/>
  <c r="AG397" i="1"/>
  <c r="AG396" i="1"/>
  <c r="AG395" i="1"/>
  <c r="AE394" i="1"/>
  <c r="AC393" i="1"/>
  <c r="IU396" i="1"/>
  <c r="FE424" i="1"/>
  <c r="LB401" i="1"/>
  <c r="BV420" i="1"/>
  <c r="FE418" i="1"/>
  <c r="AS423" i="1"/>
  <c r="EQ403" i="1"/>
  <c r="II421" i="1"/>
  <c r="IJ409" i="1"/>
  <c r="HI404" i="1"/>
  <c r="AT415" i="1"/>
  <c r="JJ404" i="1"/>
  <c r="GT399" i="1"/>
  <c r="IG406" i="1"/>
  <c r="CZ403" i="1"/>
  <c r="IY420" i="1"/>
  <c r="DL419" i="1"/>
  <c r="CK395" i="1"/>
  <c r="CM407" i="1"/>
  <c r="AR426" i="1"/>
  <c r="BI404" i="1"/>
  <c r="BJ402" i="1"/>
  <c r="BG418" i="1"/>
  <c r="DM404" i="1"/>
  <c r="BU400" i="1"/>
  <c r="AU427" i="1"/>
  <c r="CI414" i="1"/>
  <c r="KN414" i="1"/>
  <c r="HU395" i="1"/>
  <c r="AT416" i="1"/>
  <c r="LP416" i="1"/>
  <c r="JI399" i="1"/>
  <c r="FE425" i="1"/>
  <c r="KO395" i="1"/>
  <c r="BG415" i="1"/>
  <c r="KN422" i="1"/>
  <c r="BK398" i="1"/>
  <c r="GG412" i="1"/>
  <c r="AW395" i="1"/>
  <c r="FE413" i="1"/>
  <c r="AS416" i="1"/>
  <c r="HI421" i="1"/>
  <c r="IY397" i="1"/>
  <c r="CW396" i="1"/>
  <c r="GU409" i="1"/>
  <c r="CW403" i="1"/>
  <c r="JJ394" i="1"/>
  <c r="AE393" i="1" l="1"/>
  <c r="JJ416" i="1"/>
  <c r="GU416" i="1"/>
  <c r="EQ411" i="1"/>
  <c r="FR412" i="1"/>
  <c r="FS402" i="1"/>
  <c r="BT400" i="1"/>
  <c r="CZ401" i="1"/>
  <c r="FR397" i="1"/>
  <c r="FS422" i="1"/>
  <c r="MD416" i="1"/>
  <c r="LB403" i="1"/>
  <c r="FR423" i="1"/>
  <c r="IU428" i="1"/>
  <c r="HT404" i="1"/>
  <c r="AV407" i="1"/>
  <c r="HV427" i="1"/>
  <c r="DA412" i="1"/>
  <c r="HG427" i="1"/>
  <c r="DN414" i="1"/>
  <c r="IY399" i="1"/>
  <c r="DM396" i="1"/>
  <c r="CW426" i="1"/>
  <c r="EC408" i="1"/>
  <c r="BV401" i="1"/>
  <c r="GG418" i="1"/>
  <c r="IF400" i="1"/>
  <c r="CW423" i="1"/>
  <c r="JZ412" i="1"/>
  <c r="BY428" i="1"/>
  <c r="DL410" i="1"/>
  <c r="IX404" i="1"/>
  <c r="LC410" i="1"/>
  <c r="AU418" i="1"/>
  <c r="HE411" i="1"/>
  <c r="KA398" i="1"/>
  <c r="FD424" i="1"/>
  <c r="ME421" i="1"/>
  <c r="GU427" i="1"/>
  <c r="BY410" i="1"/>
  <c r="EQ397" i="1"/>
  <c r="JL414" i="1"/>
  <c r="EP394" i="1"/>
  <c r="KA422" i="1"/>
  <c r="BJ407" i="1"/>
  <c r="BI409" i="1"/>
  <c r="IJ407" i="1"/>
  <c r="JK406" i="1"/>
  <c r="IJ395" i="1"/>
  <c r="IW397" i="1"/>
  <c r="HT400" i="1"/>
  <c r="CV395" i="1"/>
  <c r="JX420" i="1"/>
  <c r="BX421" i="1"/>
  <c r="JL413" i="1"/>
  <c r="LC418" i="1"/>
  <c r="CL411" i="1"/>
  <c r="KN404" i="1"/>
  <c r="IY409" i="1"/>
  <c r="HV413" i="1"/>
  <c r="KN419" i="1"/>
  <c r="LB421" i="1"/>
  <c r="JL419" i="1"/>
  <c r="CM413" i="1"/>
  <c r="IG414" i="1"/>
  <c r="LC411" i="1"/>
  <c r="CK398" i="1"/>
  <c r="JX407" i="1"/>
  <c r="CW395" i="1"/>
  <c r="IJ408" i="1"/>
  <c r="IK404" i="1"/>
  <c r="BY420" i="1"/>
  <c r="DL415" i="1"/>
  <c r="CK424" i="1"/>
  <c r="KA403" i="1"/>
  <c r="JZ428" i="1"/>
  <c r="HI412" i="1"/>
  <c r="LC409" i="1"/>
  <c r="DM406" i="1"/>
  <c r="GU426" i="1"/>
  <c r="GG410" i="1"/>
  <c r="JI421" i="1"/>
  <c r="IG401" i="1"/>
  <c r="GG428" i="1"/>
  <c r="CW401" i="1"/>
  <c r="HD423" i="1"/>
  <c r="BJ403" i="1"/>
  <c r="CI412" i="1"/>
  <c r="JX402" i="1"/>
  <c r="CZ409" i="1"/>
  <c r="JM425" i="1"/>
  <c r="ME396" i="1"/>
  <c r="DN406" i="1"/>
  <c r="BG400" i="1"/>
  <c r="FD416" i="1"/>
  <c r="BJ420" i="1"/>
  <c r="Z406" i="1" l="1"/>
  <c r="Z407" i="1" l="1"/>
  <c r="Z408" i="1"/>
  <c r="KU422" i="1"/>
  <c r="DY397" i="1"/>
  <c r="LS399" i="1"/>
  <c r="FJ396" i="1"/>
  <c r="AU411" i="1"/>
  <c r="BU412" i="1"/>
  <c r="CD416" i="1"/>
  <c r="DB397" i="1"/>
  <c r="MO418" i="1"/>
  <c r="EO404" i="1"/>
  <c r="KR420" i="1"/>
  <c r="MN420" i="1"/>
  <c r="LN394" i="1"/>
  <c r="DU420" i="1"/>
  <c r="MC400" i="1"/>
  <c r="IN424" i="1"/>
  <c r="MM401" i="1"/>
  <c r="NE418" i="1"/>
  <c r="CQ408" i="1"/>
  <c r="GQ426" i="1"/>
  <c r="EU411" i="1"/>
  <c r="FM428" i="1"/>
  <c r="GH403" i="1"/>
  <c r="LF399" i="1"/>
  <c r="LY422" i="1"/>
  <c r="EH417" i="1"/>
  <c r="GS422" i="1"/>
  <c r="ED420" i="1"/>
  <c r="CE403" i="1"/>
  <c r="FO409" i="1"/>
  <c r="CD415" i="1"/>
  <c r="FL424" i="1"/>
  <c r="EJ399" i="1"/>
  <c r="JV426" i="1"/>
  <c r="MW399" i="1"/>
  <c r="LL397" i="1"/>
  <c r="NA426" i="1"/>
  <c r="EL409" i="1"/>
  <c r="FW397" i="1"/>
  <c r="LA416" i="1"/>
  <c r="EA411" i="1"/>
  <c r="LA399" i="1"/>
  <c r="FF401" i="1"/>
  <c r="HH423" i="1"/>
  <c r="MW395" i="1"/>
  <c r="GO411" i="1"/>
  <c r="EF398" i="1"/>
  <c r="MY420" i="1"/>
  <c r="DH422" i="1"/>
  <c r="EX415" i="1"/>
  <c r="HU418" i="1"/>
  <c r="IP408" i="1"/>
  <c r="DA394" i="1"/>
  <c r="KJ428" i="1"/>
  <c r="BI410" i="1"/>
  <c r="EU406" i="1"/>
  <c r="KL409" i="1"/>
  <c r="MW425" i="1"/>
  <c r="CV426" i="1"/>
  <c r="JE415" i="1"/>
  <c r="KX410" i="1"/>
  <c r="DI398" i="1"/>
  <c r="FU421" i="1"/>
  <c r="KH408" i="1"/>
  <c r="MA409" i="1"/>
  <c r="FH406" i="1"/>
  <c r="FG424" i="1"/>
  <c r="LV417" i="1"/>
  <c r="JO409" i="1"/>
  <c r="JQ397" i="1"/>
  <c r="EX411" i="1"/>
  <c r="MB409" i="1"/>
  <c r="CT401" i="1"/>
  <c r="MC408" i="1"/>
  <c r="DM415" i="1"/>
  <c r="KK419" i="1"/>
  <c r="MY416" i="1"/>
  <c r="EH410" i="1"/>
  <c r="EQ421" i="1"/>
  <c r="JU401" i="1"/>
  <c r="KP399" i="1"/>
  <c r="KW427" i="1"/>
  <c r="GE399" i="1"/>
  <c r="BM423" i="1"/>
  <c r="GB399" i="1"/>
  <c r="KJ422" i="1"/>
  <c r="DZ419" i="1"/>
  <c r="GK410" i="1"/>
  <c r="CE394" i="1"/>
  <c r="LX412" i="1"/>
  <c r="KV396" i="1"/>
  <c r="MJ410" i="1"/>
  <c r="ML419" i="1"/>
  <c r="EB427" i="1"/>
  <c r="EV395" i="1"/>
  <c r="DB394" i="1"/>
  <c r="JY423" i="1"/>
  <c r="FH422" i="1"/>
  <c r="FO401" i="1"/>
  <c r="EA399" i="1"/>
  <c r="JG420" i="1"/>
  <c r="KQ423" i="1"/>
  <c r="BL397" i="1"/>
  <c r="ES414" i="1"/>
  <c r="KO415" i="1"/>
  <c r="EF412" i="1"/>
  <c r="GD415" i="1"/>
  <c r="FW419" i="1"/>
  <c r="KW404" i="1"/>
  <c r="IP425" i="1"/>
  <c r="GR408" i="1"/>
  <c r="MH425" i="1"/>
  <c r="JQ419" i="1"/>
  <c r="MC410" i="1"/>
  <c r="FF420" i="1"/>
  <c r="GL403" i="1"/>
  <c r="HU399" i="1"/>
  <c r="DR402" i="1"/>
  <c r="FK396" i="1"/>
  <c r="DG426" i="1"/>
  <c r="KF396" i="1"/>
  <c r="FO416" i="1"/>
  <c r="KI411" i="1"/>
  <c r="FB412" i="1"/>
  <c r="NE415" i="1"/>
  <c r="IQ403" i="1"/>
  <c r="KJ398" i="1"/>
  <c r="JR423" i="1"/>
  <c r="KW403" i="1"/>
  <c r="JG421" i="1"/>
  <c r="EE395" i="1"/>
  <c r="EL413" i="1"/>
  <c r="JU427" i="1"/>
  <c r="MU406" i="1"/>
  <c r="KB413" i="1"/>
  <c r="NB421" i="1"/>
  <c r="HR419" i="1"/>
  <c r="JS410" i="1"/>
  <c r="ET403" i="1"/>
  <c r="JG404" i="1"/>
  <c r="KH413" i="1"/>
  <c r="GM402" i="1"/>
  <c r="HT402" i="1"/>
  <c r="GI418" i="1"/>
  <c r="FX413" i="1"/>
  <c r="LO402" i="1"/>
  <c r="KZ395" i="1"/>
  <c r="NC395" i="1"/>
  <c r="ME409" i="1"/>
  <c r="GB397" i="1"/>
  <c r="CE422" i="1"/>
  <c r="IG417" i="1"/>
  <c r="KM422" i="1"/>
  <c r="DY408" i="1"/>
  <c r="GI404" i="1"/>
  <c r="HF395" i="1"/>
  <c r="HZ422" i="1"/>
  <c r="CT417" i="1"/>
  <c r="DV396" i="1"/>
  <c r="DH420" i="1"/>
  <c r="CT402" i="1"/>
  <c r="MG400" i="1"/>
  <c r="LD421" i="1"/>
  <c r="KD401" i="1"/>
  <c r="KN406" i="1"/>
  <c r="GH406" i="1"/>
  <c r="GA401" i="1"/>
  <c r="GD414" i="1"/>
  <c r="BK419" i="1"/>
  <c r="LE425" i="1"/>
  <c r="LI422" i="1"/>
  <c r="MQ428" i="1"/>
  <c r="BV411" i="1"/>
  <c r="FV411" i="1"/>
  <c r="KZ410" i="1"/>
  <c r="KT418" i="1"/>
  <c r="LJ402" i="1"/>
  <c r="JS420" i="1"/>
  <c r="LO418" i="1"/>
  <c r="EY418" i="1"/>
  <c r="JC421" i="1"/>
  <c r="JB394" i="1"/>
  <c r="DD427" i="1"/>
  <c r="ES426" i="1"/>
  <c r="AW404" i="1"/>
  <c r="BX406" i="1"/>
  <c r="HG403" i="1"/>
  <c r="BZ423" i="1"/>
  <c r="DG423" i="1"/>
  <c r="LZ419" i="1"/>
  <c r="KJ399" i="1"/>
  <c r="CK420" i="1"/>
  <c r="LG406" i="1"/>
  <c r="GS397" i="1"/>
  <c r="LP420" i="1"/>
  <c r="MI416" i="1"/>
  <c r="HY398" i="1"/>
  <c r="JY428" i="1"/>
  <c r="HY416" i="1"/>
  <c r="JC402" i="1"/>
  <c r="DW428" i="1"/>
  <c r="JM412" i="1"/>
  <c r="CE415" i="1"/>
  <c r="JN416" i="1"/>
  <c r="BY407" i="1"/>
  <c r="JA427" i="1"/>
  <c r="FO400" i="1"/>
  <c r="EH403" i="1"/>
  <c r="EK411" i="1"/>
  <c r="GJ427" i="1"/>
  <c r="DL414" i="1"/>
  <c r="BU428" i="1"/>
  <c r="JG403" i="1"/>
  <c r="FG407" i="1"/>
  <c r="MY399" i="1"/>
  <c r="GH427" i="1"/>
  <c r="MV399" i="1"/>
  <c r="JU415" i="1"/>
  <c r="IH407" i="1"/>
  <c r="CN427" i="1"/>
  <c r="HU401" i="1"/>
  <c r="CY409" i="1"/>
  <c r="LH424" i="1"/>
  <c r="HX408" i="1"/>
  <c r="HY394" i="1"/>
  <c r="EL426" i="1"/>
  <c r="GE406" i="1"/>
  <c r="MM404" i="1"/>
  <c r="MI426" i="1"/>
  <c r="BU406" i="1"/>
  <c r="MM396" i="1"/>
  <c r="JF394" i="1"/>
  <c r="KA423" i="1"/>
  <c r="GK425" i="1"/>
  <c r="EN423" i="1"/>
  <c r="KA401" i="1"/>
  <c r="EP399" i="1"/>
  <c r="DT404" i="1"/>
  <c r="KY412" i="1"/>
  <c r="BI414" i="1"/>
  <c r="LC428" i="1"/>
  <c r="CA406" i="1"/>
  <c r="KG426" i="1"/>
  <c r="DT426" i="1"/>
  <c r="CY404" i="1"/>
  <c r="KS417" i="1"/>
  <c r="IH403" i="1"/>
  <c r="LS397" i="1"/>
  <c r="KU399" i="1"/>
  <c r="LV402" i="1"/>
  <c r="GL424" i="1"/>
  <c r="FM407" i="1"/>
  <c r="GM406" i="1"/>
  <c r="KT420" i="1"/>
  <c r="JQ428" i="1"/>
  <c r="LL401" i="1"/>
  <c r="LO407" i="1"/>
  <c r="DC410" i="1"/>
  <c r="MC401" i="1"/>
  <c r="GL400" i="1"/>
  <c r="CR425" i="1"/>
  <c r="EE402" i="1"/>
  <c r="MM428" i="1"/>
  <c r="LZ397" i="1"/>
  <c r="EC413" i="1"/>
  <c r="EO419" i="1"/>
  <c r="EP422" i="1"/>
  <c r="GI408" i="1"/>
  <c r="EJ395" i="1"/>
  <c r="KB423" i="1"/>
  <c r="FW428" i="1"/>
  <c r="NA422" i="1"/>
  <c r="BO408" i="1"/>
  <c r="CN395" i="1"/>
  <c r="KJ407" i="1"/>
  <c r="LX396" i="1"/>
  <c r="BG406" i="1"/>
  <c r="JJ397" i="1"/>
  <c r="CN398" i="1"/>
  <c r="DY402" i="1"/>
  <c r="KI407" i="1"/>
  <c r="GT426" i="1"/>
  <c r="HW422" i="1"/>
  <c r="DY426" i="1"/>
  <c r="GB411" i="1"/>
  <c r="LZ423" i="1"/>
  <c r="DQ407" i="1"/>
  <c r="JR399" i="1"/>
  <c r="DA411" i="1"/>
  <c r="KH420" i="1"/>
  <c r="IZ418" i="1"/>
  <c r="JE424" i="1"/>
  <c r="JI419" i="1"/>
  <c r="IZ397" i="1"/>
  <c r="MH406" i="1"/>
  <c r="IZ425" i="1"/>
  <c r="GT404" i="1"/>
  <c r="BH421" i="1"/>
  <c r="EM415" i="1"/>
  <c r="BY402" i="1"/>
  <c r="LF425" i="1"/>
  <c r="CE407" i="1"/>
  <c r="EJ407" i="1"/>
  <c r="JQ425" i="1"/>
  <c r="DS402" i="1"/>
  <c r="HZ415" i="1"/>
  <c r="IZ402" i="1"/>
  <c r="IM417" i="1"/>
  <c r="IW418" i="1"/>
  <c r="JO427" i="1"/>
  <c r="CR401" i="1"/>
  <c r="EG419" i="1"/>
  <c r="MZ398" i="1"/>
  <c r="KC414" i="1"/>
  <c r="HS415" i="1"/>
  <c r="CC400" i="1"/>
  <c r="EU412" i="1"/>
  <c r="EE401" i="1"/>
  <c r="MU424" i="1"/>
  <c r="ND426" i="1"/>
  <c r="IP404" i="1"/>
  <c r="LK420" i="1"/>
  <c r="CQ421" i="1"/>
  <c r="MU401" i="1"/>
  <c r="CD394" i="1"/>
  <c r="HS428" i="1"/>
  <c r="EJ394" i="1"/>
  <c r="MT398" i="1"/>
  <c r="AS401" i="1"/>
  <c r="EK408" i="1"/>
  <c r="JC417" i="1"/>
  <c r="KS416" i="1"/>
  <c r="BT406" i="1"/>
  <c r="MX425" i="1"/>
  <c r="DI394" i="1"/>
  <c r="LW395" i="1"/>
  <c r="FT403" i="1"/>
  <c r="IU414" i="1"/>
  <c r="GE421" i="1"/>
  <c r="ED408" i="1"/>
  <c r="JB401" i="1"/>
  <c r="FJ418" i="1"/>
  <c r="FY412" i="1"/>
  <c r="DV428" i="1"/>
  <c r="ED412" i="1"/>
  <c r="EE419" i="1"/>
  <c r="KD417" i="1"/>
  <c r="MY427" i="1"/>
  <c r="JK409" i="1"/>
  <c r="HH420" i="1"/>
  <c r="KR396" i="1"/>
  <c r="JU425" i="1"/>
  <c r="JE404" i="1"/>
  <c r="CB402" i="1"/>
  <c r="CJ413" i="1"/>
  <c r="GN427" i="1"/>
  <c r="LM420" i="1"/>
  <c r="NA406" i="1"/>
  <c r="FG408" i="1"/>
  <c r="BJ424" i="1"/>
  <c r="CT425" i="1"/>
  <c r="LY412" i="1"/>
  <c r="FK409" i="1"/>
  <c r="LI414" i="1"/>
  <c r="KL413" i="1"/>
  <c r="MM400" i="1"/>
  <c r="FC409" i="1"/>
  <c r="BN401" i="1"/>
  <c r="JJ415" i="1"/>
  <c r="LN417" i="1"/>
  <c r="LU402" i="1"/>
  <c r="EM417" i="1"/>
  <c r="EI413" i="1"/>
  <c r="KM424" i="1"/>
  <c r="KQ406" i="1"/>
  <c r="LF395" i="1"/>
  <c r="KA406" i="1"/>
  <c r="GQ420" i="1"/>
  <c r="BK416" i="1"/>
  <c r="IN409" i="1"/>
  <c r="DE428" i="1"/>
  <c r="LJ416" i="1"/>
  <c r="GE401" i="1"/>
  <c r="CK413" i="1"/>
  <c r="LL427" i="1"/>
  <c r="KI394" i="1"/>
  <c r="DX397" i="1"/>
  <c r="GU408" i="1"/>
  <c r="IL411" i="1"/>
  <c r="MM427" i="1"/>
  <c r="GB427" i="1"/>
  <c r="EJ396" i="1"/>
  <c r="BJ428" i="1"/>
  <c r="BK394" i="1"/>
  <c r="KS415" i="1"/>
  <c r="CU415" i="1"/>
  <c r="DJ400" i="1"/>
  <c r="JG408" i="1"/>
  <c r="CD395" i="1"/>
  <c r="CA412" i="1"/>
  <c r="IN407" i="1"/>
  <c r="BZ420" i="1"/>
  <c r="DU399" i="1"/>
  <c r="DZ414" i="1"/>
  <c r="DT415" i="1"/>
  <c r="EZ424" i="1"/>
  <c r="FZ404" i="1"/>
  <c r="KA414" i="1"/>
  <c r="CK407" i="1"/>
  <c r="FZ401" i="1"/>
  <c r="EU419" i="1"/>
  <c r="BO395" i="1"/>
  <c r="CH403" i="1"/>
  <c r="LT416" i="1"/>
  <c r="CV414" i="1"/>
  <c r="LS425" i="1"/>
  <c r="LG398" i="1"/>
  <c r="HZ417" i="1"/>
  <c r="IA412" i="1"/>
  <c r="JG411" i="1"/>
  <c r="FI412" i="1"/>
  <c r="MG399" i="1"/>
  <c r="DU415" i="1"/>
  <c r="MM394" i="1"/>
  <c r="BL400" i="1"/>
  <c r="EW398" i="1"/>
  <c r="EU396" i="1"/>
  <c r="MB404" i="1"/>
  <c r="LR403" i="1"/>
  <c r="GT407" i="1"/>
  <c r="EC416" i="1"/>
  <c r="GL415" i="1"/>
  <c r="JS413" i="1"/>
  <c r="MU420" i="1"/>
  <c r="EH427" i="1"/>
  <c r="DJ407" i="1"/>
  <c r="CC412" i="1"/>
  <c r="KR402" i="1"/>
  <c r="FJ415" i="1"/>
  <c r="FE408" i="1"/>
  <c r="KG410" i="1"/>
  <c r="MY423" i="1"/>
  <c r="FA395" i="1"/>
  <c r="HY399" i="1"/>
  <c r="MN416" i="1"/>
  <c r="HG406" i="1"/>
  <c r="KL426" i="1"/>
  <c r="EY424" i="1"/>
  <c r="BF394" i="1"/>
  <c r="FX422" i="1"/>
  <c r="FF422" i="1"/>
  <c r="DZ417" i="1"/>
  <c r="LC427" i="1"/>
  <c r="MJ422" i="1"/>
  <c r="DM399" i="1"/>
  <c r="MY394" i="1"/>
  <c r="FD398" i="1"/>
  <c r="ED421" i="1"/>
  <c r="MH411" i="1"/>
  <c r="MI395" i="1"/>
  <c r="CW404" i="1"/>
  <c r="DW403" i="1"/>
  <c r="GL418" i="1"/>
  <c r="GK407" i="1"/>
  <c r="FG394" i="1"/>
  <c r="KG404" i="1"/>
  <c r="KP407" i="1"/>
  <c r="JD422" i="1"/>
  <c r="DA422" i="1"/>
  <c r="IO397" i="1"/>
  <c r="CB404" i="1"/>
  <c r="AW415" i="1"/>
  <c r="KI422" i="1"/>
  <c r="LN415" i="1"/>
  <c r="DS401" i="1"/>
  <c r="MG407" i="1"/>
  <c r="GI425" i="1"/>
  <c r="MB399" i="1"/>
  <c r="JJ395" i="1"/>
  <c r="DJ424" i="1"/>
  <c r="MW421" i="1"/>
  <c r="EK410" i="1"/>
  <c r="ML404" i="1"/>
  <c r="BY399" i="1"/>
  <c r="KX406" i="1"/>
  <c r="DO414" i="1"/>
  <c r="NB418" i="1"/>
  <c r="JW422" i="1"/>
  <c r="CO406" i="1"/>
  <c r="GD412" i="1"/>
  <c r="LB425" i="1"/>
  <c r="KC401" i="1"/>
  <c r="JU403" i="1"/>
  <c r="FH428" i="1"/>
  <c r="CA426" i="1"/>
  <c r="MN418" i="1"/>
  <c r="EA404" i="1"/>
  <c r="CC401" i="1"/>
  <c r="HZ418" i="1"/>
  <c r="FK426" i="1"/>
  <c r="KT416" i="1"/>
  <c r="JG428" i="1"/>
  <c r="JW400" i="1"/>
  <c r="DX418" i="1"/>
  <c r="KJ395" i="1"/>
  <c r="GR394" i="1"/>
  <c r="FQ415" i="1"/>
  <c r="KR414" i="1"/>
  <c r="JU420" i="1"/>
  <c r="IA401" i="1"/>
  <c r="DP408" i="1"/>
  <c r="GQ399" i="1"/>
  <c r="MP403" i="1"/>
  <c r="DH424" i="1"/>
  <c r="DD406" i="1"/>
  <c r="JY413" i="1"/>
  <c r="MD407" i="1"/>
  <c r="IO419" i="1"/>
  <c r="MY424" i="1"/>
  <c r="KR423" i="1"/>
  <c r="EG403" i="1"/>
  <c r="CK396" i="1"/>
  <c r="KR415" i="1"/>
  <c r="MB407" i="1"/>
  <c r="HI414" i="1"/>
  <c r="JF421" i="1"/>
  <c r="GI400" i="1"/>
  <c r="KO413" i="1"/>
  <c r="MG425" i="1"/>
  <c r="DO411" i="1"/>
  <c r="FF400" i="1"/>
  <c r="IA411" i="1"/>
  <c r="EA415" i="1"/>
  <c r="FJ411" i="1"/>
  <c r="KS398" i="1"/>
  <c r="LG402" i="1"/>
  <c r="DW426" i="1"/>
  <c r="JD406" i="1"/>
  <c r="FL425" i="1"/>
  <c r="KV413" i="1"/>
  <c r="JB406" i="1"/>
  <c r="FC399" i="1"/>
  <c r="FL416" i="1"/>
  <c r="KR428" i="1"/>
  <c r="EN427" i="1"/>
  <c r="JT428" i="1"/>
  <c r="KP427" i="1"/>
  <c r="KI418" i="1"/>
  <c r="LF421" i="1"/>
  <c r="FN402" i="1"/>
  <c r="JA415" i="1"/>
  <c r="KW396" i="1"/>
  <c r="BN395" i="1"/>
  <c r="FT422" i="1"/>
  <c r="DH396" i="1"/>
  <c r="JM395" i="1"/>
  <c r="LZ414" i="1"/>
  <c r="IT402" i="1"/>
  <c r="FK414" i="1"/>
  <c r="KT417" i="1"/>
  <c r="BU421" i="1"/>
  <c r="LJ415" i="1"/>
  <c r="GE407" i="1"/>
  <c r="GL409" i="1"/>
  <c r="IP413" i="1"/>
  <c r="GE411" i="1"/>
  <c r="KD409" i="1"/>
  <c r="GI420" i="1"/>
  <c r="FF414" i="1"/>
  <c r="JS426" i="1"/>
  <c r="ER425" i="1"/>
  <c r="DV413" i="1"/>
  <c r="KE414" i="1"/>
  <c r="DD400" i="1"/>
  <c r="JG409" i="1"/>
  <c r="GK398" i="1"/>
  <c r="MP425" i="1"/>
  <c r="CZ395" i="1"/>
  <c r="GP428" i="1"/>
  <c r="KF397" i="1"/>
  <c r="MN395" i="1"/>
  <c r="JP404" i="1"/>
  <c r="II399" i="1"/>
  <c r="LX424" i="1"/>
  <c r="EK403" i="1"/>
  <c r="BO425" i="1"/>
  <c r="JQ407" i="1"/>
  <c r="JC401" i="1"/>
  <c r="EW394" i="1"/>
  <c r="JG394" i="1"/>
  <c r="GO422" i="1"/>
  <c r="LW417" i="1"/>
  <c r="EV418" i="1"/>
  <c r="IQ422" i="1"/>
  <c r="DQ418" i="1"/>
  <c r="DQ427" i="1"/>
  <c r="JM421" i="1"/>
  <c r="KT411" i="1"/>
  <c r="EH399" i="1"/>
  <c r="DV424" i="1"/>
  <c r="CQ402" i="1"/>
  <c r="EI396" i="1"/>
  <c r="DB407" i="1"/>
  <c r="IP421" i="1"/>
  <c r="FY398" i="1"/>
  <c r="GC400" i="1"/>
  <c r="DD423" i="1"/>
  <c r="EG425" i="1"/>
  <c r="HE413" i="1"/>
  <c r="LJ424" i="1"/>
  <c r="DD425" i="1"/>
  <c r="FT417" i="1"/>
  <c r="FH427" i="1"/>
  <c r="LC402" i="1"/>
  <c r="FG427" i="1"/>
  <c r="JR411" i="1"/>
  <c r="JV417" i="1"/>
  <c r="GR421" i="1"/>
  <c r="LJ400" i="1"/>
  <c r="EK400" i="1"/>
  <c r="BL428" i="1"/>
  <c r="NA397" i="1"/>
  <c r="MQ412" i="1"/>
  <c r="BJ421" i="1"/>
  <c r="EZ428" i="1"/>
  <c r="EZ419" i="1"/>
  <c r="DB419" i="1"/>
  <c r="JC398" i="1"/>
  <c r="DQ426" i="1"/>
  <c r="DX394" i="1"/>
  <c r="FC412" i="1"/>
  <c r="FW406" i="1"/>
  <c r="LR427" i="1"/>
  <c r="AT421" i="1"/>
  <c r="BH400" i="1"/>
  <c r="FW425" i="1"/>
  <c r="NC409" i="1"/>
  <c r="LI410" i="1"/>
  <c r="KS428" i="1"/>
  <c r="JR394" i="1"/>
  <c r="EZ398" i="1"/>
  <c r="FW414" i="1"/>
  <c r="LY403" i="1"/>
  <c r="LI427" i="1"/>
  <c r="CN417" i="1"/>
  <c r="JA425" i="1"/>
  <c r="JW415" i="1"/>
  <c r="KO411" i="1"/>
  <c r="KA399" i="1"/>
  <c r="LS409" i="1"/>
  <c r="IU411" i="1"/>
  <c r="FV415" i="1"/>
  <c r="MM414" i="1"/>
  <c r="MZ408" i="1"/>
  <c r="GG413" i="1"/>
  <c r="FS417" i="1"/>
  <c r="CD400" i="1"/>
  <c r="MM403" i="1"/>
  <c r="BM396" i="1"/>
  <c r="FO419" i="1"/>
  <c r="HS409" i="1"/>
  <c r="JB412" i="1"/>
  <c r="KU419" i="1"/>
  <c r="HR407" i="1"/>
  <c r="KU416" i="1"/>
  <c r="IP422" i="1"/>
  <c r="EH394" i="1"/>
  <c r="GD413" i="1"/>
  <c r="BL419" i="1"/>
  <c r="DK394" i="1"/>
  <c r="KP402" i="1"/>
  <c r="KC398" i="1"/>
  <c r="LR416" i="1"/>
  <c r="KX421" i="1"/>
  <c r="ML406" i="1"/>
  <c r="FP427" i="1"/>
  <c r="KB416" i="1"/>
  <c r="JS399" i="1"/>
  <c r="LM423" i="1"/>
  <c r="MB395" i="1"/>
  <c r="BO417" i="1"/>
  <c r="EM419" i="1"/>
  <c r="ND417" i="1"/>
  <c r="FK420" i="1"/>
  <c r="KM403" i="1"/>
  <c r="JS417" i="1"/>
  <c r="KT410" i="1"/>
  <c r="IA426" i="1"/>
  <c r="BG423" i="1"/>
  <c r="KE424" i="1"/>
  <c r="MJ407" i="1"/>
  <c r="IU415" i="1"/>
  <c r="JG418" i="1"/>
  <c r="NC418" i="1"/>
  <c r="LA398" i="1"/>
  <c r="IJ421" i="1"/>
  <c r="JZ427" i="1"/>
  <c r="CT427" i="1"/>
  <c r="KZ396" i="1"/>
  <c r="EJ427" i="1"/>
  <c r="KD422" i="1"/>
  <c r="MN415" i="1"/>
  <c r="HU417" i="1"/>
  <c r="FY427" i="1"/>
  <c r="HY404" i="1"/>
  <c r="GH411" i="1"/>
  <c r="MQ418" i="1"/>
  <c r="AT409" i="1"/>
  <c r="GB415" i="1"/>
  <c r="GQ406" i="1"/>
  <c r="HG398" i="1"/>
  <c r="FC424" i="1"/>
  <c r="JY410" i="1"/>
  <c r="KW428" i="1"/>
  <c r="KW418" i="1"/>
  <c r="FO407" i="1"/>
  <c r="JJ413" i="1"/>
  <c r="JZ400" i="1"/>
  <c r="IQ399" i="1"/>
  <c r="BV394" i="1"/>
  <c r="JI402" i="1"/>
  <c r="CL408" i="1"/>
  <c r="LX421" i="1"/>
  <c r="KD395" i="1"/>
  <c r="KT412" i="1"/>
  <c r="ER395" i="1"/>
  <c r="FH416" i="1"/>
  <c r="FO402" i="1"/>
  <c r="EO400" i="1"/>
  <c r="DL422" i="1"/>
  <c r="EG397" i="1"/>
  <c r="EJ414" i="1"/>
  <c r="MB401" i="1"/>
  <c r="HY418" i="1"/>
  <c r="LH413" i="1"/>
  <c r="GO418" i="1"/>
  <c r="CX417" i="1"/>
  <c r="LI426" i="1"/>
  <c r="LD419" i="1"/>
  <c r="BY394" i="1"/>
  <c r="KU400" i="1"/>
  <c r="EN416" i="1"/>
  <c r="DR394" i="1"/>
  <c r="IQ412" i="1"/>
  <c r="IK427" i="1"/>
  <c r="HF396" i="1"/>
  <c r="HF417" i="1"/>
  <c r="HF409" i="1"/>
  <c r="LN396" i="1"/>
  <c r="MZ406" i="1"/>
  <c r="FL409" i="1"/>
  <c r="FA421" i="1"/>
  <c r="LV423" i="1"/>
  <c r="KN428" i="1"/>
  <c r="BO398" i="1"/>
  <c r="ED411" i="1"/>
  <c r="LA425" i="1"/>
  <c r="BN423" i="1"/>
  <c r="DL403" i="1"/>
  <c r="DF420" i="1"/>
  <c r="KW402" i="1"/>
  <c r="CO396" i="1"/>
  <c r="ED426" i="1"/>
  <c r="DR425" i="1"/>
  <c r="CP425" i="1"/>
  <c r="BK396" i="1"/>
  <c r="KH401" i="1"/>
  <c r="EF413" i="1"/>
  <c r="JP419" i="1"/>
  <c r="FR394" i="1"/>
  <c r="GQ401" i="1"/>
  <c r="EZ427" i="1"/>
  <c r="BG394" i="1"/>
  <c r="FT414" i="1"/>
  <c r="JA421" i="1"/>
  <c r="GP427" i="1"/>
  <c r="LK414" i="1"/>
  <c r="DB422" i="1"/>
  <c r="KK413" i="1"/>
  <c r="BM398" i="1"/>
  <c r="JS411" i="1"/>
  <c r="GA408" i="1"/>
  <c r="FB416" i="1"/>
  <c r="EC399" i="1"/>
  <c r="FG419" i="1"/>
  <c r="DK408" i="1"/>
  <c r="JT409" i="1"/>
  <c r="DO409" i="1"/>
  <c r="FF397" i="1"/>
  <c r="KB426" i="1"/>
  <c r="IV417" i="1"/>
  <c r="LO397" i="1"/>
  <c r="BX415" i="1"/>
  <c r="LO408" i="1"/>
  <c r="MT415" i="1"/>
  <c r="DI395" i="1"/>
  <c r="GT414" i="1"/>
  <c r="KH409" i="1"/>
  <c r="KB421" i="1"/>
  <c r="KY402" i="1"/>
  <c r="MQ407" i="1"/>
  <c r="DS395" i="1"/>
  <c r="JF420" i="1"/>
  <c r="KW409" i="1"/>
  <c r="MA418" i="1"/>
  <c r="FI411" i="1"/>
  <c r="MP406" i="1"/>
  <c r="GP417" i="1"/>
  <c r="BW413" i="1"/>
  <c r="MA426" i="1"/>
  <c r="CL416" i="1"/>
  <c r="IQ401" i="1"/>
  <c r="AT410" i="1"/>
  <c r="LS404" i="1"/>
  <c r="FU403" i="1"/>
  <c r="MD427" i="1"/>
  <c r="LI394" i="1"/>
  <c r="JV409" i="1"/>
  <c r="FI414" i="1"/>
  <c r="LJ395" i="1"/>
  <c r="CO403" i="1"/>
  <c r="FM408" i="1"/>
  <c r="CN418" i="1"/>
  <c r="JO422" i="1"/>
  <c r="FN428" i="1"/>
  <c r="KT419" i="1"/>
  <c r="IX399" i="1"/>
  <c r="EM413" i="1"/>
  <c r="IJ425" i="1"/>
  <c r="EZ417" i="1"/>
  <c r="KM428" i="1"/>
  <c r="FK427" i="1"/>
  <c r="JX408" i="1"/>
  <c r="JU428" i="1"/>
  <c r="DI413" i="1"/>
  <c r="DC424" i="1"/>
  <c r="DK404" i="1"/>
  <c r="DU395" i="1"/>
  <c r="LC422" i="1"/>
  <c r="EA417" i="1"/>
  <c r="EX419" i="1"/>
  <c r="BY413" i="1"/>
  <c r="LV416" i="1"/>
  <c r="LQ428" i="1"/>
  <c r="MF412" i="1"/>
  <c r="MG422" i="1"/>
  <c r="GQ425" i="1"/>
  <c r="HT416" i="1"/>
  <c r="LM402" i="1"/>
  <c r="GN426" i="1"/>
  <c r="MO428" i="1"/>
  <c r="FX411" i="1"/>
  <c r="FG417" i="1"/>
  <c r="ME399" i="1"/>
  <c r="JD418" i="1"/>
  <c r="JO411" i="1"/>
  <c r="NB411" i="1"/>
  <c r="FO406" i="1"/>
  <c r="HU404" i="1"/>
  <c r="BZ409" i="1"/>
  <c r="IJ417" i="1"/>
  <c r="KV411" i="1"/>
  <c r="IA402" i="1"/>
  <c r="FM424" i="1"/>
  <c r="KS421" i="1"/>
  <c r="BJ416" i="1"/>
  <c r="HV424" i="1"/>
  <c r="GN411" i="1"/>
  <c r="JY420" i="1"/>
  <c r="NA401" i="1"/>
  <c r="IX400" i="1"/>
  <c r="LD395" i="1"/>
  <c r="GA428" i="1"/>
  <c r="FR402" i="1"/>
  <c r="LC414" i="1"/>
  <c r="FC396" i="1"/>
  <c r="FB420" i="1"/>
  <c r="LP399" i="1"/>
  <c r="EJ403" i="1"/>
  <c r="MP419" i="1"/>
  <c r="DS396" i="1"/>
  <c r="IZ396" i="1"/>
  <c r="IA420" i="1"/>
  <c r="IW396" i="1"/>
  <c r="LM395" i="1"/>
  <c r="BW396" i="1"/>
  <c r="IX412" i="1"/>
  <c r="DN421" i="1"/>
  <c r="EG423" i="1"/>
  <c r="MO399" i="1"/>
  <c r="JR406" i="1"/>
  <c r="LQ422" i="1"/>
  <c r="EC397" i="1"/>
  <c r="MC395" i="1"/>
  <c r="GD399" i="1"/>
  <c r="LW396" i="1"/>
  <c r="MU402" i="1"/>
  <c r="BO424" i="1"/>
  <c r="EJ402" i="1"/>
  <c r="KT399" i="1"/>
  <c r="FV406" i="1"/>
  <c r="IA425" i="1"/>
  <c r="NC427" i="1"/>
  <c r="IQ410" i="1"/>
  <c r="CW409" i="1"/>
  <c r="EA403" i="1"/>
  <c r="KO399" i="1"/>
  <c r="JK427" i="1"/>
  <c r="IL425" i="1"/>
  <c r="FV420" i="1"/>
  <c r="FS397" i="1"/>
  <c r="EH426" i="1"/>
  <c r="DI414" i="1"/>
  <c r="KF421" i="1"/>
  <c r="GC402" i="1"/>
  <c r="EI409" i="1"/>
  <c r="NA413" i="1"/>
  <c r="KA421" i="1"/>
  <c r="BX424" i="1"/>
  <c r="JI425" i="1"/>
  <c r="FR417" i="1"/>
  <c r="KP409" i="1"/>
  <c r="MT420" i="1"/>
  <c r="EU400" i="1"/>
  <c r="BV396" i="1"/>
  <c r="EQ395" i="1"/>
  <c r="EL417" i="1"/>
  <c r="ND406" i="1"/>
  <c r="IN411" i="1"/>
  <c r="KP403" i="1"/>
  <c r="IK425" i="1"/>
  <c r="FI402" i="1"/>
  <c r="CL402" i="1"/>
  <c r="NB425" i="1"/>
  <c r="AV422" i="1"/>
  <c r="AV415" i="1"/>
  <c r="EC400" i="1"/>
  <c r="LU401" i="1"/>
  <c r="KV420" i="1"/>
  <c r="KX417" i="1"/>
  <c r="DA400" i="1"/>
  <c r="KW420" i="1"/>
  <c r="GN394" i="1"/>
  <c r="ME413" i="1"/>
  <c r="FK418" i="1"/>
  <c r="GE424" i="1"/>
  <c r="NA396" i="1"/>
  <c r="CQ398" i="1"/>
  <c r="JC396" i="1"/>
  <c r="MO400" i="1"/>
  <c r="KX395" i="1"/>
  <c r="DG413" i="1"/>
  <c r="MW419" i="1"/>
  <c r="CC411" i="1"/>
  <c r="CL423" i="1"/>
  <c r="GR403" i="1"/>
  <c r="DE422" i="1"/>
  <c r="GG396" i="1"/>
  <c r="BH423" i="1"/>
  <c r="LN402" i="1"/>
  <c r="LO426" i="1"/>
  <c r="LA413" i="1"/>
  <c r="BX401" i="1"/>
  <c r="KG397" i="1"/>
  <c r="GA414" i="1"/>
  <c r="ER400" i="1"/>
  <c r="EY407" i="1"/>
  <c r="KL410" i="1"/>
  <c r="IT406" i="1"/>
  <c r="BL425" i="1"/>
  <c r="MM399" i="1"/>
  <c r="LQ408" i="1"/>
  <c r="CZ416" i="1"/>
  <c r="KC417" i="1"/>
  <c r="CJ397" i="1"/>
  <c r="GK414" i="1"/>
  <c r="IK401" i="1"/>
  <c r="AT395" i="1"/>
  <c r="DJ416" i="1"/>
  <c r="MJ400" i="1"/>
  <c r="FZ406" i="1"/>
  <c r="GJ406" i="1"/>
  <c r="CI425" i="1"/>
  <c r="DG403" i="1"/>
  <c r="CU399" i="1"/>
  <c r="EC402" i="1"/>
  <c r="FA415" i="1"/>
  <c r="DR418" i="1"/>
  <c r="FN409" i="1"/>
  <c r="LP394" i="1"/>
  <c r="IT427" i="1"/>
  <c r="EH408" i="1"/>
  <c r="LP406" i="1"/>
  <c r="LS407" i="1"/>
  <c r="CP411" i="1"/>
  <c r="DV415" i="1"/>
  <c r="EI397" i="1"/>
  <c r="KE413" i="1"/>
  <c r="HV412" i="1"/>
  <c r="IV408" i="1"/>
  <c r="MU409" i="1"/>
  <c r="MK401" i="1"/>
  <c r="KL401" i="1"/>
  <c r="MU398" i="1"/>
  <c r="JA420" i="1"/>
  <c r="EE400" i="1"/>
  <c r="BN424" i="1"/>
  <c r="FY409" i="1"/>
  <c r="FE407" i="1"/>
  <c r="KJ397" i="1"/>
  <c r="GO414" i="1"/>
  <c r="BZ394" i="1"/>
  <c r="MI428" i="1"/>
  <c r="FD412" i="1"/>
  <c r="JO402" i="1"/>
  <c r="IQ419" i="1"/>
  <c r="LD409" i="1"/>
  <c r="EK399" i="1"/>
  <c r="GP396" i="1"/>
  <c r="JH424" i="1"/>
  <c r="LH412" i="1"/>
  <c r="EU416" i="1"/>
  <c r="EN414" i="1"/>
  <c r="CS419" i="1"/>
  <c r="EO425" i="1"/>
  <c r="EI404" i="1"/>
  <c r="JY425" i="1"/>
  <c r="IO406" i="1"/>
  <c r="CQ420" i="1"/>
  <c r="KP400" i="1"/>
  <c r="MX410" i="1"/>
  <c r="EH396" i="1"/>
  <c r="EX427" i="1"/>
  <c r="IV420" i="1"/>
  <c r="HU424" i="1"/>
  <c r="LH406" i="1"/>
  <c r="JH400" i="1"/>
  <c r="KM427" i="1"/>
  <c r="HG418" i="1"/>
  <c r="DN413" i="1"/>
  <c r="IX426" i="1"/>
  <c r="GC395" i="1"/>
  <c r="KE398" i="1"/>
  <c r="DP421" i="1"/>
  <c r="MG396" i="1"/>
  <c r="HX416" i="1"/>
  <c r="LF402" i="1"/>
  <c r="GK412" i="1"/>
  <c r="KJ401" i="1"/>
  <c r="LW424" i="1"/>
  <c r="EN402" i="1"/>
  <c r="FI406" i="1"/>
  <c r="JN419" i="1"/>
  <c r="KV402" i="1"/>
  <c r="KS404" i="1"/>
  <c r="BW401" i="1"/>
  <c r="KQ415" i="1"/>
  <c r="KS401" i="1"/>
  <c r="KT426" i="1"/>
  <c r="JB400" i="1"/>
  <c r="JP421" i="1"/>
  <c r="MW398" i="1"/>
  <c r="FB418" i="1"/>
  <c r="DR399" i="1"/>
  <c r="LO427" i="1"/>
  <c r="GL416" i="1"/>
  <c r="MD404" i="1"/>
  <c r="MK394" i="1"/>
  <c r="JG399" i="1"/>
  <c r="KN410" i="1"/>
  <c r="EW427" i="1"/>
  <c r="CZ402" i="1"/>
  <c r="JB414" i="1"/>
  <c r="LK425" i="1"/>
  <c r="AV406" i="1"/>
  <c r="MX401" i="1"/>
  <c r="NB415" i="1"/>
  <c r="HW404" i="1"/>
  <c r="IO410" i="1"/>
  <c r="HE403" i="1"/>
  <c r="DG406" i="1"/>
  <c r="MP397" i="1"/>
  <c r="CI424" i="1"/>
  <c r="LR409" i="1"/>
  <c r="CZ398" i="1"/>
  <c r="JN401" i="1"/>
  <c r="JB417" i="1"/>
  <c r="MX421" i="1"/>
  <c r="MN428" i="1"/>
  <c r="GI423" i="1"/>
  <c r="MJ406" i="1"/>
  <c r="KK406" i="1"/>
  <c r="IG416" i="1"/>
  <c r="FZ397" i="1"/>
  <c r="GG422" i="1"/>
  <c r="EH395" i="1"/>
  <c r="MC426" i="1"/>
  <c r="LK401" i="1"/>
  <c r="LN424" i="1"/>
  <c r="KA426" i="1"/>
  <c r="CN401" i="1"/>
  <c r="BM399" i="1"/>
  <c r="GE404" i="1"/>
  <c r="KG413" i="1"/>
  <c r="FZ420" i="1"/>
  <c r="EM398" i="1"/>
  <c r="MM412" i="1"/>
  <c r="KD399" i="1"/>
  <c r="KX397" i="1"/>
  <c r="KA428" i="1"/>
  <c r="DX398" i="1"/>
  <c r="GB423" i="1"/>
  <c r="KK423" i="1"/>
  <c r="IY424" i="1"/>
  <c r="DX417" i="1"/>
  <c r="JD396" i="1"/>
  <c r="KZ424" i="1"/>
  <c r="BN410" i="1"/>
  <c r="DS409" i="1"/>
  <c r="LO416" i="1"/>
  <c r="GN412" i="1"/>
  <c r="BN397" i="1"/>
  <c r="MV425" i="1"/>
  <c r="EM412" i="1"/>
  <c r="GH396" i="1"/>
  <c r="MJ427" i="1"/>
  <c r="FN418" i="1"/>
  <c r="JB427" i="1"/>
  <c r="JS409" i="1"/>
  <c r="ME411" i="1"/>
  <c r="LU415" i="1"/>
  <c r="LH409" i="1"/>
  <c r="MN394" i="1"/>
  <c r="DG419" i="1"/>
  <c r="LG412" i="1"/>
  <c r="KL425" i="1"/>
  <c r="GO395" i="1"/>
  <c r="JW420" i="1"/>
  <c r="DX401" i="1"/>
  <c r="LM400" i="1"/>
  <c r="JM427" i="1"/>
  <c r="FG397" i="1"/>
  <c r="CT413" i="1"/>
  <c r="CH397" i="1"/>
  <c r="CQ417" i="1"/>
  <c r="MP401" i="1"/>
  <c r="MF420" i="1"/>
  <c r="KK401" i="1"/>
  <c r="LS395" i="1"/>
  <c r="BI418" i="1"/>
  <c r="LU418" i="1"/>
  <c r="IU426" i="1"/>
  <c r="GG425" i="1"/>
  <c r="KB422" i="1"/>
  <c r="CA428" i="1"/>
  <c r="KL415" i="1"/>
  <c r="KR401" i="1"/>
  <c r="JB419" i="1"/>
  <c r="MX427" i="1"/>
  <c r="JA408" i="1"/>
  <c r="IV399" i="1"/>
  <c r="JE414" i="1"/>
  <c r="MX407" i="1"/>
  <c r="CR398" i="1"/>
  <c r="KB401" i="1"/>
  <c r="LD415" i="1"/>
  <c r="AU404" i="1"/>
  <c r="DQ416" i="1"/>
  <c r="CY414" i="1"/>
  <c r="LK410" i="1"/>
  <c r="EP428" i="1"/>
  <c r="FY417" i="1"/>
  <c r="CJ401" i="1"/>
  <c r="JL427" i="1"/>
  <c r="HV426" i="1"/>
  <c r="DB411" i="1"/>
  <c r="IN413" i="1"/>
  <c r="FM402" i="1"/>
  <c r="AV404" i="1"/>
  <c r="AS419" i="1"/>
  <c r="DT424" i="1"/>
  <c r="BZ398" i="1"/>
  <c r="MT396" i="1"/>
  <c r="MD422" i="1"/>
  <c r="LY413" i="1"/>
  <c r="LO421" i="1"/>
  <c r="FM411" i="1"/>
  <c r="LD401" i="1"/>
  <c r="EZ397" i="1"/>
  <c r="NE414" i="1"/>
  <c r="LB416" i="1"/>
  <c r="HE410" i="1"/>
  <c r="IG394" i="1"/>
  <c r="JT422" i="1"/>
  <c r="MB396" i="1"/>
  <c r="JJ423" i="1"/>
  <c r="IY412" i="1"/>
  <c r="BV412" i="1"/>
  <c r="BH413" i="1"/>
  <c r="JN426" i="1"/>
  <c r="LG400" i="1"/>
  <c r="BT413" i="1"/>
  <c r="FL422" i="1"/>
  <c r="MW427" i="1"/>
  <c r="FT401" i="1"/>
  <c r="ED422" i="1"/>
  <c r="AU400" i="1"/>
  <c r="GU407" i="1"/>
  <c r="CK397" i="1"/>
  <c r="EJ415" i="1"/>
  <c r="JY409" i="1"/>
  <c r="GL423" i="1"/>
  <c r="MF406" i="1"/>
  <c r="EB422" i="1"/>
  <c r="BI408" i="1"/>
  <c r="FS394" i="1"/>
  <c r="FP402" i="1"/>
  <c r="IM400" i="1"/>
  <c r="EU408" i="1"/>
  <c r="CJ417" i="1"/>
  <c r="EH398" i="1"/>
  <c r="JR418" i="1"/>
  <c r="GJ425" i="1"/>
  <c r="LQ423" i="1"/>
  <c r="KM426" i="1"/>
  <c r="MT406" i="1"/>
  <c r="DG397" i="1"/>
  <c r="CY407" i="1"/>
  <c r="JD419" i="1"/>
  <c r="GP418" i="1"/>
  <c r="EA401" i="1"/>
  <c r="GP403" i="1"/>
  <c r="IK424" i="1"/>
  <c r="ER402" i="1"/>
  <c r="MQ416" i="1"/>
  <c r="KP425" i="1"/>
  <c r="JW406" i="1"/>
  <c r="JQ417" i="1"/>
  <c r="EE407" i="1"/>
  <c r="IG403" i="1"/>
  <c r="JC412" i="1"/>
  <c r="DS420" i="1"/>
  <c r="JJ414" i="1"/>
  <c r="KY413" i="1"/>
  <c r="FE426" i="1"/>
  <c r="IW402" i="1"/>
  <c r="GK400" i="1"/>
  <c r="IV398" i="1"/>
  <c r="EJ416" i="1"/>
  <c r="DI418" i="1"/>
  <c r="KE394" i="1"/>
  <c r="JF427" i="1"/>
  <c r="DQ411" i="1"/>
  <c r="DN428" i="1"/>
  <c r="KQ402" i="1"/>
  <c r="HW427" i="1"/>
  <c r="FD414" i="1"/>
  <c r="JV395" i="1"/>
  <c r="DY419" i="1"/>
  <c r="LQ411" i="1"/>
  <c r="GU395" i="1"/>
  <c r="CU412" i="1"/>
  <c r="LL395" i="1"/>
  <c r="HT394" i="1"/>
  <c r="LS414" i="1"/>
  <c r="ES395" i="1"/>
  <c r="MU413" i="1"/>
  <c r="IO417" i="1"/>
  <c r="DU398" i="1"/>
  <c r="KY406" i="1"/>
  <c r="JD421" i="1"/>
  <c r="FB408" i="1"/>
  <c r="FZ421" i="1"/>
  <c r="CM423" i="1"/>
  <c r="ML426" i="1"/>
  <c r="FC419" i="1"/>
  <c r="HX417" i="1"/>
  <c r="GC425" i="1"/>
  <c r="FF423" i="1"/>
  <c r="JJ427" i="1"/>
  <c r="DK420" i="1"/>
  <c r="AV402" i="1"/>
  <c r="FI403" i="1"/>
  <c r="MT414" i="1"/>
  <c r="JN406" i="1"/>
  <c r="KY422" i="1"/>
  <c r="GN422" i="1"/>
  <c r="II426" i="1"/>
  <c r="GL394" i="1"/>
  <c r="DU418" i="1"/>
  <c r="GD426" i="1"/>
  <c r="DS423" i="1"/>
  <c r="DI399" i="1"/>
  <c r="BG424" i="1"/>
  <c r="LH404" i="1"/>
  <c r="CN396" i="1"/>
  <c r="DT408" i="1"/>
  <c r="GF425" i="1"/>
  <c r="DO403" i="1"/>
  <c r="LR406" i="1"/>
  <c r="JP397" i="1"/>
  <c r="ED398" i="1"/>
  <c r="CX394" i="1"/>
  <c r="ME403" i="1"/>
  <c r="BH419" i="1"/>
  <c r="HZ419" i="1"/>
  <c r="MH426" i="1"/>
  <c r="JA418" i="1"/>
  <c r="IX415" i="1"/>
  <c r="KI395" i="1"/>
  <c r="JD401" i="1"/>
  <c r="JA422" i="1"/>
  <c r="CK414" i="1"/>
  <c r="KF420" i="1"/>
  <c r="KF427" i="1"/>
  <c r="CI398" i="1"/>
  <c r="CN412" i="1"/>
  <c r="AV419" i="1"/>
  <c r="BY427" i="1"/>
  <c r="HG419" i="1"/>
  <c r="IZ426" i="1"/>
  <c r="HZ414" i="1"/>
  <c r="HT409" i="1"/>
  <c r="GN420" i="1"/>
  <c r="MI425" i="1"/>
  <c r="JU413" i="1"/>
  <c r="GD421" i="1"/>
  <c r="CE395" i="1"/>
  <c r="GJ408" i="1"/>
  <c r="GO404" i="1"/>
  <c r="DU408" i="1"/>
  <c r="BJ422" i="1"/>
  <c r="EO401" i="1"/>
  <c r="MC411" i="1"/>
  <c r="GG426" i="1"/>
  <c r="BI428" i="1"/>
  <c r="IZ414" i="1"/>
  <c r="GS395" i="1"/>
  <c r="EO410" i="1"/>
  <c r="DZ411" i="1"/>
  <c r="EY428" i="1"/>
  <c r="GN397" i="1"/>
  <c r="EU425" i="1"/>
  <c r="CW402" i="1"/>
  <c r="IU406" i="1"/>
  <c r="EP411" i="1"/>
  <c r="LV406" i="1"/>
  <c r="FV427" i="1"/>
  <c r="GB395" i="1"/>
  <c r="CH421" i="1"/>
  <c r="FE410" i="1"/>
  <c r="BV408" i="1"/>
  <c r="LZ394" i="1"/>
  <c r="GA404" i="1"/>
  <c r="GD419" i="1"/>
  <c r="LH428" i="1"/>
  <c r="LZ404" i="1"/>
  <c r="MY421" i="1"/>
  <c r="LZ400" i="1"/>
  <c r="MI398" i="1"/>
  <c r="BX403" i="1"/>
  <c r="JI401" i="1"/>
  <c r="IK398" i="1"/>
  <c r="JA394" i="1"/>
  <c r="CP421" i="1"/>
  <c r="BI416" i="1"/>
  <c r="MA421" i="1"/>
  <c r="ET412" i="1"/>
  <c r="CX428" i="1"/>
  <c r="LG396" i="1"/>
  <c r="DW414" i="1"/>
  <c r="GF412" i="1"/>
  <c r="LB413" i="1"/>
  <c r="CS394" i="1"/>
  <c r="LD427" i="1"/>
  <c r="LQ409" i="1"/>
  <c r="MD420" i="1"/>
  <c r="EM406" i="1"/>
  <c r="KH421" i="1"/>
  <c r="KQ397" i="1"/>
  <c r="IQ425" i="1"/>
  <c r="MQ399" i="1"/>
  <c r="EU417" i="1"/>
  <c r="JW394" i="1"/>
  <c r="CI419" i="1"/>
  <c r="DE411" i="1"/>
  <c r="NC404" i="1"/>
  <c r="ET424" i="1"/>
  <c r="DW395" i="1"/>
  <c r="LB411" i="1"/>
  <c r="KH396" i="1"/>
  <c r="LK403" i="1"/>
  <c r="BX397" i="1"/>
  <c r="LA418" i="1"/>
  <c r="GB400" i="1"/>
  <c r="MG410" i="1"/>
  <c r="IL422" i="1"/>
  <c r="EX426" i="1"/>
  <c r="MC415" i="1"/>
  <c r="ER427" i="1"/>
  <c r="BW425" i="1"/>
  <c r="HZ395" i="1"/>
  <c r="DM409" i="1"/>
  <c r="JS403" i="1"/>
  <c r="IW408" i="1"/>
  <c r="DN401" i="1"/>
  <c r="LW416" i="1"/>
  <c r="FP412" i="1"/>
  <c r="EG407" i="1"/>
  <c r="DB427" i="1"/>
  <c r="KP418" i="1"/>
  <c r="KJ416" i="1"/>
  <c r="II403" i="1"/>
  <c r="CH406" i="1"/>
  <c r="FN401" i="1"/>
  <c r="DR410" i="1"/>
  <c r="JQ416" i="1"/>
  <c r="EU409" i="1"/>
  <c r="MN421" i="1"/>
  <c r="FZ396" i="1"/>
  <c r="IX394" i="1"/>
  <c r="KD418" i="1"/>
  <c r="LV409" i="1"/>
  <c r="KJ408" i="1"/>
  <c r="CV404" i="1"/>
  <c r="AS397" i="1"/>
  <c r="EQ417" i="1"/>
  <c r="CB426" i="1"/>
  <c r="HE428" i="1"/>
  <c r="BY403" i="1"/>
  <c r="IW427" i="1"/>
  <c r="CL399" i="1"/>
  <c r="GK423" i="1"/>
  <c r="DD397" i="1"/>
  <c r="JB408" i="1"/>
  <c r="IN398" i="1"/>
  <c r="DW415" i="1"/>
  <c r="EF399" i="1"/>
  <c r="JB409" i="1"/>
  <c r="FA422" i="1"/>
  <c r="FJ422" i="1"/>
  <c r="ER411" i="1"/>
  <c r="KL397" i="1"/>
  <c r="GF422" i="1"/>
  <c r="JL403" i="1"/>
  <c r="NA411" i="1"/>
  <c r="DE398" i="1"/>
  <c r="GE410" i="1"/>
  <c r="IP411" i="1"/>
  <c r="CA416" i="1"/>
  <c r="CE420" i="1"/>
  <c r="CA401" i="1"/>
  <c r="HT419" i="1"/>
  <c r="LO413" i="1"/>
  <c r="CZ428" i="1"/>
  <c r="LU412" i="1"/>
  <c r="EY400" i="1"/>
  <c r="CZ399" i="1"/>
  <c r="EL408" i="1"/>
  <c r="MP415" i="1"/>
  <c r="JY424" i="1"/>
  <c r="JF416" i="1"/>
  <c r="GL402" i="1"/>
  <c r="LR424" i="1"/>
  <c r="JM394" i="1"/>
  <c r="GD422" i="1"/>
  <c r="GD400" i="1"/>
  <c r="EZ426" i="1"/>
  <c r="GQ413" i="1"/>
  <c r="CB421" i="1"/>
  <c r="LC421" i="1"/>
  <c r="DV398" i="1"/>
  <c r="IN399" i="1"/>
  <c r="CL427" i="1"/>
  <c r="HG402" i="1"/>
  <c r="LZ424" i="1"/>
  <c r="FW426" i="1"/>
  <c r="EW422" i="1"/>
  <c r="MP398" i="1"/>
  <c r="JP426" i="1"/>
  <c r="GF396" i="1"/>
  <c r="MT424" i="1"/>
  <c r="AU406" i="1"/>
  <c r="AT394" i="1"/>
  <c r="LC423" i="1"/>
  <c r="EF420" i="1"/>
  <c r="BZ419" i="1"/>
  <c r="IM415" i="1"/>
  <c r="IW425" i="1"/>
  <c r="IU427" i="1"/>
  <c r="LA424" i="1"/>
  <c r="LV400" i="1"/>
  <c r="BJ423" i="1"/>
  <c r="CY397" i="1"/>
  <c r="DM418" i="1"/>
  <c r="DQ406" i="1"/>
  <c r="EO411" i="1"/>
  <c r="HG417" i="1"/>
  <c r="KT395" i="1"/>
  <c r="JW416" i="1"/>
  <c r="GM423" i="1"/>
  <c r="DO394" i="1"/>
  <c r="NE406" i="1"/>
  <c r="KP394" i="1"/>
  <c r="BY415" i="1"/>
  <c r="KV422" i="1"/>
  <c r="JZ425" i="1"/>
  <c r="BH427" i="1"/>
  <c r="KX425" i="1"/>
  <c r="BG425" i="1"/>
  <c r="CV396" i="1"/>
  <c r="FN423" i="1"/>
  <c r="IL400" i="1"/>
  <c r="BM395" i="1"/>
  <c r="LP418" i="1"/>
  <c r="LW400" i="1"/>
  <c r="BZ404" i="1"/>
  <c r="MW396" i="1"/>
  <c r="FU394" i="1"/>
  <c r="DB403" i="1"/>
  <c r="LI401" i="1"/>
  <c r="LU413" i="1"/>
  <c r="ER418" i="1"/>
  <c r="FM404" i="1"/>
  <c r="MA406" i="1"/>
  <c r="FJ399" i="1"/>
  <c r="CY428" i="1"/>
  <c r="DA426" i="1"/>
  <c r="AT420" i="1"/>
  <c r="HW419" i="1"/>
  <c r="HH424" i="1"/>
  <c r="CA414" i="1"/>
  <c r="DH413" i="1"/>
  <c r="JX412" i="1"/>
  <c r="NA414" i="1"/>
  <c r="LP426" i="1"/>
  <c r="ES417" i="1"/>
  <c r="GL397" i="1"/>
  <c r="KO406" i="1"/>
  <c r="CD408" i="1"/>
  <c r="MW426" i="1"/>
  <c r="LU425" i="1"/>
  <c r="LE416" i="1"/>
  <c r="CZ406" i="1"/>
  <c r="DE395" i="1"/>
  <c r="LE394" i="1"/>
  <c r="BZ415" i="1"/>
  <c r="FY395" i="1"/>
  <c r="IX416" i="1"/>
  <c r="CI404" i="1"/>
  <c r="IL394" i="1"/>
  <c r="FR408" i="1"/>
  <c r="NA398" i="1"/>
  <c r="JK422" i="1"/>
  <c r="DW423" i="1"/>
  <c r="GC401" i="1"/>
  <c r="CM406" i="1"/>
  <c r="CU417" i="1"/>
  <c r="IW422" i="1"/>
  <c r="CR412" i="1"/>
  <c r="CN394" i="1"/>
  <c r="CY425" i="1"/>
  <c r="HE407" i="1"/>
  <c r="AW423" i="1"/>
  <c r="HZ421" i="1"/>
  <c r="CS418" i="1"/>
  <c r="CS403" i="1"/>
  <c r="HU406" i="1"/>
  <c r="JP399" i="1"/>
  <c r="DV394" i="1"/>
  <c r="MP399" i="1"/>
  <c r="HS403" i="1"/>
  <c r="BG401" i="1"/>
  <c r="KI402" i="1"/>
  <c r="HE401" i="1"/>
  <c r="FM398" i="1"/>
  <c r="DK400" i="1"/>
  <c r="CS427" i="1"/>
  <c r="FO398" i="1"/>
  <c r="DK407" i="1"/>
  <c r="DW419" i="1"/>
  <c r="GE412" i="1"/>
  <c r="MH410" i="1"/>
  <c r="IN403" i="1"/>
  <c r="LJ426" i="1"/>
  <c r="IN416" i="1"/>
  <c r="JX413" i="1"/>
  <c r="KC410" i="1"/>
  <c r="JC415" i="1"/>
  <c r="GL428" i="1"/>
  <c r="GM409" i="1"/>
  <c r="BL402" i="1"/>
  <c r="GQ403" i="1"/>
  <c r="HH412" i="1"/>
  <c r="GA417" i="1"/>
  <c r="FT409" i="1"/>
  <c r="JI426" i="1"/>
  <c r="DB420" i="1"/>
  <c r="MK415" i="1"/>
  <c r="EX416" i="1"/>
  <c r="JK399" i="1"/>
  <c r="KH403" i="1"/>
  <c r="FE396" i="1"/>
  <c r="NE411" i="1"/>
  <c r="GL421" i="1"/>
  <c r="BJ394" i="1"/>
  <c r="BU398" i="1"/>
  <c r="BX428" i="1"/>
  <c r="JN399" i="1"/>
  <c r="LO409" i="1"/>
  <c r="LS420" i="1"/>
  <c r="IT401" i="1"/>
  <c r="GJ422" i="1"/>
  <c r="MM413" i="1"/>
  <c r="FV398" i="1"/>
  <c r="FO417" i="1"/>
  <c r="JE400" i="1"/>
  <c r="IA416" i="1"/>
  <c r="IV409" i="1"/>
  <c r="JA410" i="1"/>
  <c r="BN404" i="1"/>
  <c r="BI412" i="1"/>
  <c r="ME408" i="1"/>
  <c r="CL422" i="1"/>
  <c r="EG398" i="1"/>
  <c r="EU427" i="1"/>
  <c r="GE423" i="1"/>
  <c r="CR399" i="1"/>
  <c r="NE403" i="1"/>
  <c r="DZ398" i="1"/>
  <c r="EA397" i="1"/>
  <c r="JU417" i="1"/>
  <c r="JO401" i="1"/>
  <c r="DF425" i="1"/>
  <c r="HY426" i="1"/>
  <c r="CE417" i="1"/>
  <c r="FN400" i="1"/>
  <c r="JD423" i="1"/>
  <c r="JL417" i="1"/>
  <c r="HT427" i="1"/>
  <c r="JC407" i="1"/>
  <c r="DT401" i="1"/>
  <c r="FC404" i="1"/>
  <c r="DI396" i="1"/>
  <c r="IV396" i="1"/>
  <c r="DO401" i="1"/>
  <c r="CI403" i="1"/>
  <c r="JN402" i="1"/>
  <c r="CD424" i="1"/>
  <c r="DM402" i="1"/>
  <c r="KK426" i="1"/>
  <c r="CU425" i="1"/>
  <c r="HF400" i="1"/>
  <c r="ML416" i="1"/>
  <c r="IV416" i="1"/>
  <c r="BN413" i="1"/>
  <c r="FG403" i="1"/>
  <c r="JN407" i="1"/>
  <c r="IW417" i="1"/>
  <c r="LU396" i="1"/>
  <c r="CU394" i="1"/>
  <c r="CU406" i="1"/>
  <c r="MK418" i="1"/>
  <c r="IA406" i="1"/>
  <c r="HE395" i="1"/>
  <c r="IN408" i="1"/>
  <c r="NE401" i="1"/>
  <c r="IU416" i="1"/>
  <c r="FN408" i="1"/>
  <c r="BK410" i="1"/>
  <c r="KC412" i="1"/>
  <c r="LU416" i="1"/>
  <c r="JR396" i="1"/>
  <c r="CJ426" i="1"/>
  <c r="IH406" i="1"/>
  <c r="HZ404" i="1"/>
  <c r="JE408" i="1"/>
  <c r="CW421" i="1"/>
  <c r="CH409" i="1"/>
  <c r="DJ418" i="1"/>
  <c r="CL412" i="1"/>
  <c r="GF394" i="1"/>
  <c r="KX409" i="1"/>
  <c r="EX409" i="1"/>
  <c r="KZ428" i="1"/>
  <c r="HF398" i="1"/>
  <c r="GM426" i="1"/>
  <c r="CA427" i="1"/>
  <c r="DB425" i="1"/>
  <c r="MT416" i="1"/>
  <c r="BN398" i="1"/>
  <c r="KG416" i="1"/>
  <c r="DD408" i="1"/>
  <c r="GE418" i="1"/>
  <c r="KB424" i="1"/>
  <c r="JO400" i="1"/>
  <c r="IW395" i="1"/>
  <c r="EP425" i="1"/>
  <c r="KG415" i="1"/>
  <c r="GT416" i="1"/>
  <c r="FC416" i="1"/>
  <c r="LL403" i="1"/>
  <c r="MC402" i="1"/>
  <c r="FQ410" i="1"/>
  <c r="MW422" i="1"/>
  <c r="CW397" i="1"/>
  <c r="DN403" i="1"/>
  <c r="KQ408" i="1"/>
  <c r="LL406" i="1"/>
  <c r="BM414" i="1"/>
  <c r="LT422" i="1"/>
  <c r="LN397" i="1"/>
  <c r="BU409" i="1"/>
  <c r="MB410" i="1"/>
  <c r="IU397" i="1"/>
  <c r="HW409" i="1"/>
  <c r="CO401" i="1"/>
  <c r="EQ418" i="1"/>
  <c r="BK395" i="1"/>
  <c r="GA420" i="1"/>
  <c r="JP398" i="1"/>
  <c r="DX420" i="1"/>
  <c r="KS406" i="1"/>
  <c r="BV404" i="1"/>
  <c r="LT413" i="1"/>
  <c r="KG425" i="1"/>
  <c r="GR398" i="1"/>
  <c r="GN395" i="1"/>
  <c r="HH394" i="1"/>
  <c r="KA413" i="1"/>
  <c r="LU411" i="1"/>
  <c r="JD413" i="1"/>
  <c r="CI428" i="1"/>
  <c r="MU411" i="1"/>
  <c r="IX401" i="1"/>
  <c r="AT427" i="1"/>
  <c r="BN428" i="1"/>
  <c r="GE419" i="1"/>
  <c r="LB427" i="1"/>
  <c r="AT404" i="1"/>
  <c r="DU425" i="1"/>
  <c r="BN411" i="1"/>
  <c r="LS428" i="1"/>
  <c r="GF427" i="1"/>
  <c r="HY420" i="1"/>
  <c r="BW408" i="1"/>
  <c r="FQ414" i="1"/>
  <c r="CZ394" i="1"/>
  <c r="FM413" i="1"/>
  <c r="NE420" i="1"/>
  <c r="KH395" i="1"/>
  <c r="DD404" i="1"/>
  <c r="DW397" i="1"/>
  <c r="FL408" i="1"/>
  <c r="MK416" i="1"/>
  <c r="DV397" i="1"/>
  <c r="GF416" i="1"/>
  <c r="IP412" i="1"/>
  <c r="JE420" i="1"/>
  <c r="LW420" i="1"/>
  <c r="DB408" i="1"/>
  <c r="BU395" i="1"/>
  <c r="JV419" i="1"/>
  <c r="JN410" i="1"/>
  <c r="JV413" i="1"/>
  <c r="II424" i="1"/>
  <c r="AU402" i="1"/>
  <c r="CM403" i="1"/>
  <c r="ML409" i="1"/>
  <c r="LQ421" i="1"/>
  <c r="DP416" i="1"/>
  <c r="EY412" i="1"/>
  <c r="DC420" i="1"/>
  <c r="BN420" i="1"/>
  <c r="FC407" i="1"/>
  <c r="GG411" i="1"/>
  <c r="KC427" i="1"/>
  <c r="MD415" i="1"/>
  <c r="JU418" i="1"/>
  <c r="IO398" i="1"/>
  <c r="EC396" i="1"/>
  <c r="LT398" i="1"/>
  <c r="AS409" i="1"/>
  <c r="BH408" i="1"/>
  <c r="LW409" i="1"/>
  <c r="NB419" i="1"/>
  <c r="LB428" i="1"/>
  <c r="LE420" i="1"/>
  <c r="BF398" i="1"/>
  <c r="GE397" i="1"/>
  <c r="KH428" i="1"/>
  <c r="EX403" i="1"/>
  <c r="MD417" i="1"/>
  <c r="IL408" i="1"/>
  <c r="KN416" i="1"/>
  <c r="FU407" i="1"/>
  <c r="MU425" i="1"/>
  <c r="DG416" i="1"/>
  <c r="GD425" i="1"/>
  <c r="FP400" i="1"/>
  <c r="BZ408" i="1"/>
  <c r="FR406" i="1"/>
  <c r="MY412" i="1"/>
  <c r="CE399" i="1"/>
  <c r="IX424" i="1"/>
  <c r="ES428" i="1"/>
  <c r="EG399" i="1"/>
  <c r="JW424" i="1"/>
  <c r="DU406" i="1"/>
  <c r="AV417" i="1"/>
  <c r="EJ404" i="1"/>
  <c r="IV426" i="1"/>
  <c r="KD402" i="1"/>
  <c r="GU422" i="1"/>
  <c r="GC396" i="1"/>
  <c r="IW406" i="1"/>
  <c r="FU427" i="1"/>
  <c r="KY421" i="1"/>
  <c r="JV401" i="1"/>
  <c r="MI407" i="1"/>
  <c r="JX406" i="1"/>
  <c r="LQ410" i="1"/>
  <c r="DH416" i="1"/>
  <c r="GH421" i="1"/>
  <c r="JR428" i="1"/>
  <c r="MP417" i="1"/>
  <c r="HY406" i="1"/>
  <c r="KY404" i="1"/>
  <c r="BZ427" i="1"/>
  <c r="FW417" i="1"/>
  <c r="FG415" i="1"/>
  <c r="MG423" i="1"/>
  <c r="KE400" i="1"/>
  <c r="KY407" i="1"/>
  <c r="GU400" i="1"/>
  <c r="KJ421" i="1"/>
  <c r="IJ418" i="1"/>
  <c r="ET426" i="1"/>
  <c r="CI418" i="1"/>
  <c r="DY394" i="1"/>
  <c r="CO428" i="1"/>
  <c r="BL414" i="1"/>
  <c r="LE404" i="1"/>
  <c r="MX416" i="1"/>
  <c r="KR422" i="1"/>
  <c r="HX424" i="1"/>
  <c r="CY426" i="1"/>
  <c r="FX397" i="1"/>
  <c r="KM423" i="1"/>
  <c r="JA396" i="1"/>
  <c r="FR396" i="1"/>
  <c r="HX422" i="1"/>
  <c r="HU412" i="1"/>
  <c r="HI423" i="1"/>
  <c r="GT406" i="1"/>
  <c r="MI411" i="1"/>
  <c r="MT419" i="1"/>
  <c r="FL418" i="1"/>
  <c r="LT423" i="1"/>
  <c r="KZ401" i="1"/>
  <c r="BV402" i="1"/>
  <c r="HZ413" i="1"/>
  <c r="LA395" i="1"/>
  <c r="CC409" i="1"/>
  <c r="HZ398" i="1"/>
  <c r="LT397" i="1"/>
  <c r="JV394" i="1"/>
  <c r="FO425" i="1"/>
  <c r="LR408" i="1"/>
  <c r="MC422" i="1"/>
  <c r="CC419" i="1"/>
  <c r="KR426" i="1"/>
  <c r="DM416" i="1"/>
  <c r="JV406" i="1"/>
  <c r="CL397" i="1"/>
  <c r="EN394" i="1"/>
  <c r="KB400" i="1"/>
  <c r="DL424" i="1"/>
  <c r="CS424" i="1"/>
  <c r="JQ413" i="1"/>
  <c r="JW425" i="1"/>
  <c r="BV410" i="1"/>
  <c r="FT396" i="1"/>
  <c r="FX412" i="1"/>
  <c r="BY412" i="1"/>
  <c r="LH407" i="1"/>
  <c r="FF395" i="1"/>
  <c r="BO407" i="1"/>
  <c r="DN416" i="1"/>
  <c r="DQ399" i="1"/>
  <c r="HH395" i="1"/>
  <c r="MX409" i="1"/>
  <c r="GH410" i="1"/>
  <c r="FS411" i="1"/>
  <c r="KY411" i="1"/>
  <c r="FV424" i="1"/>
  <c r="KP412" i="1"/>
  <c r="EJ409" i="1"/>
  <c r="GG424" i="1"/>
  <c r="IK397" i="1"/>
  <c r="LW421" i="1"/>
  <c r="MM398" i="1"/>
  <c r="GR422" i="1"/>
  <c r="DA428" i="1"/>
  <c r="EP416" i="1"/>
  <c r="DG398" i="1"/>
  <c r="JI415" i="1"/>
  <c r="MW423" i="1"/>
  <c r="CO407" i="1"/>
  <c r="CJ408" i="1"/>
  <c r="EQ402" i="1"/>
  <c r="FM409" i="1"/>
  <c r="BV398" i="1"/>
  <c r="KH410" i="1"/>
  <c r="MP418" i="1"/>
  <c r="MF425" i="1"/>
  <c r="HU419" i="1"/>
  <c r="KC394" i="1"/>
  <c r="EQ394" i="1"/>
  <c r="EY402" i="1"/>
  <c r="HG404" i="1"/>
  <c r="FY428" i="1"/>
  <c r="IH399" i="1"/>
  <c r="HT418" i="1"/>
  <c r="KM411" i="1"/>
  <c r="DA419" i="1"/>
  <c r="FG413" i="1"/>
  <c r="HG416" i="1"/>
  <c r="FX420" i="1"/>
  <c r="DN423" i="1"/>
  <c r="GQ428" i="1"/>
  <c r="DX424" i="1"/>
  <c r="FU412" i="1"/>
  <c r="LS427" i="1"/>
  <c r="GK409" i="1"/>
  <c r="HF413" i="1"/>
  <c r="HE418" i="1"/>
  <c r="EI401" i="1"/>
  <c r="FN406" i="1"/>
  <c r="JM409" i="1"/>
  <c r="LE398" i="1"/>
  <c r="GR406" i="1"/>
  <c r="DR417" i="1"/>
  <c r="LL404" i="1"/>
  <c r="GA399" i="1"/>
  <c r="EP402" i="1"/>
  <c r="FK422" i="1"/>
  <c r="MP413" i="1"/>
  <c r="HH410" i="1"/>
  <c r="CR426" i="1"/>
  <c r="FX428" i="1"/>
  <c r="CX399" i="1"/>
  <c r="FT395" i="1"/>
  <c r="IM422" i="1"/>
  <c r="FN414" i="1"/>
  <c r="KV423" i="1"/>
  <c r="JI411" i="1"/>
  <c r="KM414" i="1"/>
  <c r="IA400" i="1"/>
  <c r="FJ427" i="1"/>
  <c r="DK406" i="1"/>
  <c r="CN407" i="1"/>
  <c r="JC423" i="1"/>
  <c r="DC412" i="1"/>
  <c r="EE421" i="1"/>
  <c r="IL427" i="1"/>
  <c r="GO415" i="1"/>
  <c r="CQ422" i="1"/>
  <c r="GP408" i="1"/>
  <c r="CL404" i="1"/>
  <c r="IG408" i="1"/>
  <c r="DF407" i="1"/>
  <c r="EB394" i="1"/>
  <c r="JD426" i="1"/>
  <c r="MU423" i="1"/>
  <c r="ER412" i="1"/>
  <c r="DA421" i="1"/>
  <c r="ML411" i="1"/>
  <c r="HS401" i="1"/>
  <c r="FS420" i="1"/>
  <c r="CD397" i="1"/>
  <c r="JA424" i="1"/>
  <c r="JQ420" i="1"/>
  <c r="KS403" i="1"/>
  <c r="AS403" i="1"/>
  <c r="JJ401" i="1"/>
  <c r="DX406" i="1"/>
  <c r="CR395" i="1"/>
  <c r="LK424" i="1"/>
  <c r="II400" i="1"/>
  <c r="GC420" i="1"/>
  <c r="LG413" i="1"/>
  <c r="NB406" i="1"/>
  <c r="HV409" i="1"/>
  <c r="MI409" i="1"/>
  <c r="ER401" i="1"/>
  <c r="DO406" i="1"/>
  <c r="MB400" i="1"/>
  <c r="KM410" i="1"/>
  <c r="HV421" i="1"/>
  <c r="MF416" i="1"/>
  <c r="EJ401" i="1"/>
  <c r="JY399" i="1"/>
  <c r="CT395" i="1"/>
  <c r="CA411" i="1"/>
  <c r="CX410" i="1"/>
  <c r="CO426" i="1"/>
  <c r="JV421" i="1"/>
  <c r="IV412" i="1"/>
  <c r="FO418" i="1"/>
  <c r="EX407" i="1"/>
  <c r="JY397" i="1"/>
  <c r="JX396" i="1"/>
  <c r="KN394" i="1"/>
  <c r="GE409" i="1"/>
  <c r="DD416" i="1"/>
  <c r="BJ415" i="1"/>
  <c r="KS395" i="1"/>
  <c r="GH399" i="1"/>
  <c r="BY424" i="1"/>
  <c r="BU423" i="1"/>
  <c r="BH414" i="1"/>
  <c r="CL428" i="1"/>
  <c r="DW410" i="1"/>
  <c r="HH419" i="1"/>
  <c r="LI421" i="1"/>
  <c r="FR421" i="1"/>
  <c r="HH397" i="1"/>
  <c r="DC394" i="1"/>
  <c r="KJ424" i="1"/>
  <c r="MT427" i="1"/>
  <c r="MQ406" i="1"/>
  <c r="JS428" i="1"/>
  <c r="EQ399" i="1"/>
  <c r="HV403" i="1"/>
  <c r="ME394" i="1"/>
  <c r="II394" i="1"/>
  <c r="DY425" i="1"/>
  <c r="KR421" i="1"/>
  <c r="ME401" i="1"/>
  <c r="JU421" i="1"/>
  <c r="CY412" i="1"/>
  <c r="EJ421" i="1"/>
  <c r="HI395" i="1"/>
  <c r="FT415" i="1"/>
  <c r="FM406" i="1"/>
  <c r="DZ427" i="1"/>
  <c r="KZ427" i="1"/>
  <c r="KF395" i="1"/>
  <c r="EA413" i="1"/>
  <c r="DT403" i="1"/>
  <c r="DW400" i="1"/>
  <c r="GR413" i="1"/>
  <c r="JQ395" i="1"/>
  <c r="MB426" i="1"/>
  <c r="EL420" i="1"/>
  <c r="MJ426" i="1"/>
  <c r="KE401" i="1"/>
  <c r="CP406" i="1"/>
  <c r="FA426" i="1"/>
  <c r="JV422" i="1"/>
  <c r="JI408" i="1"/>
  <c r="GQ423" i="1"/>
  <c r="KL407" i="1"/>
  <c r="HH409" i="1"/>
  <c r="JD420" i="1"/>
  <c r="LW398" i="1"/>
  <c r="FU395" i="1"/>
  <c r="CS425" i="1"/>
  <c r="LV424" i="1"/>
  <c r="JB424" i="1"/>
  <c r="IQ407" i="1"/>
  <c r="MP423" i="1"/>
  <c r="AV411" i="1"/>
  <c r="BG398" i="1"/>
  <c r="ML403" i="1"/>
  <c r="CC418" i="1"/>
  <c r="JE406" i="1"/>
  <c r="EI411" i="1"/>
  <c r="JR427" i="1"/>
  <c r="EC415" i="1"/>
  <c r="KN415" i="1"/>
  <c r="JN414" i="1"/>
  <c r="AR403" i="1"/>
  <c r="LU400" i="1"/>
  <c r="EW400" i="1"/>
  <c r="IU410" i="1"/>
  <c r="HF419" i="1"/>
  <c r="LV418" i="1"/>
  <c r="JP409" i="1"/>
  <c r="GU419" i="1"/>
  <c r="AT402" i="1"/>
  <c r="JF424" i="1"/>
  <c r="MI404" i="1"/>
  <c r="ER394" i="1"/>
  <c r="DH423" i="1"/>
  <c r="CD402" i="1"/>
  <c r="BN418" i="1"/>
  <c r="FY400" i="1"/>
  <c r="JX418" i="1"/>
  <c r="LY427" i="1"/>
  <c r="BI400" i="1"/>
  <c r="ML423" i="1"/>
  <c r="CP398" i="1"/>
  <c r="EY403" i="1"/>
  <c r="IZ403" i="1"/>
  <c r="AW410" i="1"/>
  <c r="CD418" i="1"/>
  <c r="HV401" i="1"/>
  <c r="GR401" i="1"/>
  <c r="GO402" i="1"/>
  <c r="EV425" i="1"/>
  <c r="LD412" i="1"/>
  <c r="BH399" i="1"/>
  <c r="FL426" i="1"/>
  <c r="LA421" i="1"/>
  <c r="LK427" i="1"/>
  <c r="DC417" i="1"/>
  <c r="LR419" i="1"/>
  <c r="DI428" i="1"/>
  <c r="JW419" i="1"/>
  <c r="DO427" i="1"/>
  <c r="CX396" i="1"/>
  <c r="DN395" i="1"/>
  <c r="KC426" i="1"/>
  <c r="MT418" i="1"/>
  <c r="JL408" i="1"/>
  <c r="CZ397" i="1"/>
  <c r="DI420" i="1"/>
  <c r="GI395" i="1"/>
  <c r="CI408" i="1"/>
  <c r="CC421" i="1"/>
  <c r="LE397" i="1"/>
  <c r="KY419" i="1"/>
  <c r="AU415" i="1"/>
  <c r="FO394" i="1"/>
  <c r="CO424" i="1"/>
  <c r="MB394" i="1"/>
  <c r="MQ415" i="1"/>
  <c r="JG422" i="1"/>
  <c r="FR407" i="1"/>
  <c r="JW417" i="1"/>
  <c r="NB412" i="1"/>
  <c r="JX422" i="1"/>
  <c r="KS420" i="1"/>
  <c r="LD414" i="1"/>
  <c r="CX422" i="1"/>
  <c r="KK420" i="1"/>
  <c r="GT423" i="1"/>
  <c r="MI422" i="1"/>
  <c r="BX396" i="1"/>
  <c r="AW420" i="1"/>
  <c r="FF421" i="1"/>
  <c r="GA422" i="1"/>
  <c r="JC411" i="1"/>
  <c r="BL416" i="1"/>
  <c r="EG417" i="1"/>
  <c r="JR415" i="1"/>
  <c r="BH418" i="1"/>
  <c r="GE408" i="1"/>
  <c r="JY398" i="1"/>
  <c r="LA401" i="1"/>
  <c r="CL403" i="1"/>
  <c r="KD396" i="1"/>
  <c r="CT408" i="1"/>
  <c r="CW408" i="1"/>
  <c r="KK402" i="1"/>
  <c r="GU406" i="1"/>
  <c r="EL421" i="1"/>
  <c r="FP421" i="1"/>
  <c r="FQ424" i="1"/>
  <c r="DH409" i="1"/>
  <c r="BV416" i="1"/>
  <c r="KD428" i="1"/>
  <c r="EB403" i="1"/>
  <c r="FD406" i="1"/>
  <c r="FQ409" i="1"/>
  <c r="CL401" i="1"/>
  <c r="KR398" i="1"/>
  <c r="FD427" i="1"/>
  <c r="DN415" i="1"/>
  <c r="EB416" i="1"/>
  <c r="JE418" i="1"/>
  <c r="DJ413" i="1"/>
  <c r="JU412" i="1"/>
  <c r="BZ428" i="1"/>
  <c r="MI396" i="1"/>
  <c r="CJ421" i="1"/>
  <c r="MM420" i="1"/>
  <c r="CM416" i="1"/>
  <c r="FG410" i="1"/>
  <c r="FT419" i="1"/>
  <c r="MZ397" i="1"/>
  <c r="LM413" i="1"/>
  <c r="KX419" i="1"/>
  <c r="NC417" i="1"/>
  <c r="NE409" i="1"/>
  <c r="GO397" i="1"/>
  <c r="DU394" i="1"/>
  <c r="MF421" i="1"/>
  <c r="NE423" i="1"/>
  <c r="IM416" i="1"/>
  <c r="KB414" i="1"/>
  <c r="LA406" i="1"/>
  <c r="DU413" i="1"/>
  <c r="JK423" i="1"/>
  <c r="IY419" i="1"/>
  <c r="HS424" i="1"/>
  <c r="HE400" i="1"/>
  <c r="CM408" i="1"/>
  <c r="LH394" i="1"/>
  <c r="DM412" i="1"/>
  <c r="KC416" i="1"/>
  <c r="CI427" i="1"/>
  <c r="GN421" i="1"/>
  <c r="GG423" i="1"/>
  <c r="KZ414" i="1"/>
  <c r="HV416" i="1"/>
  <c r="IP417" i="1"/>
  <c r="JO420" i="1"/>
  <c r="CN406" i="1"/>
  <c r="KK397" i="1"/>
  <c r="CH416" i="1"/>
  <c r="KZ415" i="1"/>
  <c r="CE419" i="1"/>
  <c r="FB424" i="1"/>
  <c r="JZ415" i="1"/>
  <c r="FT420" i="1"/>
  <c r="HZ408" i="1"/>
  <c r="BZ399" i="1"/>
  <c r="CV416" i="1"/>
  <c r="BF420" i="1"/>
  <c r="IW426" i="1"/>
  <c r="LX418" i="1"/>
  <c r="BK427" i="1"/>
  <c r="GG420" i="1"/>
  <c r="GQ421" i="1"/>
  <c r="IJ422" i="1"/>
  <c r="MV428" i="1"/>
  <c r="GT428" i="1"/>
  <c r="ED409" i="1"/>
  <c r="HR428" i="1"/>
  <c r="DV404" i="1"/>
  <c r="FE421" i="1"/>
  <c r="BY419" i="1"/>
  <c r="DN425" i="1"/>
  <c r="DF395" i="1"/>
  <c r="CP418" i="1"/>
  <c r="MQ397" i="1"/>
  <c r="HV397" i="1"/>
  <c r="JA400" i="1"/>
  <c r="LC412" i="1"/>
  <c r="IW419" i="1"/>
  <c r="FM414" i="1"/>
  <c r="GE402" i="1"/>
  <c r="BY397" i="1"/>
  <c r="KS414" i="1"/>
  <c r="CQ399" i="1"/>
  <c r="DH399" i="1"/>
  <c r="KV394" i="1"/>
  <c r="FM421" i="1"/>
  <c r="EG395" i="1"/>
  <c r="EG413" i="1"/>
  <c r="LX416" i="1"/>
  <c r="JR421" i="1"/>
  <c r="BY417" i="1"/>
  <c r="FF412" i="1"/>
  <c r="CL395" i="1"/>
  <c r="GJ415" i="1"/>
  <c r="CC404" i="1"/>
  <c r="DY413" i="1"/>
  <c r="DL420" i="1"/>
  <c r="MK411" i="1"/>
  <c r="MO406" i="1"/>
  <c r="EL407" i="1"/>
  <c r="DW416" i="1"/>
  <c r="FD409" i="1"/>
  <c r="CT394" i="1"/>
  <c r="FO397" i="1"/>
  <c r="GG415" i="1"/>
  <c r="IM409" i="1"/>
  <c r="MT411" i="1"/>
  <c r="ND415" i="1"/>
  <c r="CI397" i="1"/>
  <c r="GE414" i="1"/>
  <c r="IK406" i="1"/>
  <c r="JV396" i="1"/>
  <c r="HT401" i="1"/>
  <c r="BV407" i="1"/>
  <c r="LL426" i="1"/>
  <c r="CR422" i="1"/>
  <c r="ET420" i="1"/>
  <c r="NC398" i="1"/>
  <c r="CC399" i="1"/>
  <c r="JA401" i="1"/>
  <c r="IJ412" i="1"/>
  <c r="LW427" i="1"/>
  <c r="IW414" i="1"/>
  <c r="BI402" i="1"/>
  <c r="IU404" i="1"/>
  <c r="JN394" i="1"/>
  <c r="MI418" i="1"/>
  <c r="CN413" i="1"/>
  <c r="HG401" i="1"/>
  <c r="GI409" i="1"/>
  <c r="EG409" i="1"/>
  <c r="EA402" i="1"/>
  <c r="JF395" i="1"/>
  <c r="JJ398" i="1"/>
  <c r="EI418" i="1"/>
  <c r="LM425" i="1"/>
  <c r="IQ406" i="1"/>
  <c r="DP417" i="1"/>
  <c r="DZ403" i="1"/>
  <c r="IJ413" i="1"/>
  <c r="MG413" i="1"/>
  <c r="BM402" i="1"/>
  <c r="DN410" i="1"/>
  <c r="FR419" i="1"/>
  <c r="GR415" i="1"/>
  <c r="BX419" i="1"/>
  <c r="EM424" i="1"/>
  <c r="NB404" i="1"/>
  <c r="ML402" i="1"/>
  <c r="CS408" i="1"/>
  <c r="EK396" i="1"/>
  <c r="KY414" i="1"/>
  <c r="JM403" i="1"/>
  <c r="JN428" i="1"/>
  <c r="EY408" i="1"/>
  <c r="ED419" i="1"/>
  <c r="GM404" i="1"/>
  <c r="JT407" i="1"/>
  <c r="IK403" i="1"/>
  <c r="EP396" i="1"/>
  <c r="LI416" i="1"/>
  <c r="FS406" i="1"/>
  <c r="HI410" i="1"/>
  <c r="EY409" i="1"/>
  <c r="DE424" i="1"/>
  <c r="FO412" i="1"/>
  <c r="IU423" i="1"/>
  <c r="BF421" i="1"/>
  <c r="GL419" i="1"/>
  <c r="HT396" i="1"/>
  <c r="JZ422" i="1"/>
  <c r="CY399" i="1"/>
  <c r="FO415" i="1"/>
  <c r="JS406" i="1"/>
  <c r="LZ410" i="1"/>
  <c r="KK415" i="1"/>
  <c r="CA398" i="1"/>
  <c r="CB425" i="1"/>
  <c r="EL406" i="1"/>
  <c r="JF413" i="1"/>
  <c r="KZ426" i="1"/>
  <c r="HI419" i="1"/>
  <c r="MM422" i="1"/>
  <c r="KW425" i="1"/>
  <c r="KP423" i="1"/>
  <c r="MG419" i="1"/>
  <c r="EU421" i="1"/>
  <c r="HT406" i="1"/>
  <c r="CA422" i="1"/>
  <c r="CE401" i="1"/>
  <c r="MV411" i="1"/>
  <c r="KQ398" i="1"/>
  <c r="KI416" i="1"/>
  <c r="GU418" i="1"/>
  <c r="EO414" i="1"/>
  <c r="MJ417" i="1"/>
  <c r="DH397" i="1"/>
  <c r="HI394" i="1"/>
  <c r="KF402" i="1"/>
  <c r="EX410" i="1"/>
  <c r="HX398" i="1"/>
  <c r="FB402" i="1"/>
  <c r="GA416" i="1"/>
  <c r="BX408" i="1"/>
  <c r="CM411" i="1"/>
  <c r="FT410" i="1"/>
  <c r="LN413" i="1"/>
  <c r="DO422" i="1"/>
  <c r="DJ406" i="1"/>
  <c r="ME402" i="1"/>
  <c r="FK425" i="1"/>
  <c r="HI400" i="1"/>
  <c r="LB397" i="1"/>
  <c r="DC402" i="1"/>
  <c r="HU408" i="1"/>
  <c r="LE412" i="1"/>
  <c r="FC394" i="1"/>
  <c r="MB417" i="1"/>
  <c r="CZ412" i="1"/>
  <c r="AU409" i="1"/>
  <c r="EJ420" i="1"/>
  <c r="JQ403" i="1"/>
  <c r="KZ423" i="1"/>
  <c r="ED402" i="1"/>
  <c r="DU407" i="1"/>
  <c r="CP395" i="1"/>
  <c r="IF398" i="1"/>
  <c r="BM424" i="1"/>
  <c r="IH422" i="1"/>
  <c r="KK410" i="1"/>
  <c r="KT422" i="1"/>
  <c r="LD407" i="1"/>
  <c r="MF402" i="1"/>
  <c r="JZ423" i="1"/>
  <c r="HE397" i="1"/>
  <c r="MV417" i="1"/>
  <c r="EG418" i="1"/>
  <c r="KH415" i="1"/>
  <c r="CX423" i="1"/>
  <c r="FQ419" i="1"/>
  <c r="KA427" i="1"/>
  <c r="JD403" i="1"/>
  <c r="CM421" i="1"/>
  <c r="GP399" i="1"/>
  <c r="DG418" i="1"/>
  <c r="CQ401" i="1"/>
  <c r="GJ395" i="1"/>
  <c r="KF419" i="1"/>
  <c r="LZ402" i="1"/>
  <c r="JP411" i="1"/>
  <c r="JT424" i="1"/>
  <c r="CS398" i="1"/>
  <c r="FW415" i="1"/>
  <c r="BV409" i="1"/>
  <c r="EL423" i="1"/>
  <c r="KQ409" i="1"/>
  <c r="CC415" i="1"/>
  <c r="EC394" i="1"/>
  <c r="CS426" i="1"/>
  <c r="GJ420" i="1"/>
  <c r="AW412" i="1"/>
  <c r="NE396" i="1"/>
  <c r="AU413" i="1"/>
  <c r="BN425" i="1"/>
  <c r="DO404" i="1"/>
  <c r="JO413" i="1"/>
  <c r="MQ420" i="1"/>
  <c r="IO422" i="1"/>
  <c r="DF412" i="1"/>
  <c r="MC413" i="1"/>
  <c r="IK408" i="1"/>
  <c r="CI423" i="1"/>
  <c r="MJ412" i="1"/>
  <c r="HX412" i="1"/>
  <c r="ES422" i="1"/>
  <c r="AT400" i="1"/>
  <c r="GN400" i="1"/>
  <c r="IO396" i="1"/>
  <c r="KC403" i="1"/>
  <c r="AU426" i="1"/>
  <c r="EI410" i="1"/>
  <c r="MY414" i="1"/>
  <c r="JD404" i="1"/>
  <c r="DY424" i="1"/>
  <c r="KR411" i="1"/>
  <c r="ED401" i="1"/>
  <c r="JO424" i="1"/>
  <c r="MM423" i="1"/>
  <c r="FW398" i="1"/>
  <c r="ER414" i="1"/>
  <c r="EF418" i="1"/>
  <c r="LW402" i="1"/>
  <c r="GF406" i="1"/>
  <c r="MP408" i="1"/>
  <c r="GD411" i="1"/>
  <c r="ND423" i="1"/>
  <c r="EH411" i="1"/>
  <c r="MH428" i="1"/>
  <c r="MB398" i="1"/>
  <c r="LZ420" i="1"/>
  <c r="CT400" i="1"/>
  <c r="DM407" i="1"/>
  <c r="AU397" i="1"/>
  <c r="JK417" i="1"/>
  <c r="ML410" i="1"/>
  <c r="LK413" i="1"/>
  <c r="BI420" i="1"/>
  <c r="LU417" i="1"/>
  <c r="MC414" i="1"/>
  <c r="DA397" i="1"/>
  <c r="MG420" i="1"/>
  <c r="EL428" i="1"/>
  <c r="LJ404" i="1"/>
  <c r="CK399" i="1"/>
  <c r="EI425" i="1"/>
  <c r="DR427" i="1"/>
  <c r="EQ400" i="1"/>
  <c r="MW403" i="1"/>
  <c r="AT411" i="1"/>
  <c r="EX408" i="1"/>
  <c r="HY422" i="1"/>
  <c r="MD399" i="1"/>
  <c r="BY398" i="1"/>
  <c r="JN411" i="1"/>
  <c r="KA420" i="1"/>
  <c r="IJ423" i="1"/>
  <c r="AR414" i="1"/>
  <c r="AV400" i="1"/>
  <c r="EA414" i="1"/>
  <c r="DL394" i="1"/>
  <c r="FH400" i="1"/>
  <c r="JN400" i="1"/>
  <c r="FE397" i="1"/>
  <c r="MK426" i="1"/>
  <c r="BH422" i="1"/>
  <c r="CR404" i="1"/>
  <c r="BZ426" i="1"/>
  <c r="EQ428" i="1"/>
  <c r="BF422" i="1"/>
  <c r="IN410" i="1"/>
  <c r="CT396" i="1"/>
  <c r="HT417" i="1"/>
  <c r="FB398" i="1"/>
  <c r="LX417" i="1"/>
  <c r="KH426" i="1"/>
  <c r="IN401" i="1"/>
  <c r="MK399" i="1"/>
  <c r="BW422" i="1"/>
  <c r="IH408" i="1"/>
  <c r="GO424" i="1"/>
  <c r="HY424" i="1"/>
  <c r="JA395" i="1"/>
  <c r="DZ415" i="1"/>
  <c r="BO428" i="1"/>
  <c r="DL398" i="1"/>
  <c r="KH425" i="1"/>
  <c r="LS406" i="1"/>
  <c r="EP427" i="1"/>
  <c r="HH411" i="1"/>
  <c r="EO399" i="1"/>
  <c r="EX425" i="1"/>
  <c r="KF404" i="1"/>
  <c r="LT407" i="1"/>
  <c r="GH395" i="1"/>
  <c r="CU427" i="1"/>
  <c r="FN397" i="1"/>
  <c r="JE423" i="1"/>
  <c r="DL401" i="1"/>
  <c r="CE425" i="1"/>
  <c r="FF417" i="1"/>
  <c r="CM424" i="1"/>
  <c r="MJ402" i="1"/>
  <c r="FR420" i="1"/>
  <c r="EA407" i="1"/>
  <c r="HZ399" i="1"/>
  <c r="BK409" i="1"/>
  <c r="CY424" i="1"/>
  <c r="KQ424" i="1"/>
  <c r="LV410" i="1"/>
  <c r="JR398" i="1"/>
  <c r="BI417" i="1"/>
  <c r="CW424" i="1"/>
  <c r="KC406" i="1"/>
  <c r="FL395" i="1"/>
  <c r="KQ399" i="1"/>
  <c r="HY401" i="1"/>
  <c r="IO400" i="1"/>
  <c r="LR417" i="1"/>
  <c r="EG411" i="1"/>
  <c r="EH418" i="1"/>
  <c r="AT406" i="1"/>
  <c r="EY411" i="1"/>
  <c r="DB404" i="1"/>
  <c r="GF414" i="1"/>
  <c r="GD410" i="1"/>
  <c r="ER422" i="1"/>
  <c r="FT407" i="1"/>
  <c r="MK413" i="1"/>
  <c r="IL402" i="1"/>
  <c r="KI423" i="1"/>
  <c r="EV424" i="1"/>
  <c r="EX394" i="1"/>
  <c r="GE416" i="1"/>
  <c r="HG413" i="1"/>
  <c r="DM411" i="1"/>
  <c r="DF422" i="1"/>
  <c r="BW424" i="1"/>
  <c r="FN419" i="1"/>
  <c r="LO395" i="1"/>
  <c r="DY398" i="1"/>
  <c r="FW401" i="1"/>
  <c r="CY408" i="1"/>
  <c r="FI398" i="1"/>
  <c r="LX398" i="1"/>
  <c r="DJ428" i="1"/>
  <c r="EW413" i="1"/>
  <c r="KW413" i="1"/>
  <c r="KT403" i="1"/>
  <c r="ET404" i="1"/>
  <c r="MU426" i="1"/>
  <c r="KW400" i="1"/>
  <c r="KD394" i="1"/>
  <c r="DI403" i="1"/>
  <c r="EA419" i="1"/>
  <c r="IN421" i="1"/>
  <c r="IX413" i="1"/>
  <c r="CP424" i="1"/>
  <c r="EK395" i="1"/>
  <c r="HU394" i="1"/>
  <c r="KE419" i="1"/>
  <c r="DQ396" i="1"/>
  <c r="GL422" i="1"/>
  <c r="ED407" i="1"/>
  <c r="BZ411" i="1"/>
  <c r="FH426" i="1"/>
  <c r="KR394" i="1"/>
  <c r="DG414" i="1"/>
  <c r="GP424" i="1"/>
  <c r="FQ421" i="1"/>
  <c r="LV428" i="1"/>
  <c r="GJ403" i="1"/>
  <c r="NC422" i="1"/>
  <c r="HT395" i="1"/>
  <c r="EC412" i="1"/>
  <c r="BX395" i="1"/>
  <c r="EV409" i="1"/>
  <c r="LJ410" i="1"/>
  <c r="BX400" i="1"/>
  <c r="GS407" i="1"/>
  <c r="DL412" i="1"/>
  <c r="CQ415" i="1"/>
  <c r="JJ400" i="1"/>
  <c r="HH396" i="1"/>
  <c r="MB419" i="1"/>
  <c r="DV417" i="1"/>
  <c r="EU424" i="1"/>
  <c r="KJ415" i="1"/>
  <c r="JX415" i="1"/>
  <c r="MF413" i="1"/>
  <c r="FR410" i="1"/>
  <c r="ML428" i="1"/>
  <c r="GJ399" i="1"/>
  <c r="DD419" i="1"/>
  <c r="FO426" i="1"/>
  <c r="HF415" i="1"/>
  <c r="BJ410" i="1"/>
  <c r="FZ414" i="1"/>
  <c r="KA417" i="1"/>
  <c r="ND397" i="1"/>
  <c r="EZ408" i="1"/>
  <c r="GA413" i="1"/>
  <c r="KS424" i="1"/>
  <c r="ED397" i="1"/>
  <c r="ER415" i="1"/>
  <c r="KB412" i="1"/>
  <c r="IY416" i="1"/>
  <c r="IO411" i="1"/>
  <c r="DO407" i="1"/>
  <c r="DR412" i="1"/>
  <c r="JE407" i="1"/>
  <c r="CT426" i="1"/>
  <c r="JA403" i="1"/>
  <c r="IU407" i="1"/>
  <c r="GJ412" i="1"/>
  <c r="FL419" i="1"/>
  <c r="GB398" i="1"/>
  <c r="FJ414" i="1"/>
  <c r="BO406" i="1"/>
  <c r="DT419" i="1"/>
  <c r="LM421" i="1"/>
  <c r="FQ402" i="1"/>
  <c r="KN398" i="1"/>
  <c r="KK404" i="1"/>
  <c r="LW401" i="1"/>
  <c r="DJ420" i="1"/>
  <c r="BY396" i="1"/>
  <c r="KU428" i="1"/>
  <c r="FS410" i="1"/>
  <c r="AW408" i="1"/>
  <c r="LY417" i="1"/>
  <c r="KI406" i="1"/>
  <c r="MD408" i="1"/>
  <c r="FU425" i="1"/>
  <c r="LQ400" i="1"/>
  <c r="LU409" i="1"/>
  <c r="KV424" i="1"/>
  <c r="IY408" i="1"/>
  <c r="JU399" i="1"/>
  <c r="GA424" i="1"/>
  <c r="CB395" i="1"/>
  <c r="JA414" i="1"/>
  <c r="CZ423" i="1"/>
  <c r="JV424" i="1"/>
  <c r="GF418" i="1"/>
  <c r="CD421" i="1"/>
  <c r="KG400" i="1"/>
  <c r="CI420" i="1"/>
  <c r="MW394" i="1"/>
  <c r="DT428" i="1"/>
  <c r="CA408" i="1"/>
  <c r="IL395" i="1"/>
  <c r="GQ402" i="1"/>
  <c r="EP406" i="1"/>
  <c r="EE413" i="1"/>
  <c r="HY409" i="1"/>
  <c r="FQ427" i="1"/>
  <c r="CC420" i="1"/>
  <c r="AU395" i="1"/>
  <c r="IT397" i="1"/>
  <c r="IT409" i="1"/>
  <c r="IW416" i="1"/>
  <c r="DS412" i="1"/>
  <c r="DQ408" i="1"/>
  <c r="LN427" i="1"/>
  <c r="LO422" i="1"/>
  <c r="EO422" i="1"/>
  <c r="JG400" i="1"/>
  <c r="BK424" i="1"/>
  <c r="GS408" i="1"/>
  <c r="KF394" i="1"/>
  <c r="DZ422" i="1"/>
  <c r="ES404" i="1"/>
  <c r="IJ410" i="1"/>
  <c r="BJ397" i="1"/>
  <c r="MT409" i="1"/>
  <c r="HS422" i="1"/>
  <c r="ET400" i="1"/>
  <c r="BG419" i="1"/>
  <c r="ET396" i="1"/>
  <c r="BM416" i="1"/>
  <c r="JB425" i="1"/>
  <c r="GL396" i="1"/>
  <c r="BU424" i="1"/>
  <c r="DM425" i="1"/>
  <c r="HY397" i="1"/>
  <c r="DR424" i="1"/>
  <c r="JL421" i="1"/>
  <c r="FR426" i="1"/>
  <c r="GG394" i="1"/>
  <c r="ER424" i="1"/>
  <c r="FA404" i="1"/>
  <c r="MJ425" i="1"/>
  <c r="JU414" i="1"/>
  <c r="GP402" i="1"/>
  <c r="BO396" i="1"/>
  <c r="LN423" i="1"/>
  <c r="LF427" i="1"/>
  <c r="ED406" i="1"/>
  <c r="DB401" i="1"/>
  <c r="MK425" i="1"/>
  <c r="IK428" i="1"/>
  <c r="DI410" i="1"/>
  <c r="CT410" i="1"/>
  <c r="DM428" i="1"/>
  <c r="DL397" i="1"/>
  <c r="FR414" i="1"/>
  <c r="CY401" i="1"/>
  <c r="IQ413" i="1"/>
  <c r="BW421" i="1"/>
  <c r="KG414" i="1"/>
  <c r="HZ424" i="1"/>
  <c r="DR397" i="1"/>
  <c r="FF427" i="1"/>
  <c r="FS418" i="1"/>
  <c r="KF406" i="1"/>
  <c r="EE403" i="1"/>
  <c r="MX418" i="1"/>
  <c r="FK406" i="1"/>
  <c r="EM409" i="1"/>
  <c r="IH400" i="1"/>
  <c r="FP411" i="1"/>
  <c r="CM428" i="1"/>
  <c r="CB416" i="1"/>
  <c r="FY424" i="1"/>
  <c r="GP397" i="1"/>
  <c r="EP401" i="1"/>
  <c r="LF411" i="1"/>
  <c r="IA395" i="1"/>
  <c r="JY419" i="1"/>
  <c r="LA419" i="1"/>
  <c r="FD402" i="1"/>
  <c r="LP408" i="1"/>
  <c r="MM406" i="1"/>
  <c r="DT412" i="1"/>
  <c r="BV424" i="1"/>
  <c r="FX421" i="1"/>
  <c r="CM419" i="1"/>
  <c r="GO399" i="1"/>
  <c r="FH404" i="1"/>
  <c r="EG420" i="1"/>
  <c r="EZ396" i="1"/>
  <c r="IM403" i="1"/>
  <c r="DE406" i="1"/>
  <c r="JN425" i="1"/>
  <c r="AT401" i="1"/>
  <c r="AS404" i="1"/>
  <c r="LC407" i="1"/>
  <c r="CR409" i="1"/>
  <c r="JV414" i="1"/>
  <c r="GK396" i="1"/>
  <c r="MV403" i="1"/>
  <c r="II398" i="1"/>
  <c r="EL416" i="1"/>
  <c r="FC427" i="1"/>
  <c r="ED403" i="1"/>
  <c r="JB410" i="1"/>
  <c r="DA425" i="1"/>
  <c r="FY403" i="1"/>
  <c r="DD409" i="1"/>
  <c r="EY419" i="1"/>
  <c r="CK406" i="1"/>
  <c r="CC396" i="1"/>
  <c r="IV418" i="1"/>
  <c r="LS410" i="1"/>
  <c r="KJ427" i="1"/>
  <c r="JB395" i="1"/>
  <c r="ND428" i="1"/>
  <c r="CJ409" i="1"/>
  <c r="EU422" i="1"/>
  <c r="GC418" i="1"/>
  <c r="KL394" i="1"/>
  <c r="BL415" i="1"/>
  <c r="CR403" i="1"/>
  <c r="CI401" i="1"/>
  <c r="LW415" i="1"/>
  <c r="KF409" i="1"/>
  <c r="MZ422" i="1"/>
  <c r="HW402" i="1"/>
  <c r="FI394" i="1"/>
  <c r="EU415" i="1"/>
  <c r="EP412" i="1"/>
  <c r="JT410" i="1"/>
  <c r="JX397" i="1"/>
  <c r="HI422" i="1"/>
  <c r="JW408" i="1"/>
  <c r="CR394" i="1"/>
  <c r="ES420" i="1"/>
  <c r="BL394" i="1"/>
  <c r="BN409" i="1"/>
  <c r="GQ416" i="1"/>
  <c r="JY427" i="1"/>
  <c r="MO396" i="1"/>
  <c r="BU404" i="1"/>
  <c r="BW417" i="1"/>
  <c r="BM422" i="1"/>
  <c r="CO400" i="1"/>
  <c r="HZ406" i="1"/>
  <c r="JT408" i="1"/>
  <c r="LG403" i="1"/>
  <c r="LY408" i="1"/>
  <c r="JI396" i="1"/>
  <c r="HF425" i="1"/>
  <c r="JR407" i="1"/>
  <c r="JY404" i="1"/>
  <c r="DO415" i="1"/>
  <c r="NA410" i="1"/>
  <c r="KK408" i="1"/>
  <c r="EM427" i="1"/>
  <c r="JF407" i="1"/>
  <c r="CZ400" i="1"/>
  <c r="KH397" i="1"/>
  <c r="KV428" i="1"/>
  <c r="FY413" i="1"/>
  <c r="CP409" i="1"/>
  <c r="KT427" i="1"/>
  <c r="JX410" i="1"/>
  <c r="CB415" i="1"/>
  <c r="IW399" i="1"/>
  <c r="GT411" i="1"/>
  <c r="JD416" i="1"/>
  <c r="HZ409" i="1"/>
  <c r="AT423" i="1"/>
  <c r="HX425" i="1"/>
  <c r="CW428" i="1"/>
  <c r="AW424" i="1"/>
  <c r="LQ402" i="1"/>
  <c r="IF422" i="1"/>
  <c r="IJ403" i="1"/>
  <c r="JY401" i="1"/>
  <c r="FE419" i="1"/>
  <c r="EO423" i="1"/>
  <c r="JW418" i="1"/>
  <c r="EP414" i="1"/>
  <c r="FV409" i="1"/>
  <c r="BT410" i="1"/>
  <c r="LH400" i="1"/>
  <c r="DO413" i="1"/>
  <c r="EF397" i="1"/>
  <c r="DS399" i="1"/>
  <c r="GI397" i="1"/>
  <c r="GI396" i="1"/>
  <c r="BH417" i="1"/>
  <c r="EE414" i="1"/>
  <c r="CW420" i="1"/>
  <c r="GI411" i="1"/>
  <c r="LH408" i="1"/>
  <c r="JS421" i="1"/>
  <c r="FZ409" i="1"/>
  <c r="KZ394" i="1"/>
  <c r="KV403" i="1"/>
  <c r="BX416" i="1"/>
  <c r="GI426" i="1"/>
  <c r="AU419" i="1"/>
  <c r="IO426" i="1"/>
  <c r="DC418" i="1"/>
  <c r="KU411" i="1"/>
  <c r="GN425" i="1"/>
  <c r="FV397" i="1"/>
  <c r="JL400" i="1"/>
  <c r="JF422" i="1"/>
  <c r="EZ411" i="1"/>
  <c r="DS403" i="1"/>
  <c r="MO410" i="1"/>
  <c r="CK415" i="1"/>
  <c r="FZ395" i="1"/>
  <c r="IN414" i="1"/>
  <c r="GH418" i="1"/>
  <c r="LM417" i="1"/>
  <c r="DV420" i="1"/>
  <c r="CY402" i="1"/>
  <c r="FN413" i="1"/>
  <c r="MD395" i="1"/>
  <c r="MT417" i="1"/>
  <c r="JJ402" i="1"/>
  <c r="NB423" i="1"/>
  <c r="CD423" i="1"/>
  <c r="LT414" i="1"/>
  <c r="LM403" i="1"/>
  <c r="FU420" i="1"/>
  <c r="HT399" i="1"/>
  <c r="DN408" i="1"/>
  <c r="EO428" i="1"/>
  <c r="FY411" i="1"/>
  <c r="JP402" i="1"/>
  <c r="DP395" i="1"/>
  <c r="CQ397" i="1"/>
  <c r="FC418" i="1"/>
  <c r="EL410" i="1"/>
  <c r="JF402" i="1"/>
  <c r="DW421" i="1"/>
  <c r="DZ421" i="1"/>
  <c r="KA397" i="1"/>
  <c r="NB422" i="1"/>
  <c r="DK425" i="1"/>
  <c r="LJ403" i="1"/>
  <c r="GS421" i="1"/>
  <c r="EW419" i="1"/>
  <c r="LJ394" i="1"/>
  <c r="JS395" i="1"/>
  <c r="BV415" i="1"/>
  <c r="KG417" i="1"/>
  <c r="HX400" i="1"/>
  <c r="GK419" i="1"/>
  <c r="EX406" i="1"/>
  <c r="ML398" i="1"/>
  <c r="GN404" i="1"/>
  <c r="KK424" i="1"/>
  <c r="GA426" i="1"/>
  <c r="KQ428" i="1"/>
  <c r="MY402" i="1"/>
  <c r="JM418" i="1"/>
  <c r="GD408" i="1"/>
  <c r="FX418" i="1"/>
  <c r="LB407" i="1"/>
  <c r="BV423" i="1"/>
  <c r="GC397" i="1"/>
  <c r="CK410" i="1"/>
  <c r="JL404" i="1"/>
  <c r="KX399" i="1"/>
  <c r="KE415" i="1"/>
  <c r="IG415" i="1"/>
  <c r="MH399" i="1"/>
  <c r="NB416" i="1"/>
  <c r="LA407" i="1"/>
  <c r="LG425" i="1"/>
  <c r="HW400" i="1"/>
  <c r="MA425" i="1"/>
  <c r="KF417" i="1"/>
  <c r="MV407" i="1"/>
  <c r="ES409" i="1"/>
  <c r="LC424" i="1"/>
  <c r="LH418" i="1"/>
  <c r="HW396" i="1"/>
  <c r="IG404" i="1"/>
  <c r="CO399" i="1"/>
  <c r="DM419" i="1"/>
  <c r="MT426" i="1"/>
  <c r="JZ419" i="1"/>
  <c r="FM422" i="1"/>
  <c r="KO410" i="1"/>
  <c r="EC414" i="1"/>
  <c r="CU423" i="1"/>
  <c r="AS410" i="1"/>
  <c r="MZ419" i="1"/>
  <c r="KI403" i="1"/>
  <c r="EX401" i="1"/>
  <c r="DH395" i="1"/>
  <c r="KY420" i="1"/>
  <c r="KE403" i="1"/>
  <c r="JF423" i="1"/>
  <c r="KC415" i="1"/>
  <c r="NE394" i="1"/>
  <c r="BG422" i="1"/>
  <c r="LL421" i="1"/>
  <c r="CQ410" i="1"/>
  <c r="IU394" i="1"/>
  <c r="CB419" i="1"/>
  <c r="KZ398" i="1"/>
  <c r="EO409" i="1"/>
  <c r="MG404" i="1"/>
  <c r="LA427" i="1"/>
  <c r="GI427" i="1"/>
  <c r="FO422" i="1"/>
  <c r="DF397" i="1"/>
  <c r="IJ419" i="1"/>
  <c r="IT423" i="1"/>
  <c r="FN424" i="1"/>
  <c r="KB428" i="1"/>
  <c r="FD407" i="1"/>
  <c r="LK422" i="1"/>
  <c r="LZ408" i="1"/>
  <c r="FF409" i="1"/>
  <c r="MK406" i="1"/>
  <c r="KJ426" i="1"/>
  <c r="DL417" i="1"/>
  <c r="EY406" i="1"/>
  <c r="GF415" i="1"/>
  <c r="KR399" i="1"/>
  <c r="KL403" i="1"/>
  <c r="GT418" i="1"/>
  <c r="FY426" i="1"/>
  <c r="JV397" i="1"/>
  <c r="BW395" i="1"/>
  <c r="JP415" i="1"/>
  <c r="GA402" i="1"/>
  <c r="EO417" i="1"/>
  <c r="KU412" i="1"/>
  <c r="IU421" i="1"/>
  <c r="ES419" i="1"/>
  <c r="CY420" i="1"/>
  <c r="DF416" i="1"/>
  <c r="DY423" i="1"/>
  <c r="LT401" i="1"/>
  <c r="FJ424" i="1"/>
  <c r="HH415" i="1"/>
  <c r="BN400" i="1"/>
  <c r="DZ428" i="1"/>
  <c r="JK398" i="1"/>
  <c r="KF428" i="1"/>
  <c r="EV406" i="1"/>
  <c r="DB398" i="1"/>
  <c r="JD402" i="1"/>
  <c r="EN426" i="1"/>
  <c r="MI394" i="1"/>
  <c r="LN398" i="1"/>
  <c r="CQ424" i="1"/>
  <c r="KX415" i="1"/>
  <c r="MY408" i="1"/>
  <c r="CV413" i="1"/>
  <c r="KT423" i="1"/>
  <c r="MD410" i="1"/>
  <c r="FI400" i="1"/>
  <c r="EE428" i="1"/>
  <c r="ND421" i="1"/>
  <c r="KC423" i="1"/>
  <c r="MZ412" i="1"/>
  <c r="EN411" i="1"/>
  <c r="LW423" i="1"/>
  <c r="KH394" i="1"/>
  <c r="KX422" i="1"/>
  <c r="MY425" i="1"/>
  <c r="JP401" i="1"/>
  <c r="EV422" i="1"/>
  <c r="IL419" i="1"/>
  <c r="DI402" i="1"/>
  <c r="EW402" i="1"/>
  <c r="FI413" i="1"/>
  <c r="KV419" i="1"/>
  <c r="HY403" i="1"/>
  <c r="KC402" i="1"/>
  <c r="DI407" i="1"/>
  <c r="FO395" i="1"/>
  <c r="LM427" i="1"/>
  <c r="HX406" i="1"/>
  <c r="BF400" i="1"/>
  <c r="DJ401" i="1"/>
  <c r="FH410" i="1"/>
  <c r="BI423" i="1"/>
  <c r="BT412" i="1"/>
  <c r="CE423" i="1"/>
  <c r="GM407" i="1"/>
  <c r="IJ416" i="1"/>
  <c r="LU404" i="1"/>
  <c r="LX427" i="1"/>
  <c r="LJ425" i="1"/>
  <c r="FL410" i="1"/>
  <c r="HW406" i="1"/>
  <c r="GU423" i="1"/>
  <c r="DJ412" i="1"/>
  <c r="KB398" i="1"/>
  <c r="MN417" i="1"/>
  <c r="AR408" i="1"/>
  <c r="HY413" i="1"/>
  <c r="BX414" i="1"/>
  <c r="JO428" i="1"/>
  <c r="CP420" i="1"/>
  <c r="EN397" i="1"/>
  <c r="JC403" i="1"/>
  <c r="ED395" i="1"/>
  <c r="FN422" i="1"/>
  <c r="JP412" i="1"/>
  <c r="GO403" i="1"/>
  <c r="JE422" i="1"/>
  <c r="JR402" i="1"/>
  <c r="LO400" i="1"/>
  <c r="FN399" i="1"/>
  <c r="MQ394" i="1"/>
  <c r="CN419" i="1"/>
  <c r="FK423" i="1"/>
  <c r="ET413" i="1"/>
  <c r="HX399" i="1"/>
  <c r="HE394" i="1"/>
  <c r="LD417" i="1"/>
  <c r="KL419" i="1"/>
  <c r="ND403" i="1"/>
  <c r="GR402" i="1"/>
  <c r="FU410" i="1"/>
  <c r="JB426" i="1"/>
  <c r="IW415" i="1"/>
  <c r="FR401" i="1"/>
  <c r="DY410" i="1"/>
  <c r="DQ428" i="1"/>
  <c r="JF426" i="1"/>
  <c r="IK402" i="1"/>
  <c r="LX413" i="1"/>
  <c r="FJ409" i="1"/>
  <c r="GS412" i="1"/>
  <c r="GH409" i="1"/>
  <c r="EU413" i="1"/>
  <c r="BI419" i="1"/>
  <c r="MI417" i="1"/>
  <c r="GT397" i="1"/>
  <c r="IG426" i="1"/>
  <c r="CT423" i="1"/>
  <c r="FW395" i="1"/>
  <c r="EQ412" i="1"/>
  <c r="LO401" i="1"/>
  <c r="FW418" i="1"/>
  <c r="IM425" i="1"/>
  <c r="HX396" i="1"/>
  <c r="KU413" i="1"/>
  <c r="NB400" i="1"/>
  <c r="EM407" i="1"/>
  <c r="JJ419" i="1"/>
  <c r="EC404" i="1"/>
  <c r="FF424" i="1"/>
  <c r="LH397" i="1"/>
  <c r="IN419" i="1"/>
  <c r="KE407" i="1"/>
  <c r="DU403" i="1"/>
  <c r="FQ420" i="1"/>
  <c r="DI401" i="1"/>
  <c r="FS413" i="1"/>
  <c r="FN425" i="1"/>
  <c r="DI406" i="1"/>
  <c r="GU403" i="1"/>
  <c r="JN397" i="1"/>
  <c r="LH402" i="1"/>
  <c r="GK408" i="1"/>
  <c r="FB417" i="1"/>
  <c r="GJ424" i="1"/>
  <c r="CT403" i="1"/>
  <c r="EQ406" i="1"/>
  <c r="DU421" i="1"/>
  <c r="AT419" i="1"/>
  <c r="LI408" i="1"/>
  <c r="JZ417" i="1"/>
  <c r="FU397" i="1"/>
  <c r="GE396" i="1"/>
  <c r="IN400" i="1"/>
  <c r="FP401" i="1"/>
  <c r="JG406" i="1"/>
  <c r="ED416" i="1"/>
  <c r="LA396" i="1"/>
  <c r="JT427" i="1"/>
  <c r="LK426" i="1"/>
  <c r="KD397" i="1"/>
  <c r="EK407" i="1"/>
  <c r="JM419" i="1"/>
  <c r="FP398" i="1"/>
  <c r="IK418" i="1"/>
  <c r="GT412" i="1"/>
  <c r="FZ399" i="1"/>
  <c r="FJ420" i="1"/>
  <c r="CR414" i="1"/>
  <c r="ND395" i="1"/>
  <c r="DZ410" i="1"/>
  <c r="KG394" i="1"/>
  <c r="KB415" i="1"/>
  <c r="MQ395" i="1"/>
  <c r="BL421" i="1"/>
  <c r="KE409" i="1"/>
  <c r="IY422" i="1"/>
  <c r="KD407" i="1"/>
  <c r="IQ411" i="1"/>
  <c r="FI397" i="1"/>
  <c r="GG404" i="1"/>
  <c r="KG398" i="1"/>
  <c r="AW399" i="1"/>
  <c r="HT412" i="1"/>
  <c r="BG416" i="1"/>
  <c r="JI397" i="1"/>
  <c r="HW424" i="1"/>
  <c r="IX403" i="1"/>
  <c r="DC401" i="1"/>
  <c r="FS415" i="1"/>
  <c r="NE416" i="1"/>
  <c r="CX414" i="1"/>
  <c r="JD395" i="1"/>
  <c r="GA400" i="1"/>
  <c r="IY415" i="1"/>
  <c r="GD427" i="1"/>
  <c r="GT424" i="1"/>
  <c r="DR401" i="1"/>
  <c r="KL396" i="1"/>
  <c r="BV419" i="1"/>
  <c r="JM410" i="1"/>
  <c r="GJ396" i="1"/>
  <c r="KG427" i="1"/>
  <c r="LQ404" i="1"/>
  <c r="KI400" i="1"/>
  <c r="EE397" i="1"/>
  <c r="IQ428" i="1"/>
  <c r="KK394" i="1"/>
  <c r="JS394" i="1"/>
  <c r="BO418" i="1"/>
  <c r="GI422" i="1"/>
  <c r="LR422" i="1"/>
  <c r="FF398" i="1"/>
  <c r="DD422" i="1"/>
  <c r="JC397" i="1"/>
  <c r="DK410" i="1"/>
  <c r="LN404" i="1"/>
  <c r="FY416" i="1"/>
  <c r="MT404" i="1"/>
  <c r="MI424" i="1"/>
  <c r="IK414" i="1"/>
  <c r="HW417" i="1"/>
  <c r="CE404" i="1"/>
  <c r="EK401" i="1"/>
  <c r="KO418" i="1"/>
  <c r="LW399" i="1"/>
  <c r="MM410" i="1"/>
  <c r="DF394" i="1"/>
  <c r="KM394" i="1"/>
  <c r="JT413" i="1"/>
  <c r="JD400" i="1"/>
  <c r="MD424" i="1"/>
  <c r="AU417" i="1"/>
  <c r="CZ410" i="1"/>
  <c r="IU395" i="1"/>
  <c r="IK395" i="1"/>
  <c r="ME419" i="1"/>
  <c r="JI420" i="1"/>
  <c r="CN425" i="1"/>
  <c r="JB402" i="1"/>
  <c r="JO417" i="1"/>
  <c r="HZ394" i="1"/>
  <c r="LZ411" i="1"/>
  <c r="LC398" i="1"/>
  <c r="CQ428" i="1"/>
  <c r="EE417" i="1"/>
  <c r="FA397" i="1"/>
  <c r="DA418" i="1"/>
  <c r="FL406" i="1"/>
  <c r="IO395" i="1"/>
  <c r="CT397" i="1"/>
  <c r="JF396" i="1"/>
  <c r="GS425" i="1"/>
  <c r="EE411" i="1"/>
  <c r="HS394" i="1"/>
  <c r="EK412" i="1"/>
  <c r="FC411" i="1"/>
  <c r="CE396" i="1"/>
  <c r="BY421" i="1"/>
  <c r="CA421" i="1"/>
  <c r="GG427" i="1"/>
  <c r="DH414" i="1"/>
  <c r="JE409" i="1"/>
  <c r="FH397" i="1"/>
  <c r="ED424" i="1"/>
  <c r="LA403" i="1"/>
  <c r="EZ421" i="1"/>
  <c r="GB401" i="1"/>
  <c r="ME423" i="1"/>
  <c r="LO410" i="1"/>
  <c r="IQ409" i="1"/>
  <c r="CD414" i="1"/>
  <c r="LX409" i="1"/>
  <c r="ET415" i="1"/>
  <c r="GF423" i="1"/>
  <c r="IP406" i="1"/>
  <c r="EB420" i="1"/>
  <c r="LW403" i="1"/>
  <c r="GG417" i="1"/>
  <c r="AW427" i="1"/>
  <c r="KJ406" i="1"/>
  <c r="DH403" i="1"/>
  <c r="DA396" i="1"/>
  <c r="EB418" i="1"/>
  <c r="IA398" i="1"/>
  <c r="CS414" i="1"/>
  <c r="BW403" i="1"/>
  <c r="JU396" i="1"/>
  <c r="MK400" i="1"/>
  <c r="DK428" i="1"/>
  <c r="GL406" i="1"/>
  <c r="KH411" i="1"/>
  <c r="MY397" i="1"/>
  <c r="KM401" i="1"/>
  <c r="JC409" i="1"/>
  <c r="DT420" i="1"/>
  <c r="CU398" i="1"/>
  <c r="EJ422" i="1"/>
  <c r="CM398" i="1"/>
  <c r="MT394" i="1"/>
  <c r="IY404" i="1"/>
  <c r="LB422" i="1"/>
  <c r="DU411" i="1"/>
  <c r="EU418" i="1"/>
  <c r="FK419" i="1"/>
  <c r="DT396" i="1"/>
  <c r="MQ422" i="1"/>
  <c r="EZ395" i="1"/>
  <c r="CW418" i="1"/>
  <c r="DE418" i="1"/>
  <c r="FT400" i="1"/>
  <c r="IP416" i="1"/>
  <c r="LV420" i="1"/>
  <c r="HF427" i="1"/>
  <c r="JI395" i="1"/>
  <c r="FC403" i="1"/>
  <c r="JK408" i="1"/>
  <c r="CE406" i="1"/>
  <c r="GK411" i="1"/>
  <c r="GI399" i="1"/>
  <c r="HF412" i="1"/>
  <c r="EH420" i="1"/>
  <c r="KW422" i="1"/>
  <c r="EJ398" i="1"/>
  <c r="IL423" i="1"/>
  <c r="FM399" i="1"/>
  <c r="JH428" i="1"/>
  <c r="FP416" i="1"/>
  <c r="JI404" i="1"/>
  <c r="CL413" i="1"/>
  <c r="DP410" i="1"/>
  <c r="MP428" i="1"/>
  <c r="JS407" i="1"/>
  <c r="DA423" i="1"/>
  <c r="MO421" i="1"/>
  <c r="DB396" i="1"/>
  <c r="LD425" i="1"/>
  <c r="IZ416" i="1"/>
  <c r="EN403" i="1"/>
  <c r="GQ400" i="1"/>
  <c r="JF411" i="1"/>
  <c r="GM397" i="1"/>
  <c r="MF409" i="1"/>
  <c r="HR397" i="1"/>
  <c r="KV407" i="1"/>
  <c r="EN395" i="1"/>
  <c r="GB412" i="1"/>
  <c r="EZ413" i="1"/>
  <c r="MN414" i="1"/>
  <c r="DG428" i="1"/>
  <c r="EX422" i="1"/>
  <c r="FC397" i="1"/>
  <c r="FT428" i="1"/>
  <c r="MX423" i="1"/>
  <c r="LY415" i="1"/>
  <c r="IZ423" i="1"/>
  <c r="DN420" i="1"/>
  <c r="GG397" i="1"/>
  <c r="ES403" i="1"/>
  <c r="LI395" i="1"/>
  <c r="DE402" i="1"/>
  <c r="IW409" i="1"/>
  <c r="FI415" i="1"/>
  <c r="DS425" i="1"/>
  <c r="KK398" i="1"/>
  <c r="GI410" i="1"/>
  <c r="JZ411" i="1"/>
  <c r="KW424" i="1"/>
  <c r="MJ394" i="1"/>
  <c r="FU424" i="1"/>
  <c r="EI424" i="1"/>
  <c r="ML422" i="1"/>
  <c r="EJ417" i="1"/>
  <c r="GO407" i="1"/>
  <c r="EJ400" i="1"/>
  <c r="GU415" i="1"/>
  <c r="BG414" i="1"/>
  <c r="FK401" i="1"/>
  <c r="EM401" i="1"/>
  <c r="FO399" i="1"/>
  <c r="JT401" i="1"/>
  <c r="DN404" i="1"/>
  <c r="JU409" i="1"/>
  <c r="KA416" i="1"/>
  <c r="ND394" i="1"/>
  <c r="LZ401" i="1"/>
  <c r="MK403" i="1"/>
  <c r="KL424" i="1"/>
  <c r="JN398" i="1"/>
  <c r="BN422" i="1"/>
  <c r="CX426" i="1"/>
  <c r="MV419" i="1"/>
  <c r="KL412" i="1"/>
  <c r="KB408" i="1"/>
  <c r="LH395" i="1"/>
  <c r="KW401" i="1"/>
  <c r="EJ419" i="1"/>
  <c r="MN400" i="1"/>
  <c r="CE414" i="1"/>
  <c r="EL400" i="1"/>
  <c r="JA419" i="1"/>
  <c r="MP427" i="1"/>
  <c r="FA418" i="1"/>
  <c r="FM419" i="1"/>
  <c r="DQ403" i="1"/>
  <c r="EF406" i="1"/>
  <c r="MU422" i="1"/>
  <c r="GA407" i="1"/>
  <c r="AW407" i="1"/>
  <c r="FP423" i="1"/>
  <c r="HY402" i="1"/>
  <c r="FE406" i="1"/>
  <c r="FG414" i="1"/>
  <c r="LD422" i="1"/>
  <c r="FN427" i="1"/>
  <c r="LY416" i="1"/>
  <c r="BH424" i="1"/>
  <c r="HH417" i="1"/>
  <c r="CC425" i="1"/>
  <c r="GU411" i="1"/>
  <c r="MP421" i="1"/>
  <c r="GH400" i="1"/>
  <c r="HS402" i="1"/>
  <c r="MV397" i="1"/>
  <c r="FL421" i="1"/>
  <c r="DE414" i="1"/>
  <c r="IZ409" i="1"/>
  <c r="LK407" i="1"/>
  <c r="ET409" i="1"/>
  <c r="JN403" i="1"/>
  <c r="CI400" i="1"/>
  <c r="CU401" i="1"/>
  <c r="KY399" i="1"/>
  <c r="CJ411" i="1"/>
  <c r="BO427" i="1"/>
  <c r="IZ400" i="1"/>
  <c r="IO404" i="1"/>
  <c r="MT413" i="1"/>
  <c r="KH414" i="1"/>
  <c r="BU417" i="1"/>
  <c r="CI411" i="1"/>
  <c r="GO400" i="1"/>
  <c r="EZ416" i="1"/>
  <c r="IW410" i="1"/>
  <c r="BL413" i="1"/>
  <c r="DL418" i="1"/>
  <c r="LM399" i="1"/>
  <c r="EM395" i="1"/>
  <c r="LH417" i="1"/>
  <c r="FB409" i="1"/>
  <c r="IX428" i="1"/>
  <c r="AT397" i="1"/>
  <c r="DH425" i="1"/>
  <c r="LD399" i="1"/>
  <c r="NE399" i="1"/>
  <c r="BV403" i="1"/>
  <c r="MN411" i="1"/>
  <c r="GB396" i="1"/>
  <c r="IN404" i="1"/>
  <c r="MN409" i="1"/>
  <c r="EA424" i="1"/>
  <c r="LU428" i="1"/>
  <c r="DK417" i="1"/>
  <c r="FP420" i="1"/>
  <c r="IH418" i="1"/>
  <c r="MH422" i="1"/>
  <c r="EZ407" i="1"/>
  <c r="IT424" i="1"/>
  <c r="LB412" i="1"/>
  <c r="CY411" i="1"/>
  <c r="GN423" i="1"/>
  <c r="KO397" i="1"/>
  <c r="CB414" i="1"/>
  <c r="II418" i="1"/>
  <c r="FR416" i="1"/>
  <c r="JL396" i="1"/>
  <c r="KF412" i="1"/>
  <c r="II411" i="1"/>
  <c r="EY404" i="1"/>
  <c r="CL396" i="1"/>
  <c r="FI395" i="1"/>
  <c r="FI417" i="1"/>
  <c r="LR404" i="1"/>
  <c r="KA410" i="1"/>
  <c r="HT403" i="1"/>
  <c r="LK399" i="1"/>
  <c r="JJ411" i="1"/>
  <c r="KT394" i="1"/>
  <c r="FB411" i="1"/>
  <c r="MF418" i="1"/>
  <c r="BW414" i="1"/>
  <c r="GA394" i="1"/>
  <c r="JP424" i="1"/>
  <c r="NC401" i="1"/>
  <c r="GU396" i="1"/>
  <c r="MQ410" i="1"/>
  <c r="ME426" i="1"/>
  <c r="DO425" i="1"/>
  <c r="GM401" i="1"/>
  <c r="HX397" i="1"/>
  <c r="BY406" i="1"/>
  <c r="DX426" i="1"/>
  <c r="MG427" i="1"/>
  <c r="FG400" i="1"/>
  <c r="KO425" i="1"/>
  <c r="FC415" i="1"/>
  <c r="JB421" i="1"/>
  <c r="IL415" i="1"/>
  <c r="JU397" i="1"/>
  <c r="MK396" i="1"/>
  <c r="FS424" i="1"/>
  <c r="JF403" i="1"/>
  <c r="FM417" i="1"/>
  <c r="MD409" i="1"/>
  <c r="HV425" i="1"/>
  <c r="GP415" i="1"/>
  <c r="MX400" i="1"/>
  <c r="MH404" i="1"/>
  <c r="LC399" i="1"/>
  <c r="MK412" i="1"/>
  <c r="GN402" i="1"/>
  <c r="JK425" i="1"/>
  <c r="EJ425" i="1"/>
  <c r="MT423" i="1"/>
  <c r="DE425" i="1"/>
  <c r="IW420" i="1"/>
  <c r="JS419" i="1"/>
  <c r="LI419" i="1"/>
  <c r="GP422" i="1"/>
  <c r="FY421" i="1"/>
  <c r="MO419" i="1"/>
  <c r="JL410" i="1"/>
  <c r="DA395" i="1"/>
  <c r="LB410" i="1"/>
  <c r="BT408" i="1"/>
  <c r="FW410" i="1"/>
  <c r="LC394" i="1"/>
  <c r="LO415" i="1"/>
  <c r="DP419" i="1"/>
  <c r="JQ401" i="1"/>
  <c r="LW414" i="1"/>
  <c r="EQ398" i="1"/>
  <c r="GR411" i="1"/>
  <c r="AS408" i="1"/>
  <c r="MV410" i="1"/>
  <c r="ME418" i="1"/>
  <c r="IZ413" i="1"/>
  <c r="JW414" i="1"/>
  <c r="MA416" i="1"/>
  <c r="BF406" i="1"/>
  <c r="FW404" i="1"/>
  <c r="MV426" i="1"/>
  <c r="CT399" i="1"/>
  <c r="CE410" i="1"/>
  <c r="HW423" i="1"/>
  <c r="FY415" i="1"/>
  <c r="JT425" i="1"/>
  <c r="FL397" i="1"/>
  <c r="CD396" i="1"/>
  <c r="HU403" i="1"/>
  <c r="ES416" i="1"/>
  <c r="JY416" i="1"/>
  <c r="EA412" i="1"/>
  <c r="FR415" i="1"/>
  <c r="AV414" i="1"/>
  <c r="FV402" i="1"/>
  <c r="DS400" i="1"/>
  <c r="LG414" i="1"/>
  <c r="KB410" i="1"/>
  <c r="FZ426" i="1"/>
  <c r="IQ416" i="1"/>
  <c r="LR420" i="1"/>
  <c r="MX397" i="1"/>
  <c r="LK421" i="1"/>
  <c r="KC420" i="1"/>
  <c r="GK422" i="1"/>
  <c r="KR409" i="1"/>
  <c r="JV399" i="1"/>
  <c r="IZ401" i="1"/>
  <c r="JG410" i="1"/>
  <c r="MK407" i="1"/>
  <c r="IL421" i="1"/>
  <c r="LA415" i="1"/>
  <c r="FG404" i="1"/>
  <c r="FQ404" i="1"/>
  <c r="BY408" i="1"/>
  <c r="LE410" i="1"/>
  <c r="EC425" i="1"/>
  <c r="JZ416" i="1"/>
  <c r="GO409" i="1"/>
  <c r="KP414" i="1"/>
  <c r="MO417" i="1"/>
  <c r="LK404" i="1"/>
  <c r="EN415" i="1"/>
  <c r="IA421" i="1"/>
  <c r="DO408" i="1"/>
  <c r="LM396" i="1"/>
  <c r="CO404" i="1"/>
  <c r="EG424" i="1"/>
  <c r="CJ407" i="1"/>
  <c r="DM401" i="1"/>
  <c r="DH400" i="1"/>
  <c r="FP422" i="1"/>
  <c r="NC396" i="1"/>
  <c r="EC410" i="1"/>
  <c r="AW401" i="1"/>
  <c r="DC415" i="1"/>
  <c r="DZ418" i="1"/>
  <c r="BM420" i="1"/>
  <c r="DW413" i="1"/>
  <c r="FC400" i="1"/>
  <c r="FN416" i="1"/>
  <c r="CT414" i="1"/>
  <c r="KI425" i="1"/>
  <c r="CN408" i="1"/>
  <c r="LK416" i="1"/>
  <c r="BO410" i="1"/>
  <c r="MW402" i="1"/>
  <c r="MD426" i="1"/>
  <c r="GH404" i="1"/>
  <c r="KU425" i="1"/>
  <c r="IY423" i="1"/>
  <c r="JR400" i="1"/>
  <c r="MT425" i="1"/>
  <c r="DB400" i="1"/>
  <c r="GS410" i="1"/>
  <c r="KW414" i="1"/>
  <c r="FF408" i="1"/>
  <c r="DF418" i="1"/>
  <c r="KZ425" i="1"/>
  <c r="LD410" i="1"/>
  <c r="EF414" i="1"/>
  <c r="MH419" i="1"/>
  <c r="JR404" i="1"/>
  <c r="LS403" i="1"/>
  <c r="GH428" i="1"/>
  <c r="DX415" i="1"/>
  <c r="BU425" i="1"/>
  <c r="LT428" i="1"/>
  <c r="CM412" i="1"/>
  <c r="LK415" i="1"/>
  <c r="LX423" i="1"/>
  <c r="FZ428" i="1"/>
  <c r="LH415" i="1"/>
  <c r="CH413" i="1"/>
  <c r="EL422" i="1"/>
  <c r="LR411" i="1"/>
  <c r="AU422" i="1"/>
  <c r="JC394" i="1"/>
  <c r="DJ410" i="1"/>
  <c r="DC406" i="1"/>
  <c r="HY415" i="1"/>
  <c r="IV410" i="1"/>
  <c r="FO404" i="1"/>
  <c r="EV397" i="1"/>
  <c r="AU408" i="1"/>
  <c r="IY418" i="1"/>
  <c r="GG408" i="1"/>
  <c r="EY420" i="1"/>
  <c r="BJ399" i="1"/>
  <c r="FU416" i="1"/>
  <c r="II422" i="1"/>
  <c r="EH421" i="1"/>
  <c r="CX408" i="1"/>
  <c r="GJ409" i="1"/>
  <c r="GE415" i="1"/>
  <c r="JF419" i="1"/>
  <c r="CJ403" i="1"/>
  <c r="JQ396" i="1"/>
  <c r="MF407" i="1"/>
  <c r="FS425" i="1"/>
  <c r="LF396" i="1"/>
  <c r="FZ400" i="1"/>
  <c r="MC396" i="1"/>
  <c r="JP400" i="1"/>
  <c r="EG412" i="1"/>
  <c r="CZ415" i="1"/>
  <c r="GJ410" i="1"/>
  <c r="HW414" i="1"/>
  <c r="DD411" i="1"/>
  <c r="CU418" i="1"/>
  <c r="IL420" i="1"/>
  <c r="BO401" i="1"/>
  <c r="JK428" i="1"/>
  <c r="DA417" i="1"/>
  <c r="DR419" i="1"/>
  <c r="LF418" i="1"/>
  <c r="BU402" i="1"/>
  <c r="KF398" i="1"/>
  <c r="MF426" i="1"/>
  <c r="EQ404" i="1"/>
  <c r="LL400" i="1"/>
  <c r="MU414" i="1"/>
  <c r="DB406" i="1"/>
  <c r="DU423" i="1"/>
  <c r="DZ425" i="1"/>
  <c r="DH427" i="1"/>
  <c r="LY414" i="1"/>
  <c r="JE428" i="1"/>
  <c r="FE428" i="1"/>
  <c r="EY415" i="1"/>
  <c r="KZ397" i="1"/>
  <c r="BI411" i="1"/>
  <c r="IL397" i="1"/>
  <c r="BW419" i="1"/>
  <c r="HH428" i="1"/>
  <c r="FW413" i="1"/>
  <c r="JB411" i="1"/>
  <c r="BO416" i="1"/>
  <c r="LV399" i="1"/>
  <c r="IZ399" i="1"/>
  <c r="NE404" i="1"/>
  <c r="IZ412" i="1"/>
  <c r="IP398" i="1"/>
  <c r="ES418" i="1"/>
  <c r="MP414" i="1"/>
  <c r="IK416" i="1"/>
  <c r="IH401" i="1"/>
  <c r="EC428" i="1"/>
  <c r="DA416" i="1"/>
  <c r="JK395" i="1"/>
  <c r="FG409" i="1"/>
  <c r="ET408" i="1"/>
  <c r="MF396" i="1"/>
  <c r="BZ417" i="1"/>
  <c r="HX394" i="1"/>
  <c r="FC420" i="1"/>
  <c r="FI409" i="1"/>
  <c r="EQ413" i="1"/>
  <c r="MQ402" i="1"/>
  <c r="JF428" i="1"/>
  <c r="HV428" i="1"/>
  <c r="KW410" i="1"/>
  <c r="ME424" i="1"/>
  <c r="FV399" i="1"/>
  <c r="KD425" i="1"/>
  <c r="MX414" i="1"/>
  <c r="LY421" i="1"/>
  <c r="KM420" i="1"/>
  <c r="JF414" i="1"/>
  <c r="MC424" i="1"/>
  <c r="JO397" i="1"/>
  <c r="EO412" i="1"/>
  <c r="FP415" i="1"/>
  <c r="GN406" i="1"/>
  <c r="IZ424" i="1"/>
  <c r="DR406" i="1"/>
  <c r="HV396" i="1"/>
  <c r="ME404" i="1"/>
  <c r="CO421" i="1"/>
  <c r="DZ408" i="1"/>
  <c r="ND396" i="1"/>
  <c r="FC426" i="1"/>
  <c r="LR425" i="1"/>
  <c r="LW408" i="1"/>
  <c r="KJ419" i="1"/>
  <c r="KZ411" i="1"/>
  <c r="FD396" i="1"/>
  <c r="FR409" i="1"/>
  <c r="FM415" i="1"/>
  <c r="JR426" i="1"/>
  <c r="KJ413" i="1"/>
  <c r="JV411" i="1"/>
  <c r="FR424" i="1"/>
  <c r="FE394" i="1"/>
  <c r="KD400" i="1"/>
  <c r="LY424" i="1"/>
  <c r="CA395" i="1"/>
  <c r="NC394" i="1"/>
  <c r="NB424" i="1"/>
  <c r="JI406" i="1"/>
  <c r="KE427" i="1"/>
  <c r="MM416" i="1"/>
  <c r="IZ421" i="1"/>
  <c r="HW421" i="1"/>
  <c r="DS426" i="1"/>
  <c r="GA412" i="1"/>
  <c r="DK401" i="1"/>
  <c r="FQ412" i="1"/>
  <c r="GD402" i="1"/>
  <c r="LA420" i="1"/>
  <c r="CI395" i="1"/>
  <c r="EB402" i="1"/>
  <c r="KY417" i="1"/>
  <c r="DX399" i="1"/>
  <c r="EW414" i="1"/>
  <c r="CK423" i="1"/>
  <c r="CO397" i="1"/>
  <c r="LP421" i="1"/>
  <c r="FY406" i="1"/>
  <c r="JQ404" i="1"/>
  <c r="BZ421" i="1"/>
  <c r="IH425" i="1"/>
  <c r="LM419" i="1"/>
  <c r="CP397" i="1"/>
  <c r="AS414" i="1"/>
  <c r="JW411" i="1"/>
  <c r="BT402" i="1"/>
  <c r="DL416" i="1"/>
  <c r="DP414" i="1"/>
  <c r="JC413" i="1"/>
  <c r="JX416" i="1"/>
  <c r="DR420" i="1"/>
  <c r="GR412" i="1"/>
  <c r="IF407" i="1"/>
  <c r="BL420" i="1"/>
  <c r="JM424" i="1"/>
  <c r="LE419" i="1"/>
  <c r="CO408" i="1"/>
  <c r="CU396" i="1"/>
  <c r="MK397" i="1"/>
  <c r="CO411" i="1"/>
  <c r="JC427" i="1"/>
  <c r="IV400" i="1"/>
  <c r="CN403" i="1"/>
  <c r="FF402" i="1"/>
  <c r="CS416" i="1"/>
  <c r="ME415" i="1"/>
  <c r="DO426" i="1"/>
  <c r="HF399" i="1"/>
  <c r="LK396" i="1"/>
  <c r="MO409" i="1"/>
  <c r="FU422" i="1"/>
  <c r="HH416" i="1"/>
  <c r="LT396" i="1"/>
  <c r="CU414" i="1"/>
  <c r="MK427" i="1"/>
  <c r="JH396" i="1"/>
  <c r="FK428" i="1"/>
  <c r="DS424" i="1"/>
  <c r="EE399" i="1"/>
  <c r="FF418" i="1"/>
  <c r="DR422" i="1"/>
  <c r="KV395" i="1"/>
  <c r="FI410" i="1"/>
  <c r="ES424" i="1"/>
  <c r="GH422" i="1"/>
  <c r="LS398" i="1"/>
  <c r="FY419" i="1"/>
  <c r="FM412" i="1"/>
  <c r="MO398" i="1"/>
  <c r="BM408" i="1"/>
  <c r="LK397" i="1"/>
  <c r="MG416" i="1"/>
  <c r="FB396" i="1"/>
  <c r="KJ409" i="1"/>
  <c r="FG428" i="1"/>
  <c r="MX424" i="1"/>
  <c r="GG406" i="1"/>
  <c r="BL398" i="1"/>
  <c r="DA410" i="1"/>
  <c r="BV395" i="1"/>
  <c r="DS414" i="1"/>
  <c r="EV407" i="1"/>
  <c r="MZ420" i="1"/>
  <c r="BZ396" i="1"/>
  <c r="FE401" i="1"/>
  <c r="FJ394" i="1"/>
  <c r="HF424" i="1"/>
  <c r="EV411" i="1"/>
  <c r="LD404" i="1"/>
  <c r="LK412" i="1"/>
  <c r="DH407" i="1"/>
  <c r="MV421" i="1"/>
  <c r="CC410" i="1"/>
  <c r="KQ422" i="1"/>
  <c r="LX411" i="1"/>
  <c r="EB428" i="1"/>
  <c r="BH412" i="1"/>
  <c r="LD400" i="1"/>
  <c r="JE403" i="1"/>
  <c r="LZ428" i="1"/>
  <c r="LX400" i="1"/>
  <c r="KJ394" i="1"/>
  <c r="MC420" i="1"/>
  <c r="DJ395" i="1"/>
  <c r="LM397" i="1"/>
  <c r="EH413" i="1"/>
  <c r="DT425" i="1"/>
  <c r="LS422" i="1"/>
  <c r="HW403" i="1"/>
  <c r="KP397" i="1"/>
  <c r="BM404" i="1"/>
  <c r="HE398" i="1"/>
  <c r="NE413" i="1"/>
  <c r="MM426" i="1"/>
  <c r="JC400" i="1"/>
  <c r="MG397" i="1"/>
  <c r="ER419" i="1"/>
  <c r="IU398" i="1"/>
  <c r="HX423" i="1"/>
  <c r="LF428" i="1"/>
  <c r="LG404" i="1"/>
  <c r="LB404" i="1"/>
  <c r="EL401" i="1"/>
  <c r="FP407" i="1"/>
  <c r="KV427" i="1"/>
  <c r="ML420" i="1"/>
  <c r="LJ398" i="1"/>
  <c r="DM420" i="1"/>
  <c r="DC397" i="1"/>
  <c r="KK428" i="1"/>
  <c r="KP398" i="1"/>
  <c r="CZ418" i="1"/>
  <c r="FI399" i="1"/>
  <c r="CL420" i="1"/>
  <c r="IX427" i="1"/>
  <c r="GS423" i="1"/>
  <c r="JL415" i="1"/>
  <c r="DI400" i="1"/>
  <c r="LE427" i="1"/>
  <c r="CM425" i="1"/>
  <c r="MG394" i="1"/>
  <c r="CT428" i="1"/>
  <c r="MO423" i="1"/>
  <c r="DU424" i="1"/>
  <c r="CU422" i="1"/>
  <c r="JO419" i="1"/>
  <c r="KZ407" i="1"/>
  <c r="MQ427" i="1"/>
  <c r="HR395" i="1"/>
  <c r="IK420" i="1"/>
  <c r="EA394" i="1"/>
  <c r="ES408" i="1"/>
  <c r="LT402" i="1"/>
  <c r="MD423" i="1"/>
  <c r="CK403" i="1"/>
  <c r="MN423" i="1"/>
  <c r="MB414" i="1"/>
  <c r="GK413" i="1"/>
  <c r="FC423" i="1"/>
  <c r="FP409" i="1"/>
  <c r="CT421" i="1"/>
  <c r="JW397" i="1"/>
  <c r="GT395" i="1"/>
  <c r="GO423" i="1"/>
  <c r="KK399" i="1"/>
  <c r="LA400" i="1"/>
  <c r="FA408" i="1"/>
  <c r="JP427" i="1"/>
  <c r="FL394" i="1"/>
  <c r="MW413" i="1"/>
  <c r="KX402" i="1"/>
  <c r="KI409" i="1"/>
  <c r="KZ406" i="1"/>
  <c r="ED410" i="1"/>
  <c r="FV422" i="1"/>
  <c r="GK424" i="1"/>
  <c r="KI408" i="1"/>
  <c r="GJ416" i="1"/>
  <c r="FP426" i="1"/>
  <c r="FY394" i="1"/>
  <c r="LW404" i="1"/>
  <c r="MD419" i="1"/>
  <c r="LN426" i="1"/>
  <c r="GD395" i="1"/>
  <c r="DC427" i="1"/>
  <c r="GF397" i="1"/>
  <c r="FY414" i="1"/>
  <c r="ER409" i="1"/>
  <c r="IH412" i="1"/>
  <c r="BN416" i="1"/>
  <c r="IQ414" i="1"/>
  <c r="JM399" i="1"/>
  <c r="JC420" i="1"/>
  <c r="NE400" i="1"/>
  <c r="GT427" i="1"/>
  <c r="FT413" i="1"/>
  <c r="KA411" i="1"/>
  <c r="MZ418" i="1"/>
  <c r="CL410" i="1"/>
  <c r="DW401" i="1"/>
  <c r="BX404" i="1"/>
  <c r="IW423" i="1"/>
  <c r="JQ402" i="1"/>
  <c r="HG394" i="1"/>
  <c r="AU401" i="1"/>
  <c r="MY395" i="1"/>
  <c r="IG424" i="1"/>
  <c r="CW394" i="1"/>
  <c r="DE401" i="1"/>
  <c r="BO397" i="1"/>
  <c r="DR409" i="1"/>
  <c r="GC407" i="1"/>
  <c r="HU400" i="1"/>
  <c r="LL418" i="1"/>
  <c r="CH396" i="1"/>
  <c r="AW426" i="1"/>
  <c r="NA407" i="1"/>
  <c r="MP424" i="1"/>
  <c r="DF396" i="1"/>
  <c r="LV421" i="1"/>
  <c r="JF410" i="1"/>
  <c r="GK394" i="1"/>
  <c r="MH415" i="1"/>
  <c r="IP420" i="1"/>
  <c r="EC409" i="1"/>
  <c r="DY395" i="1"/>
  <c r="MC409" i="1"/>
  <c r="EP409" i="1"/>
  <c r="CI416" i="1"/>
  <c r="KG407" i="1"/>
  <c r="CK400" i="1"/>
  <c r="GQ407" i="1"/>
  <c r="EF417" i="1"/>
  <c r="GR407" i="1"/>
  <c r="KX423" i="1"/>
  <c r="GP413" i="1"/>
  <c r="KQ425" i="1"/>
  <c r="KG403" i="1"/>
  <c r="EF426" i="1"/>
  <c r="FE402" i="1"/>
  <c r="JF400" i="1"/>
  <c r="LY411" i="1"/>
  <c r="JB415" i="1"/>
  <c r="JV412" i="1"/>
  <c r="HI409" i="1"/>
  <c r="II428" i="1"/>
  <c r="MY411" i="1"/>
  <c r="JG424" i="1"/>
  <c r="MC427" i="1"/>
  <c r="JJ417" i="1"/>
  <c r="JW428" i="1"/>
  <c r="ML418" i="1"/>
  <c r="LY409" i="1"/>
  <c r="EU398" i="1"/>
  <c r="HS417" i="1"/>
  <c r="LG424" i="1"/>
  <c r="KK396" i="1"/>
  <c r="FK410" i="1"/>
  <c r="JE417" i="1"/>
  <c r="MA403" i="1"/>
  <c r="GR400" i="1"/>
  <c r="GG407" i="1"/>
  <c r="AS411" i="1"/>
  <c r="JZ401" i="1"/>
  <c r="BW399" i="1"/>
  <c r="LP404" i="1"/>
  <c r="FO427" i="1"/>
  <c r="FI418" i="1"/>
  <c r="IM423" i="1"/>
  <c r="CD417" i="1"/>
  <c r="KU421" i="1"/>
  <c r="DO416" i="1"/>
  <c r="CN424" i="1"/>
  <c r="DW398" i="1"/>
  <c r="ER416" i="1"/>
  <c r="DX423" i="1"/>
  <c r="BV418" i="1"/>
  <c r="CL394" i="1"/>
  <c r="CZ396" i="1"/>
  <c r="GQ411" i="1"/>
  <c r="CU400" i="1"/>
  <c r="KQ416" i="1"/>
  <c r="CU428" i="1"/>
  <c r="LV394" i="1"/>
  <c r="JG414" i="1"/>
  <c r="AW418" i="1"/>
  <c r="EL402" i="1"/>
  <c r="JP422" i="1"/>
  <c r="DI417" i="1"/>
  <c r="KN402" i="1"/>
  <c r="MP416" i="1"/>
  <c r="MW410" i="1"/>
  <c r="FT424" i="1"/>
  <c r="LB426" i="1"/>
  <c r="EI415" i="1"/>
  <c r="MH423" i="1"/>
  <c r="MW417" i="1"/>
  <c r="DP427" i="1"/>
  <c r="GH413" i="1"/>
  <c r="LN418" i="1"/>
  <c r="DN427" i="1"/>
  <c r="CW412" i="1"/>
  <c r="LJ428" i="1"/>
  <c r="FL412" i="1"/>
  <c r="GF407" i="1"/>
  <c r="KP401" i="1"/>
  <c r="DE409" i="1"/>
  <c r="IM395" i="1"/>
  <c r="KR408" i="1"/>
  <c r="EM422" i="1"/>
  <c r="FX409" i="1"/>
  <c r="KL411" i="1"/>
  <c r="GI428" i="1"/>
  <c r="FH417" i="1"/>
  <c r="EQ419" i="1"/>
  <c r="JL425" i="1"/>
  <c r="CC407" i="1"/>
  <c r="HU409" i="1"/>
  <c r="MV409" i="1"/>
  <c r="FT399" i="1"/>
  <c r="DA427" i="1"/>
  <c r="JC410" i="1"/>
  <c r="FA409" i="1"/>
  <c r="GR427" i="1"/>
  <c r="KC413" i="1"/>
  <c r="GD428" i="1"/>
  <c r="EV428" i="1"/>
  <c r="KB404" i="1"/>
  <c r="KK411" i="1"/>
  <c r="CI422" i="1"/>
  <c r="DQ412" i="1"/>
  <c r="JQ427" i="1"/>
  <c r="CD404" i="1"/>
  <c r="FK411" i="1"/>
  <c r="DQ398" i="1"/>
  <c r="AS427" i="1"/>
  <c r="DC419" i="1"/>
  <c r="DA413" i="1"/>
  <c r="DB402" i="1"/>
  <c r="EN418" i="1"/>
  <c r="LM412" i="1"/>
  <c r="EE425" i="1"/>
  <c r="IQ418" i="1"/>
  <c r="CL400" i="1"/>
  <c r="CE421" i="1"/>
  <c r="GT401" i="1"/>
  <c r="FT411" i="1"/>
  <c r="LO398" i="1"/>
  <c r="CX404" i="1"/>
  <c r="GM410" i="1"/>
  <c r="GB407" i="1"/>
  <c r="EY410" i="1"/>
  <c r="EP400" i="1"/>
  <c r="BU408" i="1"/>
  <c r="KY397" i="1"/>
  <c r="KB396" i="1"/>
  <c r="II420" i="1"/>
  <c r="EW401" i="1"/>
  <c r="HY395" i="1"/>
  <c r="DV410" i="1"/>
  <c r="DH411" i="1"/>
  <c r="IP428" i="1"/>
  <c r="FK395" i="1"/>
  <c r="DV406" i="1"/>
  <c r="BH409" i="1"/>
  <c r="DQ397" i="1"/>
  <c r="EG400" i="1"/>
  <c r="DZ407" i="1"/>
  <c r="DX428" i="1"/>
  <c r="BG411" i="1"/>
  <c r="MQ414" i="1"/>
  <c r="GH397" i="1"/>
  <c r="DC408" i="1"/>
  <c r="KD403" i="1"/>
  <c r="KE395" i="1"/>
  <c r="FZ415" i="1"/>
  <c r="LX403" i="1"/>
  <c r="BO419" i="1"/>
  <c r="FD415" i="1"/>
  <c r="DO424" i="1"/>
  <c r="CX407" i="1"/>
  <c r="LD406" i="1"/>
  <c r="MD406" i="1"/>
  <c r="EI395" i="1"/>
  <c r="CL419" i="1"/>
  <c r="GT398" i="1"/>
  <c r="JT420" i="1"/>
  <c r="DD401" i="1"/>
  <c r="CJ399" i="1"/>
  <c r="LL407" i="1"/>
  <c r="IU422" i="1"/>
  <c r="DB395" i="1"/>
  <c r="IP403" i="1"/>
  <c r="IL413" i="1"/>
  <c r="IJ399" i="1"/>
  <c r="DO395" i="1"/>
  <c r="BO394" i="1"/>
  <c r="FM426" i="1"/>
  <c r="HV406" i="1"/>
  <c r="ET394" i="1"/>
  <c r="BY409" i="1"/>
  <c r="BZ407" i="1"/>
  <c r="CD425" i="1"/>
  <c r="HV404" i="1"/>
  <c r="EN398" i="1"/>
  <c r="II406" i="1"/>
  <c r="JL424" i="1"/>
  <c r="IM420" i="1"/>
  <c r="BM400" i="1"/>
  <c r="EZ399" i="1"/>
  <c r="JZ421" i="1"/>
  <c r="BM418" i="1"/>
  <c r="LT415" i="1"/>
  <c r="GE425" i="1"/>
  <c r="LV407" i="1"/>
  <c r="LG407" i="1"/>
  <c r="HV415" i="1"/>
  <c r="DL404" i="1"/>
  <c r="MN401" i="1"/>
  <c r="HT423" i="1"/>
  <c r="IK412" i="1"/>
  <c r="HV419" i="1"/>
  <c r="LV413" i="1"/>
  <c r="FZ427" i="1"/>
  <c r="DI408" i="1"/>
  <c r="HU422" i="1"/>
  <c r="KH406" i="1"/>
  <c r="GL425" i="1"/>
  <c r="DF404" i="1"/>
  <c r="DL427" i="1"/>
  <c r="IO402" i="1"/>
  <c r="GO417" i="1"/>
  <c r="MA410" i="1"/>
  <c r="EN422" i="1"/>
  <c r="JT394" i="1"/>
  <c r="JK396" i="1"/>
  <c r="JY394" i="1"/>
  <c r="LL394" i="1"/>
  <c r="HS411" i="1"/>
  <c r="NE422" i="1"/>
  <c r="IV428" i="1"/>
  <c r="IY427" i="1"/>
  <c r="MJ403" i="1"/>
  <c r="JK400" i="1"/>
  <c r="KU407" i="1"/>
  <c r="LX420" i="1"/>
  <c r="FK397" i="1"/>
  <c r="IZ411" i="1"/>
  <c r="DA403" i="1"/>
  <c r="LW394" i="1"/>
  <c r="HV420" i="1"/>
  <c r="DM394" i="1"/>
  <c r="KP428" i="1"/>
  <c r="GM419" i="1"/>
  <c r="CB408" i="1"/>
  <c r="KN399" i="1"/>
  <c r="CJ412" i="1"/>
  <c r="LQ397" i="1"/>
  <c r="FA414" i="1"/>
  <c r="GM418" i="1"/>
  <c r="FY425" i="1"/>
  <c r="GP404" i="1"/>
  <c r="IU412" i="1"/>
  <c r="MF417" i="1"/>
  <c r="AR415" i="1"/>
  <c r="KF400" i="1"/>
  <c r="CB424" i="1"/>
  <c r="AV412" i="1"/>
  <c r="NC411" i="1"/>
  <c r="CS420" i="1"/>
  <c r="MV427" i="1"/>
  <c r="MU416" i="1"/>
  <c r="KK395" i="1"/>
  <c r="EX423" i="1"/>
  <c r="HV417" i="1"/>
  <c r="JM400" i="1"/>
  <c r="IH397" i="1"/>
  <c r="JS396" i="1"/>
  <c r="BG402" i="1"/>
  <c r="DF406" i="1"/>
  <c r="FR427" i="1"/>
  <c r="JA404" i="1"/>
  <c r="BO414" i="1"/>
  <c r="FK424" i="1"/>
  <c r="AS400" i="1"/>
  <c r="IQ417" i="1"/>
  <c r="GK418" i="1"/>
  <c r="MV406" i="1"/>
  <c r="ND416" i="1"/>
  <c r="KL398" i="1"/>
  <c r="JC406" i="1"/>
  <c r="IL417" i="1"/>
  <c r="EM394" i="1"/>
  <c r="DS410" i="1"/>
  <c r="JX428" i="1"/>
  <c r="FA407" i="1"/>
  <c r="AT424" i="1"/>
  <c r="DF428" i="1"/>
  <c r="DM421" i="1"/>
  <c r="ME400" i="1"/>
  <c r="ER417" i="1"/>
  <c r="BU415" i="1"/>
  <c r="DS397" i="1"/>
  <c r="BO412" i="1"/>
  <c r="EG410" i="1"/>
  <c r="IF418" i="1"/>
  <c r="JY400" i="1"/>
  <c r="CZ426" i="1"/>
  <c r="MN424" i="1"/>
  <c r="DW424" i="1"/>
  <c r="EX428" i="1"/>
  <c r="GD416" i="1"/>
  <c r="FZ425" i="1"/>
  <c r="GF421" i="1"/>
  <c r="DZ424" i="1"/>
  <c r="AS406" i="1"/>
  <c r="LB423" i="1"/>
  <c r="NA421" i="1"/>
  <c r="CY422" i="1"/>
  <c r="EZ414" i="1"/>
  <c r="CR400" i="1"/>
  <c r="FS403" i="1"/>
  <c r="FR425" i="1"/>
  <c r="MK408" i="1"/>
  <c r="NC423" i="1"/>
  <c r="EK421" i="1"/>
  <c r="CD428" i="1"/>
  <c r="HZ403" i="1"/>
  <c r="FG406" i="1"/>
  <c r="KO428" i="1"/>
  <c r="CA413" i="1"/>
  <c r="CQ425" i="1"/>
  <c r="DD396" i="1"/>
  <c r="ET425" i="1"/>
  <c r="IV394" i="1"/>
  <c r="KZ409" i="1"/>
  <c r="IJ415" i="1"/>
  <c r="DB412" i="1"/>
  <c r="DE423" i="1"/>
  <c r="MC416" i="1"/>
  <c r="MF400" i="1"/>
  <c r="JL399" i="1"/>
  <c r="JC414" i="1"/>
  <c r="LI407" i="1"/>
  <c r="MF423" i="1"/>
  <c r="LV397" i="1"/>
  <c r="DU404" i="1"/>
  <c r="HZ412" i="1"/>
  <c r="FL428" i="1"/>
  <c r="EC407" i="1"/>
  <c r="IN428" i="1"/>
  <c r="LY418" i="1"/>
  <c r="GU420" i="1"/>
  <c r="EE424" i="1"/>
  <c r="LB408" i="1"/>
  <c r="LH426" i="1"/>
  <c r="JG413" i="1"/>
  <c r="DC399" i="1"/>
  <c r="MO420" i="1"/>
  <c r="LL425" i="1"/>
  <c r="KA394" i="1"/>
  <c r="FN394" i="1"/>
  <c r="IM404" i="1"/>
  <c r="GT420" i="1"/>
  <c r="EK406" i="1"/>
  <c r="DB413" i="1"/>
  <c r="GP420" i="1"/>
  <c r="CQ416" i="1"/>
  <c r="HT413" i="1"/>
  <c r="KS409" i="1"/>
  <c r="LB398" i="1"/>
  <c r="HU423" i="1"/>
  <c r="JQ406" i="1"/>
  <c r="JR401" i="1"/>
  <c r="EU399" i="1"/>
  <c r="DK402" i="1"/>
  <c r="GC412" i="1"/>
  <c r="FO413" i="1"/>
  <c r="JE410" i="1"/>
  <c r="DJ396" i="1"/>
  <c r="LU421" i="1"/>
  <c r="KP410" i="1"/>
  <c r="FP404" i="1"/>
  <c r="JA417" i="1"/>
  <c r="LX415" i="1"/>
  <c r="BW394" i="1"/>
  <c r="FS427" i="1"/>
  <c r="KL406" i="1"/>
  <c r="DW408" i="1"/>
  <c r="IH411" i="1"/>
  <c r="MU400" i="1"/>
  <c r="NB402" i="1"/>
  <c r="FY420" i="1"/>
  <c r="AT418" i="1"/>
  <c r="MT422" i="1"/>
  <c r="IX423" i="1"/>
  <c r="MJ399" i="1"/>
  <c r="BX425" i="1"/>
  <c r="HH403" i="1"/>
  <c r="ML413" i="1"/>
  <c r="DT399" i="1"/>
  <c r="EU414" i="1"/>
  <c r="LE415" i="1"/>
  <c r="JW409" i="1"/>
  <c r="LW425" i="1"/>
  <c r="JT415" i="1"/>
  <c r="EI419" i="1"/>
  <c r="FD420" i="1"/>
  <c r="EC401" i="1"/>
  <c r="BM411" i="1"/>
  <c r="EY423" i="1"/>
  <c r="BN396" i="1"/>
  <c r="BL410" i="1"/>
  <c r="EB414" i="1"/>
  <c r="LT418" i="1"/>
  <c r="AW397" i="1"/>
  <c r="JS416" i="1"/>
  <c r="MQ403" i="1"/>
  <c r="CO423" i="1"/>
  <c r="BV427" i="1"/>
  <c r="CP407" i="1"/>
  <c r="AU399" i="1"/>
  <c r="CY413" i="1"/>
  <c r="GU417" i="1"/>
  <c r="BJ412" i="1"/>
  <c r="LI402" i="1"/>
  <c r="KH400" i="1"/>
  <c r="IA397" i="1"/>
  <c r="BG428" i="1"/>
  <c r="FK404" i="1"/>
  <c r="GG414" i="1"/>
  <c r="LT417" i="1"/>
  <c r="II414" i="1"/>
  <c r="KS413" i="1"/>
  <c r="CJ422" i="1"/>
  <c r="KX420" i="1"/>
  <c r="GP416" i="1"/>
  <c r="EF421" i="1"/>
  <c r="MD413" i="1"/>
  <c r="MU403" i="1"/>
  <c r="CX415" i="1"/>
  <c r="GN428" i="1"/>
  <c r="LU398" i="1"/>
  <c r="IA394" i="1"/>
  <c r="MV400" i="1"/>
  <c r="LC426" i="1"/>
  <c r="JZ413" i="1"/>
  <c r="KC418" i="1"/>
  <c r="MQ396" i="1"/>
  <c r="AU414" i="1"/>
  <c r="MA398" i="1"/>
  <c r="MI420" i="1"/>
  <c r="FA401" i="1"/>
  <c r="LI413" i="1"/>
  <c r="DV426" i="1"/>
  <c r="DE394" i="1"/>
  <c r="EN396" i="1"/>
  <c r="MG426" i="1"/>
  <c r="EW409" i="1"/>
  <c r="BG427" i="1"/>
  <c r="NE412" i="1"/>
  <c r="HW394" i="1"/>
  <c r="DD410" i="1"/>
  <c r="CY400" i="1"/>
  <c r="DP409" i="1"/>
  <c r="EN420" i="1"/>
  <c r="IX406" i="1"/>
  <c r="FH403" i="1"/>
  <c r="KX401" i="1"/>
  <c r="EI426" i="1"/>
  <c r="HG395" i="1"/>
  <c r="EW424" i="1"/>
  <c r="HG428" i="1"/>
  <c r="GO416" i="1"/>
  <c r="FP418" i="1"/>
  <c r="GL427" i="1"/>
  <c r="HU397" i="1"/>
  <c r="CR423" i="1"/>
  <c r="GR409" i="1"/>
  <c r="LG428" i="1"/>
  <c r="IP414" i="1"/>
  <c r="FG423" i="1"/>
  <c r="KA396" i="1"/>
  <c r="EH415" i="1"/>
  <c r="IW411" i="1"/>
  <c r="CR413" i="1"/>
  <c r="MH407" i="1"/>
  <c r="GO426" i="1"/>
  <c r="JY418" i="1"/>
  <c r="EO407" i="1"/>
  <c r="GF395" i="1"/>
  <c r="AW425" i="1"/>
  <c r="MO394" i="1"/>
  <c r="BK425" i="1"/>
  <c r="GC411" i="1"/>
  <c r="GK403" i="1"/>
  <c r="DO398" i="1"/>
  <c r="KF414" i="1"/>
  <c r="MF395" i="1"/>
  <c r="IV401" i="1"/>
  <c r="LR397" i="1"/>
  <c r="JF412" i="1"/>
  <c r="MI419" i="1"/>
  <c r="FP414" i="1"/>
  <c r="KD406" i="1"/>
  <c r="JX398" i="1"/>
  <c r="FB425" i="1"/>
  <c r="MK402" i="1"/>
  <c r="LU419" i="1"/>
  <c r="KU414" i="1"/>
  <c r="GI403" i="1"/>
  <c r="DZ402" i="1"/>
  <c r="EZ403" i="1"/>
  <c r="DV400" i="1"/>
  <c r="KX426" i="1"/>
  <c r="IG397" i="1"/>
  <c r="DB414" i="1"/>
  <c r="EV421" i="1"/>
  <c r="DW412" i="1"/>
  <c r="BY425" i="1"/>
  <c r="CT419" i="1"/>
  <c r="JO418" i="1"/>
  <c r="NB410" i="1"/>
  <c r="DP396" i="1"/>
  <c r="JE398" i="1"/>
  <c r="KQ403" i="1"/>
  <c r="JE427" i="1"/>
  <c r="GD423" i="1"/>
  <c r="KP419" i="1"/>
  <c r="JI423" i="1"/>
  <c r="GC422" i="1"/>
  <c r="DG400" i="1"/>
  <c r="EM414" i="1"/>
  <c r="FG425" i="1"/>
  <c r="LL424" i="1"/>
  <c r="MJ415" i="1"/>
  <c r="JS423" i="1"/>
  <c r="KP417" i="1"/>
  <c r="LM416" i="1"/>
  <c r="IQ420" i="1"/>
  <c r="DX407" i="1"/>
  <c r="BK400" i="1"/>
  <c r="DR395" i="1"/>
  <c r="MX422" i="1"/>
  <c r="GN399" i="1"/>
  <c r="LI425" i="1"/>
  <c r="FH409" i="1"/>
  <c r="MM421" i="1"/>
  <c r="JG412" i="1"/>
  <c r="FW423" i="1"/>
  <c r="JG396" i="1"/>
  <c r="BJ426" i="1"/>
  <c r="KZ419" i="1"/>
  <c r="CJ406" i="1"/>
  <c r="FA424" i="1"/>
  <c r="JJ406" i="1"/>
  <c r="EW395" i="1"/>
  <c r="MW406" i="1"/>
  <c r="FG395" i="1"/>
  <c r="FX404" i="1"/>
  <c r="MK422" i="1"/>
  <c r="IA404" i="1"/>
  <c r="MY398" i="1"/>
  <c r="CB413" i="1"/>
  <c r="FK408" i="1"/>
  <c r="CU409" i="1"/>
  <c r="KP420" i="1"/>
  <c r="EX398" i="1"/>
  <c r="MZ410" i="1"/>
  <c r="BK411" i="1"/>
  <c r="GI401" i="1"/>
  <c r="LQ417" i="1"/>
  <c r="LY423" i="1"/>
  <c r="EB399" i="1"/>
  <c r="EU420" i="1"/>
  <c r="JS414" i="1"/>
  <c r="DY400" i="1"/>
  <c r="ER396" i="1"/>
  <c r="CX411" i="1"/>
  <c r="HU427" i="1"/>
  <c r="GK426" i="1"/>
  <c r="GF400" i="1"/>
  <c r="MW409" i="1"/>
  <c r="GG402" i="1"/>
  <c r="LR398" i="1"/>
  <c r="BT399" i="1"/>
  <c r="DC411" i="1"/>
  <c r="IM408" i="1"/>
  <c r="BZ403" i="1"/>
  <c r="MB415" i="1"/>
  <c r="KP426" i="1"/>
  <c r="MC423" i="1"/>
  <c r="CX416" i="1"/>
  <c r="FJ413" i="1"/>
  <c r="FD397" i="1"/>
  <c r="LN408" i="1"/>
  <c r="II417" i="1"/>
  <c r="KT428" i="1"/>
  <c r="ML401" i="1"/>
  <c r="GC394" i="1"/>
  <c r="JI409" i="1"/>
  <c r="FB422" i="1"/>
  <c r="IO401" i="1"/>
  <c r="EL411" i="1"/>
  <c r="HH413" i="1"/>
  <c r="KH402" i="1"/>
  <c r="FD399" i="1"/>
  <c r="CE408" i="1"/>
  <c r="JT403" i="1"/>
  <c r="ND427" i="1"/>
  <c r="LJ427" i="1"/>
  <c r="EY397" i="1"/>
  <c r="LT406" i="1"/>
  <c r="IG412" i="1"/>
  <c r="BX413" i="1"/>
  <c r="CS421" i="1"/>
  <c r="DQ409" i="1"/>
  <c r="IU424" i="1"/>
  <c r="KS407" i="1"/>
  <c r="BY411" i="1"/>
  <c r="IW404" i="1"/>
  <c r="DF411" i="1"/>
  <c r="FK407" i="1"/>
  <c r="EK397" i="1"/>
  <c r="AR397" i="1"/>
  <c r="IK419" i="1"/>
  <c r="BW409" i="1"/>
  <c r="EX396" i="1"/>
  <c r="IL410" i="1"/>
  <c r="EM426" i="1"/>
  <c r="HZ423" i="1"/>
  <c r="IX417" i="1"/>
  <c r="JU402" i="1"/>
  <c r="EO408" i="1"/>
  <c r="CN402" i="1"/>
  <c r="LH423" i="1"/>
  <c r="MU399" i="1"/>
  <c r="LV427" i="1"/>
  <c r="MQ411" i="1"/>
  <c r="IU403" i="1"/>
  <c r="GC417" i="1"/>
  <c r="AT407" i="1"/>
  <c r="KP422" i="1"/>
  <c r="KT406" i="1"/>
  <c r="FS396" i="1"/>
  <c r="HS421" i="1"/>
  <c r="HR411" i="1"/>
  <c r="JV407" i="1"/>
  <c r="MJ409" i="1"/>
  <c r="DZ399" i="1"/>
  <c r="FH402" i="1"/>
  <c r="LG427" i="1"/>
  <c r="GD424" i="1"/>
  <c r="HT422" i="1"/>
  <c r="GP406" i="1"/>
  <c r="FK398" i="1"/>
  <c r="FR403" i="1"/>
  <c r="FL398" i="1"/>
  <c r="GE398" i="1"/>
  <c r="AV427" i="1"/>
  <c r="MZ423" i="1"/>
  <c r="LG422" i="1"/>
  <c r="KU401" i="1"/>
  <c r="DP422" i="1"/>
  <c r="IN427" i="1"/>
  <c r="JC425" i="1"/>
  <c r="BU410" i="1"/>
  <c r="MZ415" i="1"/>
  <c r="LB424" i="1"/>
  <c r="JK412" i="1"/>
  <c r="CU404" i="1"/>
  <c r="BV428" i="1"/>
  <c r="DJ426" i="1"/>
  <c r="CX424" i="1"/>
  <c r="CM410" i="1"/>
  <c r="FZ394" i="1"/>
  <c r="FM395" i="1"/>
  <c r="GH423" i="1"/>
  <c r="IV395" i="1"/>
  <c r="EO421" i="1"/>
  <c r="DG401" i="1"/>
  <c r="EZ406" i="1"/>
  <c r="LB419" i="1"/>
  <c r="MB427" i="1"/>
  <c r="HY396" i="1"/>
  <c r="GH419" i="1"/>
  <c r="GP401" i="1"/>
  <c r="ES425" i="1"/>
  <c r="EK424" i="1"/>
  <c r="EW416" i="1"/>
  <c r="EI406" i="1"/>
  <c r="EH414" i="1"/>
  <c r="BF423" i="1"/>
  <c r="CM395" i="1"/>
  <c r="GN396" i="1"/>
  <c r="KV397" i="1"/>
  <c r="IA424" i="1"/>
  <c r="LO425" i="1"/>
  <c r="LA412" i="1"/>
  <c r="HX411" i="1"/>
  <c r="GR416" i="1"/>
  <c r="JO394" i="1"/>
  <c r="FT408" i="1"/>
  <c r="LL416" i="1"/>
  <c r="FA399" i="1"/>
  <c r="EE415" i="1"/>
  <c r="KJ403" i="1"/>
  <c r="FC402" i="1"/>
  <c r="BH415" i="1"/>
  <c r="DW422" i="1"/>
  <c r="KF422" i="1"/>
  <c r="IG409" i="1"/>
  <c r="DU402" i="1"/>
  <c r="FB423" i="1"/>
  <c r="MI403" i="1"/>
  <c r="LQ426" i="1"/>
  <c r="GO401" i="1"/>
  <c r="MW414" i="1"/>
  <c r="MX412" i="1"/>
  <c r="MK421" i="1"/>
  <c r="JD397" i="1"/>
  <c r="JK421" i="1"/>
  <c r="LU394" i="1"/>
  <c r="KE426" i="1"/>
  <c r="JQ409" i="1"/>
  <c r="LO399" i="1"/>
  <c r="LL415" i="1"/>
  <c r="NA399" i="1"/>
  <c r="IW412" i="1"/>
  <c r="JO407" i="1"/>
  <c r="GE400" i="1"/>
  <c r="MF428" i="1"/>
  <c r="FE411" i="1"/>
  <c r="FM400" i="1"/>
  <c r="II419" i="1"/>
  <c r="ED425" i="1"/>
  <c r="MP400" i="1"/>
  <c r="MD397" i="1"/>
  <c r="LG426" i="1"/>
  <c r="IN415" i="1"/>
  <c r="DX400" i="1"/>
  <c r="FI428" i="1"/>
  <c r="NA416" i="1"/>
  <c r="BJ404" i="1"/>
  <c r="EK416" i="1"/>
  <c r="CW411" i="1"/>
  <c r="NE407" i="1"/>
  <c r="LE422" i="1"/>
  <c r="JG417" i="1"/>
  <c r="FU399" i="1"/>
  <c r="GM396" i="1"/>
  <c r="FM423" i="1"/>
  <c r="GR395" i="1"/>
  <c r="DD428" i="1"/>
  <c r="FK400" i="1"/>
  <c r="IH419" i="1"/>
  <c r="KL416" i="1"/>
  <c r="KS402" i="1"/>
  <c r="JV427" i="1"/>
  <c r="KO404" i="1"/>
  <c r="LN421" i="1"/>
  <c r="GI407" i="1"/>
  <c r="FB414" i="1"/>
  <c r="KL421" i="1"/>
  <c r="LZ398" i="1"/>
  <c r="EE416" i="1"/>
  <c r="GP407" i="1"/>
  <c r="DU397" i="1"/>
  <c r="GK416" i="1"/>
  <c r="BK397" i="1"/>
  <c r="GH401" i="1"/>
  <c r="LH422" i="1"/>
  <c r="IK394" i="1"/>
  <c r="CU413" i="1"/>
  <c r="EW404" i="1"/>
  <c r="LE418" i="1"/>
  <c r="CK394" i="1"/>
  <c r="MH413" i="1"/>
  <c r="JS418" i="1"/>
  <c r="BG403" i="1"/>
  <c r="EX418" i="1"/>
  <c r="MJ420" i="1"/>
  <c r="JT417" i="1"/>
  <c r="CI396" i="1"/>
  <c r="DP401" i="1"/>
  <c r="EN425" i="1"/>
  <c r="GJ401" i="1"/>
  <c r="HU402" i="1"/>
  <c r="DE416" i="1"/>
  <c r="MX413" i="1"/>
  <c r="CC417" i="1"/>
  <c r="LJ397" i="1"/>
  <c r="BO411" i="1"/>
  <c r="MI423" i="1"/>
  <c r="KU397" i="1"/>
  <c r="KJ414" i="1"/>
  <c r="LQ394" i="1"/>
  <c r="IP399" i="1"/>
  <c r="KH407" i="1"/>
  <c r="HH418" i="1"/>
  <c r="KD424" i="1"/>
  <c r="MM415" i="1"/>
  <c r="DH406" i="1"/>
  <c r="FA427" i="1"/>
  <c r="IV424" i="1"/>
  <c r="CM396" i="1"/>
  <c r="MC398" i="1"/>
  <c r="DM408" i="1"/>
  <c r="MA402" i="1"/>
  <c r="JL416" i="1"/>
  <c r="JO406" i="1"/>
  <c r="FQ425" i="1"/>
  <c r="DP425" i="1"/>
  <c r="KB394" i="1"/>
  <c r="CM420" i="1"/>
  <c r="MX419" i="1"/>
  <c r="JC418" i="1"/>
  <c r="AS425" i="1"/>
  <c r="LJ411" i="1"/>
  <c r="FC401" i="1"/>
  <c r="FY423" i="1"/>
  <c r="FQ423" i="1"/>
  <c r="DT410" i="1"/>
  <c r="ET411" i="1"/>
  <c r="MK404" i="1"/>
  <c r="IM398" i="1"/>
  <c r="EP398" i="1"/>
  <c r="AU423" i="1"/>
  <c r="KC409" i="1"/>
  <c r="MT407" i="1"/>
  <c r="IZ395" i="1"/>
  <c r="DE408" i="1"/>
  <c r="FQ396" i="1"/>
  <c r="KA402" i="1"/>
  <c r="MY396" i="1"/>
  <c r="EO398" i="1"/>
  <c r="NB409" i="1"/>
  <c r="AW400" i="1"/>
  <c r="GI421" i="1"/>
  <c r="HF423" i="1"/>
  <c r="MP412" i="1"/>
  <c r="DJ408" i="1"/>
  <c r="FX425" i="1"/>
  <c r="GI413" i="1"/>
  <c r="LD418" i="1"/>
  <c r="FC421" i="1"/>
  <c r="IQ415" i="1"/>
  <c r="FJ397" i="1"/>
  <c r="NC413" i="1"/>
  <c r="CQ396" i="1"/>
  <c r="IZ404" i="1"/>
  <c r="FG401" i="1"/>
  <c r="MO413" i="1"/>
  <c r="KM398" i="1"/>
  <c r="DK418" i="1"/>
  <c r="CR406" i="1"/>
  <c r="FX406" i="1"/>
  <c r="EL395" i="1"/>
  <c r="JK420" i="1"/>
  <c r="GL410" i="1"/>
  <c r="JK419" i="1"/>
  <c r="MZ394" i="1"/>
  <c r="JV428" i="1"/>
  <c r="NA420" i="1"/>
  <c r="CZ424" i="1"/>
  <c r="DD394" i="1"/>
  <c r="LW397" i="1"/>
  <c r="AU396" i="1"/>
  <c r="IV415" i="1"/>
  <c r="MA423" i="1"/>
  <c r="BJ406" i="1"/>
  <c r="HW407" i="1"/>
  <c r="DU426" i="1"/>
  <c r="JK416" i="1"/>
  <c r="HG407" i="1"/>
  <c r="FF407" i="1"/>
  <c r="ML424" i="1"/>
  <c r="EL398" i="1"/>
  <c r="MN419" i="1"/>
  <c r="CB406" i="1"/>
  <c r="MW424" i="1"/>
  <c r="GM398" i="1"/>
  <c r="DF423" i="1"/>
  <c r="DR400" i="1"/>
  <c r="MF399" i="1"/>
  <c r="GE413" i="1"/>
  <c r="EI400" i="1"/>
  <c r="GU413" i="1"/>
  <c r="KG406" i="1"/>
  <c r="GL401" i="1"/>
  <c r="FC414" i="1"/>
  <c r="JK407" i="1"/>
  <c r="CC403" i="1"/>
  <c r="HG409" i="1"/>
  <c r="FM418" i="1"/>
  <c r="NA400" i="1"/>
  <c r="KZ418" i="1"/>
  <c r="JP423" i="1"/>
  <c r="DB410" i="1"/>
  <c r="NC408" i="1"/>
  <c r="HW398" i="1"/>
  <c r="MO416" i="1"/>
  <c r="ND409" i="1"/>
  <c r="LH414" i="1"/>
  <c r="EI428" i="1"/>
  <c r="MV415" i="1"/>
  <c r="KE422" i="1"/>
  <c r="KD398" i="1"/>
  <c r="CN415" i="1"/>
  <c r="II408" i="1"/>
  <c r="EQ426" i="1"/>
  <c r="DV395" i="1"/>
  <c r="KX404" i="1"/>
  <c r="EN406" i="1"/>
  <c r="FT397" i="1"/>
  <c r="EK427" i="1"/>
  <c r="LA394" i="1"/>
  <c r="LG420" i="1"/>
  <c r="FT423" i="1"/>
  <c r="LG418" i="1"/>
  <c r="LB418" i="1"/>
  <c r="NC414" i="1"/>
  <c r="LE399" i="1"/>
  <c r="CA417" i="1"/>
  <c r="CD420" i="1"/>
  <c r="GR414" i="1"/>
  <c r="LA428" i="1"/>
  <c r="JO426" i="1"/>
  <c r="MA424" i="1"/>
  <c r="IA407" i="1"/>
  <c r="JT414" i="1"/>
  <c r="BN412" i="1"/>
  <c r="KU417" i="1"/>
  <c r="BM419" i="1"/>
  <c r="GP425" i="1"/>
  <c r="MJ408" i="1"/>
  <c r="FI424" i="1"/>
  <c r="KJ425" i="1"/>
  <c r="LF394" i="1"/>
  <c r="CT418" i="1"/>
  <c r="LW406" i="1"/>
  <c r="KC400" i="1"/>
  <c r="BH396" i="1"/>
  <c r="HS423" i="1"/>
  <c r="GF409" i="1"/>
  <c r="FO396" i="1"/>
  <c r="FV413" i="1"/>
  <c r="LU420" i="1"/>
  <c r="IZ422" i="1"/>
  <c r="II425" i="1"/>
  <c r="EW420" i="1"/>
  <c r="MF422" i="1"/>
  <c r="LI423" i="1"/>
  <c r="MJ416" i="1"/>
  <c r="BW404" i="1"/>
  <c r="MW411" i="1"/>
  <c r="CR416" i="1"/>
  <c r="KW419" i="1"/>
  <c r="BN403" i="1"/>
  <c r="GJ397" i="1"/>
  <c r="CX406" i="1"/>
  <c r="CY394" i="1"/>
  <c r="AV423" i="1"/>
  <c r="KY416" i="1"/>
  <c r="KN396" i="1"/>
  <c r="DT407" i="1"/>
  <c r="JK397" i="1"/>
  <c r="CU416" i="1"/>
  <c r="ME412" i="1"/>
  <c r="FC417" i="1"/>
  <c r="AT399" i="1"/>
  <c r="JW410" i="1"/>
  <c r="ND411" i="1"/>
  <c r="LS424" i="1"/>
  <c r="ND422" i="1"/>
  <c r="LF406" i="1"/>
  <c r="CS422" i="1"/>
  <c r="GR420" i="1"/>
  <c r="FL401" i="1"/>
  <c r="KS418" i="1"/>
  <c r="HU426" i="1"/>
  <c r="CU408" i="1"/>
  <c r="LS411" i="1"/>
  <c r="IP396" i="1"/>
  <c r="JB396" i="1"/>
  <c r="CM400" i="1"/>
  <c r="KX408" i="1"/>
  <c r="MI412" i="1"/>
  <c r="DS406" i="1"/>
  <c r="CC402" i="1"/>
  <c r="KD412" i="1"/>
  <c r="MN408" i="1"/>
  <c r="GA423" i="1"/>
  <c r="JR395" i="1"/>
  <c r="FP425" i="1"/>
  <c r="HF428" i="1"/>
  <c r="DT421" i="1"/>
  <c r="LR396" i="1"/>
  <c r="EV419" i="1"/>
  <c r="BI396" i="1"/>
  <c r="LL422" i="1"/>
  <c r="FK412" i="1"/>
  <c r="LG421" i="1"/>
  <c r="DZ400" i="1"/>
  <c r="BW420" i="1"/>
  <c r="KQ426" i="1"/>
  <c r="LN419" i="1"/>
  <c r="LH398" i="1"/>
  <c r="BI425" i="1"/>
  <c r="EV399" i="1"/>
  <c r="JW421" i="1"/>
  <c r="DX413" i="1"/>
  <c r="MB408" i="1"/>
  <c r="DM398" i="1"/>
  <c r="FN403" i="1"/>
  <c r="DO428" i="1"/>
  <c r="EO395" i="1"/>
  <c r="BM427" i="1"/>
  <c r="MB416" i="1"/>
  <c r="HF404" i="1"/>
  <c r="JE395" i="1"/>
  <c r="JA413" i="1"/>
  <c r="LJ417" i="1"/>
  <c r="LZ407" i="1"/>
  <c r="FY402" i="1"/>
  <c r="CJ427" i="1"/>
  <c r="DT413" i="1"/>
  <c r="HY421" i="1"/>
  <c r="CO395" i="1"/>
  <c r="FZ410" i="1"/>
  <c r="NB398" i="1"/>
  <c r="JA416" i="1"/>
  <c r="LF408" i="1"/>
  <c r="AW409" i="1"/>
  <c r="JF401" i="1"/>
  <c r="JG423" i="1"/>
  <c r="CB412" i="1"/>
  <c r="GS403" i="1"/>
  <c r="AW396" i="1"/>
  <c r="FB406" i="1"/>
  <c r="JW398" i="1"/>
  <c r="FM394" i="1"/>
  <c r="CR396" i="1"/>
  <c r="KC397" i="1"/>
  <c r="LV412" i="1"/>
  <c r="HH408" i="1"/>
  <c r="KD426" i="1"/>
  <c r="JI414" i="1"/>
  <c r="EB409" i="1"/>
  <c r="FX395" i="1"/>
  <c r="BO423" i="1"/>
  <c r="IH398" i="1"/>
  <c r="LN412" i="1"/>
  <c r="IJ406" i="1"/>
  <c r="AT408" i="1"/>
  <c r="JA402" i="1"/>
  <c r="JQ408" i="1"/>
  <c r="HI415" i="1"/>
  <c r="KY418" i="1"/>
  <c r="JI422" i="1"/>
  <c r="DJ414" i="1"/>
  <c r="EX412" i="1"/>
  <c r="EY401" i="1"/>
  <c r="LF426" i="1"/>
  <c r="CT407" i="1"/>
  <c r="JE416" i="1"/>
  <c r="AU420" i="1"/>
  <c r="DB423" i="1"/>
  <c r="DI416" i="1"/>
  <c r="FV416" i="1"/>
  <c r="GB421" i="1"/>
  <c r="EO415" i="1"/>
  <c r="FS408" i="1"/>
  <c r="MU418" i="1"/>
  <c r="LE424" i="1"/>
  <c r="KS426" i="1"/>
  <c r="DR414" i="1"/>
  <c r="LP427" i="1"/>
  <c r="HX419" i="1"/>
  <c r="AV398" i="1"/>
  <c r="LB396" i="1"/>
  <c r="NC403" i="1"/>
  <c r="MO407" i="1"/>
  <c r="GI416" i="1"/>
  <c r="LO424" i="1"/>
  <c r="HU413" i="1"/>
  <c r="ET421" i="1"/>
  <c r="JX427" i="1"/>
  <c r="MQ401" i="1"/>
  <c r="CY398" i="1"/>
  <c r="FX403" i="1"/>
  <c r="FA417" i="1"/>
  <c r="BU420" i="1"/>
  <c r="FR395" i="1"/>
  <c r="BW402" i="1"/>
  <c r="DV416" i="1"/>
  <c r="FD417" i="1"/>
  <c r="CR410" i="1"/>
  <c r="MG418" i="1"/>
  <c r="FJ407" i="1"/>
  <c r="KM399" i="1"/>
  <c r="BW398" i="1"/>
  <c r="HI424" i="1"/>
  <c r="CO427" i="1"/>
  <c r="DA409" i="1"/>
  <c r="IW398" i="1"/>
  <c r="HW425" i="1"/>
  <c r="EA396" i="1"/>
  <c r="LK395" i="1"/>
  <c r="JN417" i="1"/>
  <c r="JQ424" i="1"/>
  <c r="NC399" i="1"/>
  <c r="MV424" i="1"/>
  <c r="NC397" i="1"/>
  <c r="CT420" i="1"/>
  <c r="JZ407" i="1"/>
  <c r="KR406" i="1"/>
  <c r="DA404" i="1"/>
  <c r="AS415" i="1"/>
  <c r="GU399" i="1"/>
  <c r="JF406" i="1"/>
  <c r="FC413" i="1"/>
  <c r="KA412" i="1"/>
  <c r="DD421" i="1"/>
  <c r="EA425" i="1"/>
  <c r="DE427" i="1"/>
  <c r="KM395" i="1"/>
  <c r="JF409" i="1"/>
  <c r="MN413" i="1"/>
  <c r="CA415" i="1"/>
  <c r="DU417" i="1"/>
  <c r="BH398" i="1"/>
  <c r="CX421" i="1"/>
  <c r="IL424" i="1"/>
  <c r="DX396" i="1"/>
  <c r="GC427" i="1"/>
  <c r="IQ396" i="1"/>
  <c r="DG404" i="1"/>
  <c r="LR410" i="1"/>
  <c r="GA397" i="1"/>
  <c r="KE416" i="1"/>
  <c r="ET423" i="1"/>
  <c r="FA413" i="1"/>
  <c r="EE420" i="1"/>
  <c r="HG399" i="1"/>
  <c r="GG409" i="1"/>
  <c r="MK395" i="1"/>
  <c r="FW424" i="1"/>
  <c r="CB401" i="1"/>
  <c r="AV424" i="1"/>
  <c r="FL420" i="1"/>
  <c r="GB428" i="1"/>
  <c r="JY411" i="1"/>
  <c r="EZ409" i="1"/>
  <c r="JQ410" i="1"/>
  <c r="LN395" i="1"/>
  <c r="IO427" i="1"/>
  <c r="LN414" i="1"/>
  <c r="GD401" i="1"/>
  <c r="JP407" i="1"/>
  <c r="AW398" i="1"/>
  <c r="BV400" i="1"/>
  <c r="LI417" i="1"/>
  <c r="GO419" i="1"/>
  <c r="JP414" i="1"/>
  <c r="BG410" i="1"/>
  <c r="NB397" i="1"/>
  <c r="JD410" i="1"/>
  <c r="IJ396" i="1"/>
  <c r="BL404" i="1"/>
  <c r="LZ422" i="1"/>
  <c r="MZ428" i="1"/>
  <c r="MB402" i="1"/>
  <c r="MJ428" i="1"/>
  <c r="CT422" i="1"/>
  <c r="MX398" i="1"/>
  <c r="KG408" i="1"/>
  <c r="BH426" i="1"/>
  <c r="MY409" i="1"/>
  <c r="CA394" i="1"/>
  <c r="NE426" i="1"/>
  <c r="FP408" i="1"/>
  <c r="KI414" i="1"/>
  <c r="MB420" i="1"/>
  <c r="CP410" i="1"/>
  <c r="IJ428" i="1"/>
  <c r="LA423" i="1"/>
  <c r="JU411" i="1"/>
  <c r="BX398" i="1"/>
  <c r="BM394" i="1"/>
  <c r="JK404" i="1"/>
  <c r="ET397" i="1"/>
  <c r="IZ428" i="1"/>
  <c r="GN416" i="1"/>
  <c r="LX425" i="1"/>
  <c r="FI426" i="1"/>
  <c r="MX402" i="1"/>
  <c r="LN420" i="1"/>
  <c r="MM408" i="1"/>
  <c r="MU408" i="1"/>
  <c r="KH422" i="1"/>
  <c r="KP395" i="1"/>
  <c r="CM399" i="1"/>
  <c r="DL425" i="1"/>
  <c r="JM417" i="1"/>
  <c r="JX399" i="1"/>
  <c r="LC416" i="1"/>
  <c r="BZ414" i="1"/>
  <c r="BL427" i="1"/>
  <c r="ES397" i="1"/>
  <c r="GC414" i="1"/>
  <c r="GA411" i="1"/>
  <c r="IA403" i="1"/>
  <c r="DP400" i="1"/>
  <c r="AV409" i="1"/>
  <c r="DQ421" i="1"/>
  <c r="HY419" i="1"/>
  <c r="EJ410" i="1"/>
  <c r="EJ397" i="1"/>
  <c r="ES423" i="1"/>
  <c r="LU406" i="1"/>
  <c r="DH410" i="1"/>
  <c r="GA415" i="1"/>
  <c r="MU395" i="1"/>
  <c r="DC409" i="1"/>
  <c r="JX421" i="1"/>
  <c r="DZ404" i="1"/>
  <c r="KV426" i="1"/>
  <c r="JO416" i="1"/>
  <c r="EF410" i="1"/>
  <c r="BU418" i="1"/>
  <c r="MN399" i="1"/>
  <c r="ED428" i="1"/>
  <c r="DJ425" i="1"/>
  <c r="ML415" i="1"/>
  <c r="HG425" i="1"/>
  <c r="CK421" i="1"/>
  <c r="IQ424" i="1"/>
  <c r="KJ411" i="1"/>
  <c r="AU403" i="1"/>
  <c r="EA406" i="1"/>
  <c r="MX415" i="1"/>
  <c r="DL399" i="1"/>
  <c r="MX428" i="1"/>
  <c r="LN425" i="1"/>
  <c r="DU400" i="1"/>
  <c r="LC395" i="1"/>
  <c r="BV413" i="1"/>
  <c r="LM414" i="1"/>
  <c r="DM424" i="1"/>
  <c r="FV401" i="1"/>
  <c r="EG415" i="1"/>
  <c r="LA397" i="1"/>
  <c r="LP411" i="1"/>
  <c r="FU409" i="1"/>
  <c r="KE420" i="1"/>
  <c r="GT400" i="1"/>
  <c r="FD404" i="1"/>
  <c r="JB423" i="1"/>
  <c r="JB403" i="1"/>
  <c r="EC420" i="1"/>
  <c r="FE427" i="1"/>
  <c r="KQ396" i="1"/>
  <c r="KR424" i="1"/>
  <c r="EI412" i="1"/>
  <c r="FX427" i="1"/>
  <c r="BK401" i="1"/>
  <c r="LW411" i="1"/>
  <c r="HF416" i="1"/>
  <c r="JU406" i="1"/>
  <c r="KU426" i="1"/>
  <c r="LN422" i="1"/>
  <c r="BJ401" i="1"/>
  <c r="LH425" i="1"/>
  <c r="JE425" i="1"/>
  <c r="LH420" i="1"/>
  <c r="KI424" i="1"/>
  <c r="FU426" i="1"/>
  <c r="FR422" i="1"/>
  <c r="KD413" i="1"/>
  <c r="EA409" i="1"/>
  <c r="EB424" i="1"/>
  <c r="EM397" i="1"/>
  <c r="DH428" i="1"/>
  <c r="BZ424" i="1"/>
  <c r="MA420" i="1"/>
  <c r="CY417" i="1"/>
  <c r="GK406" i="1"/>
  <c r="BI427" i="1"/>
  <c r="LE408" i="1"/>
  <c r="JV418" i="1"/>
  <c r="GD397" i="1"/>
  <c r="MP422" i="1"/>
  <c r="GQ409" i="1"/>
  <c r="KB397" i="1"/>
  <c r="KR410" i="1"/>
  <c r="BU414" i="1"/>
  <c r="GM416" i="1"/>
  <c r="DC422" i="1"/>
  <c r="DP407" i="1"/>
  <c r="CN409" i="1"/>
  <c r="GO425" i="1"/>
  <c r="DA408" i="1"/>
  <c r="CS395" i="1"/>
  <c r="GU410" i="1"/>
  <c r="MK419" i="1"/>
  <c r="DG415" i="1"/>
  <c r="CC413" i="1"/>
  <c r="LX399" i="1"/>
  <c r="KI396" i="1"/>
  <c r="CM409" i="1"/>
  <c r="BI426" i="1"/>
  <c r="ET416" i="1"/>
  <c r="CN410" i="1"/>
  <c r="LS412" i="1"/>
  <c r="BH395" i="1"/>
  <c r="DO412" i="1"/>
  <c r="LM411" i="1"/>
  <c r="BV406" i="1"/>
  <c r="MZ417" i="1"/>
  <c r="MH424" i="1"/>
  <c r="KC411" i="1"/>
  <c r="BG413" i="1"/>
  <c r="KT413" i="1"/>
  <c r="DK424" i="1"/>
  <c r="LM401" i="1"/>
  <c r="DZ395" i="1"/>
  <c r="DH417" i="1"/>
  <c r="CL425" i="1"/>
  <c r="FZ416" i="1"/>
  <c r="KU404" i="1"/>
  <c r="II407" i="1"/>
  <c r="HV422" i="1"/>
  <c r="IX411" i="1"/>
  <c r="JB398" i="1"/>
  <c r="CY396" i="1"/>
  <c r="CO420" i="1"/>
  <c r="JG397" i="1"/>
  <c r="FX408" i="1"/>
  <c r="MK398" i="1"/>
  <c r="JI394" i="1"/>
  <c r="MG411" i="1"/>
  <c r="FL413" i="1"/>
  <c r="LY425" i="1"/>
  <c r="EE426" i="1"/>
  <c r="DC407" i="1"/>
  <c r="AW411" i="1"/>
  <c r="JR420" i="1"/>
  <c r="JN409" i="1"/>
  <c r="DG412" i="1"/>
  <c r="LM428" i="1"/>
  <c r="HV400" i="1"/>
  <c r="JU395" i="1"/>
  <c r="II409" i="1"/>
  <c r="BH394" i="1"/>
  <c r="HH406" i="1"/>
  <c r="FN404" i="1"/>
  <c r="IX422" i="1"/>
  <c r="LM398" i="1"/>
  <c r="NA419" i="1"/>
  <c r="DU410" i="1"/>
  <c r="KM413" i="1"/>
  <c r="DX427" i="1"/>
  <c r="CZ413" i="1"/>
  <c r="JE412" i="1"/>
  <c r="BL422" i="1"/>
  <c r="IM421" i="1"/>
  <c r="KL408" i="1"/>
  <c r="EW411" i="1"/>
  <c r="DK403" i="1"/>
  <c r="GH408" i="1"/>
  <c r="DP397" i="1"/>
  <c r="EZ401" i="1"/>
  <c r="LN406" i="1"/>
  <c r="LM408" i="1"/>
  <c r="JQ400" i="1"/>
  <c r="CS407" i="1"/>
  <c r="AS396" i="1"/>
  <c r="GE417" i="1"/>
  <c r="GM424" i="1"/>
  <c r="JB416" i="1"/>
  <c r="BV399" i="1"/>
  <c r="JD424" i="1"/>
  <c r="EH424" i="1"/>
  <c r="CZ427" i="1"/>
  <c r="FW394" i="1"/>
  <c r="CA407" i="1"/>
  <c r="EZ425" i="1"/>
  <c r="EQ410" i="1"/>
  <c r="JL397" i="1"/>
  <c r="BZ418" i="1"/>
  <c r="LH401" i="1"/>
  <c r="GH425" i="1"/>
  <c r="CR428" i="1"/>
  <c r="GG399" i="1"/>
  <c r="KO427" i="1"/>
  <c r="HI399" i="1"/>
  <c r="FZ411" i="1"/>
  <c r="JV408" i="1"/>
  <c r="JC416" i="1"/>
  <c r="FQ418" i="1"/>
  <c r="HF411" i="1"/>
  <c r="ET407" i="1"/>
  <c r="HT425" i="1"/>
  <c r="BM417" i="1"/>
  <c r="FE412" i="1"/>
  <c r="HV395" i="1"/>
  <c r="CI421" i="1"/>
  <c r="LO420" i="1"/>
  <c r="FA425" i="1"/>
  <c r="EK394" i="1"/>
  <c r="FM410" i="1"/>
  <c r="LR401" i="1"/>
  <c r="GE422" i="1"/>
  <c r="MX395" i="1"/>
  <c r="JE413" i="1"/>
  <c r="DW417" i="1"/>
  <c r="ER421" i="1"/>
  <c r="EV414" i="1"/>
  <c r="KG420" i="1"/>
  <c r="CL415" i="1"/>
  <c r="HS418" i="1"/>
  <c r="IP395" i="1"/>
  <c r="DP415" i="1"/>
  <c r="GC416" i="1"/>
  <c r="BU413" i="1"/>
  <c r="CE418" i="1"/>
  <c r="JE394" i="1"/>
  <c r="HE408" i="1"/>
  <c r="GS426" i="1"/>
  <c r="BX411" i="1"/>
  <c r="CS406" i="1"/>
  <c r="LK423" i="1"/>
  <c r="EJ418" i="1"/>
  <c r="EZ404" i="1"/>
  <c r="NB396" i="1"/>
  <c r="MP404" i="1"/>
  <c r="GL395" i="1"/>
  <c r="CU421" i="1"/>
  <c r="IN397" i="1"/>
  <c r="KY426" i="1"/>
  <c r="BF402" i="1"/>
  <c r="EA423" i="1"/>
  <c r="CY419" i="1"/>
  <c r="IM414" i="1"/>
  <c r="JL401" i="1"/>
  <c r="LC419" i="1"/>
  <c r="IK410" i="1"/>
  <c r="IH404" i="1"/>
  <c r="HT398" i="1"/>
  <c r="LV426" i="1"/>
  <c r="EV403" i="1"/>
  <c r="LA410" i="1"/>
  <c r="NC419" i="1"/>
  <c r="KV398" i="1"/>
  <c r="DP424" i="1"/>
  <c r="IW403" i="1"/>
  <c r="DS417" i="1"/>
  <c r="GN415" i="1"/>
  <c r="FL400" i="1"/>
  <c r="MT410" i="1"/>
  <c r="JO415" i="1"/>
  <c r="LR415" i="1"/>
  <c r="CC422" i="1"/>
  <c r="GN419" i="1"/>
  <c r="KC422" i="1"/>
  <c r="GL420" i="1"/>
  <c r="GC398" i="1"/>
  <c r="JK394" i="1"/>
  <c r="IH424" i="1"/>
  <c r="LE401" i="1"/>
  <c r="MA419" i="1"/>
  <c r="NC402" i="1"/>
  <c r="CM394" i="1"/>
  <c r="DL396" i="1"/>
  <c r="HT428" i="1"/>
  <c r="FS416" i="1"/>
  <c r="FT398" i="1"/>
  <c r="CT411" i="1"/>
  <c r="FQ411" i="1"/>
  <c r="FY410" i="1"/>
  <c r="FJ416" i="1"/>
  <c r="DE407" i="1"/>
  <c r="GS399" i="1"/>
  <c r="FJ425" i="1"/>
  <c r="KT415" i="1"/>
  <c r="DO400" i="1"/>
  <c r="IH423" i="1"/>
  <c r="GN413" i="1"/>
  <c r="JT426" i="1"/>
  <c r="LK400" i="1"/>
  <c r="LT399" i="1"/>
  <c r="DG424" i="1"/>
  <c r="MG414" i="1"/>
  <c r="LP409" i="1"/>
  <c r="KD427" i="1"/>
  <c r="JC428" i="1"/>
  <c r="JT412" i="1"/>
  <c r="HU415" i="1"/>
  <c r="FY401" i="1"/>
  <c r="BK404" i="1"/>
  <c r="FS400" i="1"/>
  <c r="KE418" i="1"/>
  <c r="LD408" i="1"/>
  <c r="LT411" i="1"/>
  <c r="CA396" i="1"/>
  <c r="DO420" i="1"/>
  <c r="GI394" i="1"/>
  <c r="MH397" i="1"/>
  <c r="IX409" i="1"/>
  <c r="LZ416" i="1"/>
  <c r="MU415" i="1"/>
  <c r="HT408" i="1"/>
  <c r="GT409" i="1"/>
  <c r="KE417" i="1"/>
  <c r="DH426" i="1"/>
  <c r="KZ403" i="1"/>
  <c r="KW417" i="1"/>
  <c r="DY416" i="1"/>
  <c r="CK412" i="1"/>
  <c r="NC406" i="1"/>
  <c r="FK413" i="1"/>
  <c r="AT428" i="1"/>
  <c r="LO403" i="1"/>
  <c r="IQ400" i="1"/>
  <c r="MM397" i="1"/>
  <c r="JL423" i="1"/>
  <c r="BW412" i="1"/>
  <c r="FA410" i="1"/>
  <c r="KH398" i="1"/>
  <c r="CM401" i="1"/>
  <c r="KM407" i="1"/>
  <c r="GE403" i="1"/>
  <c r="MV412" i="1"/>
  <c r="BY418" i="1"/>
  <c r="KL418" i="1"/>
  <c r="KS412" i="1"/>
  <c r="JL412" i="1"/>
  <c r="JO414" i="1"/>
  <c r="KG428" i="1"/>
  <c r="CO419" i="1"/>
  <c r="CJ418" i="1"/>
  <c r="FP428" i="1"/>
  <c r="LJ412" i="1"/>
  <c r="JA398" i="1"/>
  <c r="KX412" i="1"/>
  <c r="IJ402" i="1"/>
  <c r="DI427" i="1"/>
  <c r="ND419" i="1"/>
  <c r="IZ398" i="1"/>
  <c r="LF397" i="1"/>
  <c r="FH394" i="1"/>
  <c r="EW418" i="1"/>
  <c r="LR412" i="1"/>
  <c r="KI417" i="1"/>
  <c r="EU407" i="1"/>
  <c r="EE396" i="1"/>
  <c r="FF394" i="1"/>
  <c r="BV397" i="1"/>
  <c r="ET401" i="1"/>
  <c r="BV425" i="1"/>
  <c r="MI400" i="1"/>
  <c r="GG416" i="1"/>
  <c r="GO406" i="1"/>
  <c r="GG398" i="1"/>
  <c r="HS425" i="1"/>
  <c r="BJ425" i="1"/>
  <c r="JT396" i="1"/>
  <c r="KC421" i="1"/>
  <c r="GJ400" i="1"/>
  <c r="FV419" i="1"/>
  <c r="FZ419" i="1"/>
  <c r="JZ410" i="1"/>
  <c r="KD416" i="1"/>
  <c r="FB397" i="1"/>
  <c r="EA395" i="1"/>
  <c r="KC408" i="1"/>
  <c r="KG418" i="1"/>
  <c r="GH394" i="1"/>
  <c r="BK420" i="1"/>
  <c r="MJ397" i="1"/>
  <c r="GP412" i="1"/>
  <c r="DR396" i="1"/>
  <c r="KO400" i="1"/>
  <c r="CU424" i="1"/>
  <c r="AS424" i="1"/>
  <c r="FR413" i="1"/>
  <c r="GA409" i="1"/>
  <c r="IY403" i="1"/>
  <c r="IA413" i="1"/>
  <c r="BX407" i="1"/>
  <c r="FP419" i="1"/>
  <c r="DQ417" i="1"/>
  <c r="LZ417" i="1"/>
  <c r="DB421" i="1"/>
  <c r="HZ427" i="1"/>
  <c r="BI399" i="1"/>
  <c r="HH404" i="1"/>
  <c r="GI414" i="1"/>
  <c r="DV414" i="1"/>
  <c r="EM411" i="1"/>
  <c r="BX423" i="1"/>
  <c r="JQ426" i="1"/>
  <c r="BO422" i="1"/>
  <c r="JI418" i="1"/>
  <c r="MY400" i="1"/>
  <c r="FI401" i="1"/>
  <c r="EC426" i="1"/>
  <c r="MT402" i="1"/>
  <c r="KF416" i="1"/>
  <c r="FA398" i="1"/>
  <c r="ES415" i="1"/>
  <c r="CB409" i="1"/>
  <c r="LC417" i="1"/>
  <c r="LF414" i="1"/>
  <c r="HU420" i="1"/>
  <c r="FO410" i="1"/>
  <c r="GO427" i="1"/>
  <c r="CJ395" i="1"/>
  <c r="CB417" i="1"/>
  <c r="MH427" i="1"/>
  <c r="IV421" i="1"/>
  <c r="KC428" i="1"/>
  <c r="BW397" i="1"/>
  <c r="GQ394" i="1"/>
  <c r="HW415" i="1"/>
  <c r="DM417" i="1"/>
  <c r="DE421" i="1"/>
  <c r="LG416" i="1"/>
  <c r="JQ423" i="1"/>
  <c r="CY410" i="1"/>
  <c r="EB423" i="1"/>
  <c r="JI427" i="1"/>
  <c r="CL398" i="1"/>
  <c r="LL419" i="1"/>
  <c r="DA399" i="1"/>
  <c r="IG396" i="1"/>
  <c r="HX415" i="1"/>
  <c r="CP423" i="1"/>
  <c r="GC404" i="1"/>
  <c r="LM422" i="1"/>
  <c r="DH398" i="1"/>
  <c r="FR399" i="1"/>
  <c r="EB426" i="1"/>
  <c r="JT418" i="1"/>
  <c r="CD407" i="1"/>
  <c r="EE394" i="1"/>
  <c r="MG408" i="1"/>
  <c r="LU407" i="1"/>
  <c r="MX404" i="1"/>
  <c r="DW404" i="1"/>
  <c r="ES411" i="1"/>
  <c r="GN398" i="1"/>
  <c r="LQ414" i="1"/>
  <c r="KT421" i="1"/>
  <c r="FA403" i="1"/>
  <c r="CQ418" i="1"/>
  <c r="EP417" i="1"/>
  <c r="MC425" i="1"/>
  <c r="FD400" i="1"/>
  <c r="LX419" i="1"/>
  <c r="CH426" i="1"/>
  <c r="JB399" i="1"/>
  <c r="CN428" i="1"/>
  <c r="GC406" i="1"/>
  <c r="DQ419" i="1"/>
  <c r="BJ418" i="1"/>
  <c r="DR426" i="1"/>
  <c r="JO399" i="1"/>
  <c r="MG409" i="1"/>
  <c r="DJ402" i="1"/>
  <c r="DD418" i="1"/>
  <c r="EP397" i="1"/>
  <c r="LU423" i="1"/>
  <c r="MV395" i="1"/>
  <c r="FV418" i="1"/>
  <c r="LY404" i="1"/>
  <c r="HU396" i="1"/>
  <c r="FA406" i="1"/>
  <c r="DM403" i="1"/>
  <c r="GH407" i="1"/>
  <c r="GN414" i="1"/>
  <c r="CT416" i="1"/>
  <c r="FA412" i="1"/>
  <c r="CI399" i="1"/>
  <c r="GK404" i="1"/>
  <c r="LY426" i="1"/>
  <c r="KR413" i="1"/>
  <c r="AR395" i="1"/>
  <c r="FQ408" i="1"/>
  <c r="EW425" i="1"/>
  <c r="LD420" i="1"/>
  <c r="LY395" i="1"/>
  <c r="DQ414" i="1"/>
  <c r="HY412" i="1"/>
  <c r="JG395" i="1"/>
  <c r="JM426" i="1"/>
  <c r="LX422" i="1"/>
  <c r="KQ420" i="1"/>
  <c r="JG415" i="1"/>
  <c r="LW410" i="1"/>
  <c r="BL423" i="1"/>
  <c r="KE410" i="1"/>
  <c r="LY398" i="1"/>
  <c r="IA410" i="1"/>
  <c r="BU394" i="1"/>
  <c r="ER423" i="1"/>
  <c r="ND424" i="1"/>
  <c r="DQ404" i="1"/>
  <c r="KU423" i="1"/>
  <c r="FX419" i="1"/>
  <c r="KY427" i="1"/>
  <c r="EU403" i="1"/>
  <c r="CX413" i="1"/>
  <c r="JJ418" i="1"/>
  <c r="KA415" i="1"/>
  <c r="EY414" i="1"/>
  <c r="KV409" i="1"/>
  <c r="MA395" i="1"/>
  <c r="DQ415" i="1"/>
  <c r="GU398" i="1"/>
  <c r="LW426" i="1"/>
  <c r="DT409" i="1"/>
  <c r="HD415" i="1"/>
  <c r="DI419" i="1"/>
  <c r="JT397" i="1"/>
  <c r="MW407" i="1"/>
  <c r="JL402" i="1"/>
  <c r="MZ395" i="1"/>
  <c r="IA423" i="1"/>
  <c r="KY425" i="1"/>
  <c r="FH411" i="1"/>
  <c r="GS394" i="1"/>
  <c r="HG423" i="1"/>
  <c r="HF421" i="1"/>
  <c r="FZ418" i="1"/>
  <c r="ND401" i="1"/>
  <c r="EM420" i="1"/>
  <c r="LE406" i="1"/>
  <c r="AV401" i="1"/>
  <c r="DR404" i="1"/>
  <c r="LQ418" i="1"/>
  <c r="DC426" i="1"/>
  <c r="LF423" i="1"/>
  <c r="ND418" i="1"/>
  <c r="FI425" i="1"/>
  <c r="LX397" i="1"/>
  <c r="EK404" i="1"/>
  <c r="LL399" i="1"/>
  <c r="FV421" i="1"/>
  <c r="DY414" i="1"/>
  <c r="CJ400" i="1"/>
  <c r="LW412" i="1"/>
  <c r="AU425" i="1"/>
  <c r="MM424" i="1"/>
  <c r="EN417" i="1"/>
  <c r="KR397" i="1"/>
  <c r="KV421" i="1"/>
  <c r="LV408" i="1"/>
  <c r="MJ419" i="1"/>
  <c r="DG417" i="1"/>
  <c r="FV425" i="1"/>
  <c r="HR409" i="1"/>
  <c r="DK422" i="1"/>
  <c r="IY413" i="1"/>
  <c r="DV423" i="1"/>
  <c r="MQ417" i="1"/>
  <c r="KY424" i="1"/>
  <c r="DU409" i="1"/>
  <c r="MI415" i="1"/>
  <c r="EK415" i="1"/>
  <c r="DJ404" i="1"/>
  <c r="FE423" i="1"/>
  <c r="DV411" i="1"/>
  <c r="BZ425" i="1"/>
  <c r="JL411" i="1"/>
  <c r="LJ406" i="1"/>
  <c r="LA417" i="1"/>
  <c r="EE412" i="1"/>
  <c r="GH412" i="1"/>
  <c r="HI428" i="1"/>
  <c r="GL404" i="1"/>
  <c r="IH395" i="1"/>
  <c r="IH426" i="1"/>
  <c r="MI413" i="1"/>
  <c r="IH427" i="1"/>
  <c r="MW401" i="1"/>
  <c r="LH421" i="1"/>
  <c r="JT411" i="1"/>
  <c r="GM415" i="1"/>
  <c r="AT425" i="1"/>
  <c r="LL428" i="1"/>
  <c r="DW399" i="1"/>
  <c r="HW418" i="1"/>
  <c r="IG428" i="1"/>
  <c r="GQ422" i="1"/>
  <c r="JA406" i="1"/>
  <c r="GI419" i="1"/>
  <c r="HS400" i="1"/>
  <c r="KQ427" i="1"/>
  <c r="EP423" i="1"/>
  <c r="LT420" i="1"/>
  <c r="LR394" i="1"/>
  <c r="FB421" i="1"/>
  <c r="FZ424" i="1"/>
  <c r="EC423" i="1"/>
  <c r="IX420" i="1"/>
  <c r="MX394" i="1"/>
  <c r="IP397" i="1"/>
  <c r="IG418" i="1"/>
  <c r="KL414" i="1"/>
  <c r="LP413" i="1"/>
  <c r="EY394" i="1"/>
  <c r="NC420" i="1"/>
  <c r="EA421" i="1"/>
  <c r="FX426" i="1"/>
  <c r="MY426" i="1"/>
  <c r="BK406" i="1"/>
  <c r="LJ401" i="1"/>
  <c r="NB407" i="1"/>
  <c r="JA409" i="1"/>
  <c r="FB400" i="1"/>
  <c r="GP410" i="1"/>
  <c r="JA397" i="1"/>
  <c r="EW428" i="1"/>
  <c r="LD426" i="1"/>
  <c r="LE413" i="1"/>
  <c r="EJ411" i="1"/>
  <c r="DZ396" i="1"/>
  <c r="FQ395" i="1"/>
  <c r="MA399" i="1"/>
  <c r="LX407" i="1"/>
  <c r="FV404" i="1"/>
  <c r="JN408" i="1"/>
  <c r="GQ414" i="1"/>
  <c r="GB410" i="1"/>
  <c r="MT403" i="1"/>
  <c r="CM426" i="1"/>
  <c r="JL406" i="1"/>
  <c r="CT412" i="1"/>
  <c r="HE424" i="1"/>
  <c r="LU422" i="1"/>
  <c r="CO409" i="1"/>
  <c r="CC395" i="1"/>
  <c r="FJ423" i="1"/>
  <c r="BK402" i="1"/>
  <c r="FU413" i="1"/>
  <c r="CO412" i="1"/>
  <c r="CZ408" i="1"/>
  <c r="EL396" i="1"/>
  <c r="FZ407" i="1"/>
  <c r="KO417" i="1"/>
  <c r="JO412" i="1"/>
  <c r="KK400" i="1"/>
  <c r="HZ396" i="1"/>
  <c r="EM400" i="1"/>
  <c r="BM415" i="1"/>
  <c r="IY398" i="1"/>
  <c r="MX426" i="1"/>
  <c r="ER406" i="1"/>
  <c r="ER413" i="1"/>
  <c r="IK415" i="1"/>
  <c r="JS425" i="1"/>
  <c r="LJ422" i="1"/>
  <c r="GR396" i="1"/>
  <c r="FW399" i="1"/>
  <c r="EZ394" i="1"/>
  <c r="LX395" i="1"/>
  <c r="GD407" i="1"/>
  <c r="EO413" i="1"/>
  <c r="BU396" i="1"/>
  <c r="CB428" i="1"/>
  <c r="FD423" i="1"/>
  <c r="GB420" i="1"/>
  <c r="LJ418" i="1"/>
  <c r="AT417" i="1"/>
  <c r="LU410" i="1"/>
  <c r="MU419" i="1"/>
  <c r="GS411" i="1"/>
  <c r="LU399" i="1"/>
  <c r="FS428" i="1"/>
  <c r="FU417" i="1"/>
  <c r="FJ406" i="1"/>
  <c r="BO415" i="1"/>
  <c r="FT425" i="1"/>
  <c r="MN406" i="1"/>
  <c r="FS419" i="1"/>
  <c r="HE416" i="1"/>
  <c r="IP401" i="1"/>
  <c r="AS426" i="1"/>
  <c r="KM409" i="1"/>
  <c r="ML425" i="1"/>
  <c r="HS397" i="1"/>
  <c r="JV404" i="1"/>
  <c r="FS421" i="1"/>
  <c r="CJ414" i="1"/>
  <c r="CS400" i="1"/>
  <c r="KG411" i="1"/>
  <c r="NA425" i="1"/>
  <c r="MO427" i="1"/>
  <c r="KM425" i="1"/>
  <c r="FK399" i="1"/>
  <c r="LT408" i="1"/>
  <c r="AW406" i="1"/>
  <c r="GA410" i="1"/>
  <c r="KW421" i="1"/>
  <c r="GF419" i="1"/>
  <c r="LO406" i="1"/>
  <c r="GM427" i="1"/>
  <c r="KH424" i="1"/>
  <c r="DC398" i="1"/>
  <c r="LW422" i="1"/>
  <c r="KM417" i="1"/>
  <c r="LZ413" i="1"/>
  <c r="AS413" i="1"/>
  <c r="EP413" i="1"/>
  <c r="FV412" i="1"/>
  <c r="MN404" i="1"/>
  <c r="CJ428" i="1"/>
  <c r="LM406" i="1"/>
  <c r="GB416" i="1"/>
  <c r="DO396" i="1"/>
  <c r="FF419" i="1"/>
  <c r="GT396" i="1"/>
  <c r="JF408" i="1"/>
  <c r="EZ412" i="1"/>
  <c r="HY428" i="1"/>
  <c r="ND425" i="1"/>
  <c r="NB394" i="1"/>
  <c r="JB418" i="1"/>
  <c r="DA401" i="1"/>
  <c r="JV420" i="1"/>
  <c r="IX397" i="1"/>
  <c r="KT398" i="1"/>
  <c r="IW400" i="1"/>
  <c r="FX417" i="1"/>
  <c r="LC415" i="1"/>
  <c r="GB425" i="1"/>
  <c r="BK421" i="1"/>
  <c r="ME428" i="1"/>
  <c r="MP396" i="1"/>
  <c r="BN427" i="1"/>
  <c r="FS395" i="1"/>
  <c r="LR421" i="1"/>
  <c r="FH414" i="1"/>
  <c r="IM401" i="1"/>
  <c r="LR423" i="1"/>
  <c r="GD417" i="1"/>
  <c r="ET398" i="1"/>
  <c r="FI408" i="1"/>
  <c r="LT419" i="1"/>
  <c r="CL406" i="1"/>
  <c r="CD422" i="1"/>
  <c r="LG401" i="1"/>
  <c r="KR400" i="1"/>
  <c r="JA407" i="1"/>
  <c r="KA407" i="1"/>
  <c r="KU420" i="1"/>
  <c r="GN409" i="1"/>
  <c r="EN421" i="1"/>
  <c r="EL399" i="1"/>
  <c r="MN397" i="1"/>
  <c r="FJ403" i="1"/>
  <c r="KB409" i="1"/>
  <c r="DI404" i="1"/>
  <c r="LK398" i="1"/>
  <c r="HS416" i="1"/>
  <c r="LT412" i="1"/>
  <c r="DY396" i="1"/>
  <c r="DX419" i="1"/>
  <c r="CP417" i="1"/>
  <c r="KU427" i="1"/>
  <c r="EN399" i="1"/>
  <c r="IZ408" i="1"/>
  <c r="MX396" i="1"/>
  <c r="GS406" i="1"/>
  <c r="IM427" i="1"/>
  <c r="JW426" i="1"/>
  <c r="DX402" i="1"/>
  <c r="DW420" i="1"/>
  <c r="HZ420" i="1"/>
  <c r="JA412" i="1"/>
  <c r="DE396" i="1"/>
  <c r="JJ412" i="1"/>
  <c r="KQ407" i="1"/>
  <c r="GJ419" i="1"/>
  <c r="LZ427" i="1"/>
  <c r="KJ420" i="1"/>
  <c r="DX409" i="1"/>
  <c r="JR413" i="1"/>
  <c r="BX402" i="1"/>
  <c r="GI406" i="1"/>
  <c r="GR425" i="1"/>
  <c r="AT414" i="1"/>
  <c r="KI401" i="1"/>
  <c r="MX406" i="1"/>
  <c r="MM417" i="1"/>
  <c r="MI421" i="1"/>
  <c r="JS401" i="1"/>
  <c r="FQ400" i="1"/>
  <c r="BJ395" i="1"/>
  <c r="CZ407" i="1"/>
  <c r="KE408" i="1"/>
  <c r="CD401" i="1"/>
  <c r="EL414" i="1"/>
  <c r="MC394" i="1"/>
  <c r="IL414" i="1"/>
  <c r="KD420" i="1"/>
  <c r="GS416" i="1"/>
  <c r="LF422" i="1"/>
  <c r="FN415" i="1"/>
  <c r="MO408" i="1"/>
  <c r="IL426" i="1"/>
  <c r="EC417" i="1"/>
  <c r="HW399" i="1"/>
  <c r="BH420" i="1"/>
  <c r="CW425" i="1"/>
  <c r="KQ400" i="1"/>
  <c r="KE411" i="1"/>
  <c r="KL422" i="1"/>
  <c r="MN426" i="1"/>
  <c r="LQ398" i="1"/>
  <c r="CR418" i="1"/>
  <c r="LZ426" i="1"/>
  <c r="EF394" i="1"/>
  <c r="GH398" i="1"/>
  <c r="HU411" i="1"/>
  <c r="GS414" i="1"/>
  <c r="FY396" i="1"/>
  <c r="LV414" i="1"/>
  <c r="KF407" i="1"/>
  <c r="HZ410" i="1"/>
  <c r="EM421" i="1"/>
  <c r="BO409" i="1"/>
  <c r="EB396" i="1"/>
  <c r="KZ412" i="1"/>
  <c r="DB415" i="1"/>
  <c r="EI399" i="1"/>
  <c r="IM394" i="1"/>
  <c r="GU425" i="1"/>
  <c r="MD411" i="1"/>
  <c r="KM416" i="1"/>
  <c r="FM425" i="1"/>
  <c r="GE426" i="1"/>
  <c r="MY401" i="1"/>
  <c r="MF404" i="1"/>
  <c r="CP415" i="1"/>
  <c r="HH414" i="1"/>
  <c r="IO420" i="1"/>
  <c r="GK417" i="1"/>
  <c r="HE419" i="1"/>
  <c r="KW412" i="1"/>
  <c r="CH395" i="1"/>
  <c r="GD403" i="1"/>
  <c r="GN410" i="1"/>
  <c r="JK413" i="1"/>
  <c r="LO414" i="1"/>
  <c r="DA424" i="1"/>
  <c r="FG422" i="1"/>
  <c r="LI398" i="1"/>
  <c r="FW407" i="1"/>
  <c r="HI401" i="1"/>
  <c r="IA419" i="1"/>
  <c r="ES421" i="1"/>
  <c r="EA420" i="1"/>
  <c r="BN426" i="1"/>
  <c r="FI421" i="1"/>
  <c r="CP428" i="1"/>
  <c r="GC403" i="1"/>
  <c r="BK403" i="1"/>
  <c r="LD403" i="1"/>
  <c r="LK394" i="1"/>
  <c r="NA415" i="1"/>
  <c r="GU394" i="1"/>
  <c r="BZ406" i="1"/>
  <c r="IP423" i="1"/>
  <c r="EH412" i="1"/>
  <c r="IO414" i="1"/>
  <c r="KP416" i="1"/>
  <c r="KH399" i="1"/>
  <c r="GJ407" i="1"/>
  <c r="JT421" i="1"/>
  <c r="NE419" i="1"/>
  <c r="GK415" i="1"/>
  <c r="FE404" i="1"/>
  <c r="HZ426" i="1"/>
  <c r="KP396" i="1"/>
  <c r="JJ420" i="1"/>
  <c r="CP422" i="1"/>
  <c r="DT418" i="1"/>
  <c r="MZ409" i="1"/>
  <c r="JW403" i="1"/>
  <c r="CO418" i="1"/>
  <c r="KU418" i="1"/>
  <c r="FH425" i="1"/>
  <c r="EF395" i="1"/>
  <c r="KO402" i="1"/>
  <c r="EF409" i="1"/>
  <c r="MD428" i="1"/>
  <c r="JP425" i="1"/>
  <c r="JX401" i="1"/>
  <c r="BK407" i="1"/>
  <c r="EU402" i="1"/>
  <c r="AS421" i="1"/>
  <c r="JK415" i="1"/>
  <c r="EG414" i="1"/>
  <c r="LT424" i="1"/>
  <c r="FJ402" i="1"/>
  <c r="IK409" i="1"/>
  <c r="KT400" i="1"/>
  <c r="FJ398" i="1"/>
  <c r="JY403" i="1"/>
  <c r="FJ408" i="1"/>
  <c r="GK401" i="1"/>
  <c r="DS419" i="1"/>
  <c r="JK426" i="1"/>
  <c r="MU428" i="1"/>
  <c r="CS417" i="1"/>
  <c r="JE411" i="1"/>
  <c r="MB428" i="1"/>
  <c r="HZ402" i="1"/>
  <c r="LS426" i="1"/>
  <c r="HV398" i="1"/>
  <c r="KD414" i="1"/>
  <c r="EF416" i="1"/>
  <c r="FU396" i="1"/>
  <c r="MO422" i="1"/>
  <c r="MF398" i="1"/>
  <c r="HR417" i="1"/>
  <c r="JY414" i="1"/>
  <c r="LS419" i="1"/>
  <c r="GN401" i="1"/>
  <c r="FG399" i="1"/>
  <c r="FM396" i="1"/>
  <c r="KN408" i="1"/>
  <c r="JF418" i="1"/>
  <c r="FN410" i="1"/>
  <c r="LX401" i="1"/>
  <c r="MB422" i="1"/>
  <c r="GI417" i="1"/>
  <c r="CT424" i="1"/>
  <c r="LT403" i="1"/>
  <c r="EY398" i="1"/>
  <c r="IO409" i="1"/>
  <c r="MW404" i="1"/>
  <c r="KX411" i="1"/>
  <c r="DP399" i="1"/>
  <c r="CC423" i="1"/>
  <c r="EV415" i="1"/>
  <c r="AT412" i="1"/>
  <c r="GM421" i="1"/>
  <c r="NE424" i="1"/>
  <c r="FN417" i="1"/>
  <c r="JQ412" i="1"/>
  <c r="JP410" i="1"/>
  <c r="CV406" i="1"/>
  <c r="MH409" i="1"/>
  <c r="KE402" i="1"/>
  <c r="GM403" i="1"/>
  <c r="HE412" i="1"/>
  <c r="BL426" i="1"/>
  <c r="FI423" i="1"/>
  <c r="JX426" i="1"/>
  <c r="IN395" i="1"/>
  <c r="KO394" i="1"/>
  <c r="LS402" i="1"/>
  <c r="DL408" i="1"/>
  <c r="CE416" i="1"/>
  <c r="KZ399" i="1"/>
  <c r="BG421" i="1"/>
  <c r="CE427" i="1"/>
  <c r="DX422" i="1"/>
  <c r="IW401" i="1"/>
  <c r="KL399" i="1"/>
  <c r="DX416" i="1"/>
  <c r="DE420" i="1"/>
  <c r="HY427" i="1"/>
  <c r="FX410" i="1"/>
  <c r="HU414" i="1"/>
  <c r="IZ394" i="1"/>
  <c r="GH416" i="1"/>
  <c r="FV407" i="1"/>
  <c r="KF415" i="1"/>
  <c r="FI422" i="1"/>
  <c r="LM415" i="1"/>
  <c r="KO401" i="1"/>
  <c r="CU407" i="1"/>
  <c r="LI418" i="1"/>
  <c r="FW411" i="1"/>
  <c r="LA402" i="1"/>
  <c r="GC415" i="1"/>
  <c r="IM410" i="1"/>
  <c r="GS424" i="1"/>
  <c r="FJ410" i="1"/>
  <c r="DI412" i="1"/>
  <c r="IG420" i="1"/>
  <c r="CW422" i="1"/>
  <c r="DY415" i="1"/>
  <c r="LH411" i="1"/>
  <c r="GH415" i="1"/>
  <c r="FQ403" i="1"/>
  <c r="FQ406" i="1"/>
  <c r="KY408" i="1"/>
  <c r="MI399" i="1"/>
  <c r="ML396" i="1"/>
  <c r="LK411" i="1"/>
  <c r="MZ402" i="1"/>
  <c r="CT406" i="1"/>
  <c r="IY417" i="1"/>
  <c r="CB400" i="1"/>
  <c r="FY418" i="1"/>
  <c r="ME417" i="1"/>
  <c r="AU394" i="1"/>
  <c r="MO425" i="1"/>
  <c r="IX408" i="1"/>
  <c r="HG420" i="1"/>
  <c r="LL402" i="1"/>
  <c r="MK414" i="1"/>
  <c r="LR413" i="1"/>
  <c r="MM407" i="1"/>
  <c r="LU424" i="1"/>
  <c r="LA411" i="1"/>
  <c r="KW399" i="1"/>
  <c r="FZ422" i="1"/>
  <c r="AU407" i="1"/>
  <c r="LT426" i="1"/>
  <c r="MF424" i="1"/>
  <c r="LG410" i="1"/>
  <c r="BK426" i="1"/>
  <c r="FL411" i="1"/>
  <c r="HH400" i="1"/>
  <c r="CQ403" i="1"/>
  <c r="FL403" i="1"/>
  <c r="JF397" i="1"/>
  <c r="MT400" i="1"/>
  <c r="KP408" i="1"/>
  <c r="LY410" i="1"/>
  <c r="KZ421" i="1"/>
  <c r="DC403" i="1"/>
  <c r="LM394" i="1"/>
  <c r="DZ413" i="1"/>
  <c r="LZ406" i="1"/>
  <c r="MJ421" i="1"/>
  <c r="LT400" i="1"/>
  <c r="EI402" i="1"/>
  <c r="IZ410" i="1"/>
  <c r="DY422" i="1"/>
  <c r="IW428" i="1"/>
  <c r="LQ416" i="1"/>
  <c r="BU427" i="1"/>
  <c r="NA423" i="1"/>
  <c r="EG421" i="1"/>
  <c r="EB395" i="1"/>
  <c r="GS415" i="1"/>
  <c r="ED427" i="1"/>
  <c r="JP416" i="1"/>
  <c r="FA411" i="1"/>
  <c r="LR407" i="1"/>
  <c r="EA400" i="1"/>
  <c r="KR407" i="1"/>
  <c r="JN415" i="1"/>
  <c r="CQ404" i="1"/>
  <c r="MG421" i="1"/>
  <c r="KD415" i="1"/>
  <c r="DD399" i="1"/>
  <c r="JC426" i="1"/>
  <c r="FX416" i="1"/>
  <c r="FN395" i="1"/>
  <c r="EI403" i="1"/>
  <c r="LR428" i="1"/>
  <c r="DW407" i="1"/>
  <c r="IX407" i="1"/>
  <c r="LI406" i="1"/>
  <c r="MA413" i="1"/>
  <c r="MP407" i="1"/>
  <c r="KV410" i="1"/>
  <c r="KK422" i="1"/>
  <c r="HI402" i="1"/>
  <c r="CA400" i="1"/>
  <c r="MC407" i="1"/>
  <c r="MM395" i="1"/>
  <c r="EY426" i="1"/>
  <c r="KR418" i="1"/>
  <c r="EL427" i="1"/>
  <c r="FK421" i="1"/>
  <c r="AV408" i="1"/>
  <c r="FA394" i="1"/>
  <c r="CR408" i="1"/>
  <c r="JN396" i="1"/>
  <c r="IX425" i="1"/>
  <c r="LK408" i="1"/>
  <c r="BL424" i="1"/>
  <c r="DN418" i="1"/>
  <c r="ME414" i="1"/>
  <c r="MY403" i="1"/>
  <c r="MO404" i="1"/>
  <c r="NC425" i="1"/>
  <c r="NB417" i="1"/>
  <c r="KC396" i="1"/>
  <c r="EC422" i="1"/>
  <c r="JD427" i="1"/>
  <c r="MU397" i="1"/>
  <c r="FD394" i="1"/>
  <c r="LZ409" i="1"/>
  <c r="MH420" i="1"/>
  <c r="IJ398" i="1"/>
  <c r="CX427" i="1"/>
  <c r="MW418" i="1"/>
  <c r="MZ401" i="1"/>
  <c r="EH416" i="1"/>
  <c r="JB407" i="1"/>
  <c r="CY423" i="1"/>
  <c r="FB426" i="1"/>
  <c r="DZ420" i="1"/>
  <c r="KG401" i="1"/>
  <c r="CP414" i="1"/>
  <c r="KO416" i="1"/>
  <c r="MJ413" i="1"/>
  <c r="CB397" i="1"/>
  <c r="GR423" i="1"/>
  <c r="DA415" i="1"/>
  <c r="CJ410" i="1"/>
  <c r="EL412" i="1"/>
  <c r="DS416" i="1"/>
  <c r="NE395" i="1"/>
  <c r="JC408" i="1"/>
  <c r="JM407" i="1"/>
  <c r="KY415" i="1"/>
  <c r="GI398" i="1"/>
  <c r="MY418" i="1"/>
  <c r="IM411" i="1"/>
  <c r="NA424" i="1"/>
  <c r="EI416" i="1"/>
  <c r="DB424" i="1"/>
  <c r="CE426" i="1"/>
  <c r="EV417" i="1"/>
  <c r="BI424" i="1"/>
  <c r="EV412" i="1"/>
  <c r="DW418" i="1"/>
  <c r="GA418" i="1"/>
  <c r="DQ413" i="1"/>
  <c r="GD406" i="1"/>
  <c r="EL404" i="1"/>
  <c r="EW406" i="1"/>
  <c r="DR428" i="1"/>
  <c r="MW420" i="1"/>
  <c r="FG426" i="1"/>
  <c r="MC399" i="1"/>
  <c r="MH417" i="1"/>
  <c r="GU414" i="1"/>
  <c r="CK425" i="1"/>
  <c r="GC428" i="1"/>
  <c r="CQ414" i="1"/>
  <c r="ED400" i="1"/>
  <c r="HI396" i="1"/>
  <c r="II423" i="1"/>
  <c r="CR424" i="1"/>
  <c r="LQ419" i="1"/>
  <c r="FF428" i="1"/>
  <c r="EY425" i="1"/>
  <c r="JA411" i="1"/>
  <c r="CP400" i="1"/>
  <c r="KO407" i="1"/>
  <c r="LO411" i="1"/>
  <c r="BZ402" i="1"/>
  <c r="EW415" i="1"/>
  <c r="DH418" i="1"/>
  <c r="DZ409" i="1"/>
  <c r="FH408" i="1"/>
  <c r="ES412" i="1"/>
  <c r="DS427" i="1"/>
  <c r="KF408" i="1"/>
  <c r="GR410" i="1"/>
  <c r="EG416" i="1"/>
  <c r="EY427" i="1"/>
  <c r="LO428" i="1"/>
  <c r="HZ407" i="1"/>
  <c r="HG410" i="1"/>
  <c r="KI415" i="1"/>
  <c r="KP421" i="1"/>
  <c r="IN417" i="1"/>
  <c r="FH423" i="1"/>
  <c r="MA412" i="1"/>
  <c r="DP423" i="1"/>
  <c r="CU410" i="1"/>
  <c r="MH398" i="1"/>
  <c r="EJ408" i="1"/>
  <c r="HG426" i="1"/>
  <c r="KT404" i="1"/>
  <c r="BO402" i="1"/>
  <c r="DE415" i="1"/>
  <c r="FS414" i="1"/>
  <c r="KG424" i="1"/>
  <c r="CD403" i="1"/>
  <c r="HI403" i="1"/>
  <c r="LF417" i="1"/>
  <c r="LU408" i="1"/>
  <c r="JT400" i="1"/>
  <c r="GA421" i="1"/>
  <c r="DU428" i="1"/>
  <c r="BW428" i="1"/>
  <c r="FG416" i="1"/>
  <c r="ED423" i="1"/>
  <c r="LY394" i="1"/>
  <c r="LL420" i="1"/>
  <c r="ER428" i="1"/>
  <c r="CJ419" i="1"/>
  <c r="EG428" i="1"/>
  <c r="FG402" i="1"/>
  <c r="ND398" i="1"/>
  <c r="CL409" i="1"/>
  <c r="EK398" i="1"/>
  <c r="EX397" i="1"/>
  <c r="DM414" i="1"/>
  <c r="ET428" i="1"/>
  <c r="EW397" i="1"/>
  <c r="JO421" i="1"/>
  <c r="FF404" i="1"/>
  <c r="NC424" i="1"/>
  <c r="FQ426" i="1"/>
  <c r="EO420" i="1"/>
  <c r="FZ423" i="1"/>
  <c r="IQ421" i="1"/>
  <c r="LT409" i="1"/>
  <c r="FH412" i="1"/>
  <c r="DE412" i="1"/>
  <c r="IM402" i="1"/>
  <c r="HU410" i="1"/>
  <c r="DV418" i="1"/>
  <c r="CA404" i="1"/>
  <c r="HE422" i="1"/>
  <c r="DR415" i="1"/>
  <c r="MY417" i="1"/>
  <c r="CP396" i="1"/>
  <c r="ET410" i="1"/>
  <c r="JA423" i="1"/>
  <c r="NA412" i="1"/>
  <c r="MD425" i="1"/>
  <c r="EF422" i="1"/>
  <c r="KQ395" i="1"/>
  <c r="DK411" i="1"/>
  <c r="LS394" i="1"/>
  <c r="HV414" i="1"/>
  <c r="LY399" i="1"/>
  <c r="DU422" i="1"/>
  <c r="DB428" i="1"/>
  <c r="GD409" i="1"/>
  <c r="DS398" i="1"/>
  <c r="II415" i="1"/>
  <c r="CS413" i="1"/>
  <c r="ED394" i="1"/>
  <c r="JU423" i="1"/>
  <c r="EP415" i="1"/>
  <c r="CA418" i="1"/>
  <c r="MA428" i="1"/>
  <c r="JP394" i="1"/>
  <c r="EI394" i="1"/>
  <c r="IN423" i="1"/>
  <c r="IH417" i="1"/>
  <c r="AU410" i="1"/>
  <c r="CM427" i="1"/>
  <c r="LZ403" i="1"/>
  <c r="GA427" i="1"/>
  <c r="GF404" i="1"/>
  <c r="GF426" i="1"/>
  <c r="MC418" i="1"/>
  <c r="DB416" i="1"/>
  <c r="KA400" i="1"/>
  <c r="EQ423" i="1"/>
  <c r="NC426" i="1"/>
  <c r="DT427" i="1"/>
  <c r="LD397" i="1"/>
  <c r="DY401" i="1"/>
  <c r="LA414" i="1"/>
  <c r="CI407" i="1"/>
  <c r="DQ394" i="1"/>
  <c r="DG399" i="1"/>
  <c r="DJ403" i="1"/>
  <c r="CM404" i="1"/>
  <c r="LD398" i="1"/>
  <c r="NE397" i="1"/>
  <c r="EX395" i="1"/>
  <c r="ND410" i="1"/>
  <c r="DG395" i="1"/>
  <c r="KT401" i="1"/>
  <c r="EF402" i="1"/>
  <c r="BU399" i="1"/>
  <c r="LQ396" i="1"/>
  <c r="BN415" i="1"/>
  <c r="DN400" i="1"/>
  <c r="JR414" i="1"/>
  <c r="CE428" i="1"/>
  <c r="MU410" i="1"/>
  <c r="DV401" i="1"/>
  <c r="BN419" i="1"/>
  <c r="KR416" i="1"/>
  <c r="KR419" i="1"/>
  <c r="DE397" i="1"/>
  <c r="JJ426" i="1"/>
  <c r="IK413" i="1"/>
  <c r="KY396" i="1"/>
  <c r="MO397" i="1"/>
  <c r="LM410" i="1"/>
  <c r="EV427" i="1"/>
  <c r="IV419" i="1"/>
  <c r="GQ408" i="1"/>
  <c r="MT397" i="1"/>
  <c r="EX421" i="1"/>
  <c r="GG419" i="1"/>
  <c r="ND414" i="1"/>
  <c r="KG396" i="1"/>
  <c r="JL422" i="1"/>
  <c r="KT414" i="1"/>
  <c r="KL404" i="1"/>
  <c r="EC421" i="1"/>
  <c r="AV426" i="1"/>
  <c r="EX413" i="1"/>
  <c r="FK394" i="1"/>
  <c r="EK417" i="1"/>
  <c r="KT397" i="1"/>
  <c r="DM400" i="1"/>
  <c r="DY428" i="1"/>
  <c r="KF411" i="1"/>
  <c r="EU428" i="1"/>
  <c r="ND400" i="1"/>
  <c r="GK399" i="1"/>
  <c r="II395" i="1"/>
  <c r="LQ415" i="1"/>
  <c r="GB414" i="1"/>
  <c r="KF399" i="1"/>
  <c r="NA417" i="1"/>
  <c r="GD394" i="1"/>
  <c r="CZ417" i="1"/>
  <c r="MW428" i="1"/>
  <c r="LG423" i="1"/>
  <c r="LI400" i="1"/>
  <c r="JA399" i="1"/>
  <c r="GT413" i="1"/>
  <c r="KR427" i="1"/>
  <c r="JK424" i="1"/>
  <c r="DY418" i="1"/>
  <c r="LA409" i="1"/>
  <c r="HY410" i="1"/>
  <c r="IL406" i="1"/>
  <c r="LB415" i="1"/>
  <c r="GD398" i="1"/>
  <c r="AW416" i="1"/>
  <c r="FP413" i="1"/>
  <c r="IO423" i="1"/>
  <c r="CJ396" i="1"/>
  <c r="EU401" i="1"/>
  <c r="ER404" i="1"/>
  <c r="KS410" i="1"/>
  <c r="CO414" i="1"/>
  <c r="HS413" i="1"/>
  <c r="HS410" i="1"/>
  <c r="MZ427" i="1"/>
  <c r="BY422" i="1"/>
  <c r="NE402" i="1"/>
  <c r="KB420" i="1"/>
  <c r="DV407" i="1"/>
  <c r="BG404" i="1"/>
  <c r="CN399" i="1"/>
  <c r="JD394" i="1"/>
  <c r="IV397" i="1"/>
  <c r="EZ420" i="1"/>
  <c r="ML417" i="1"/>
  <c r="EV410" i="1"/>
  <c r="EN428" i="1"/>
  <c r="DY399" i="1"/>
  <c r="EF425" i="1"/>
  <c r="KR395" i="1"/>
  <c r="JT419" i="1"/>
  <c r="KE406" i="1"/>
  <c r="JF425" i="1"/>
  <c r="CE413" i="1"/>
  <c r="FI416" i="1"/>
  <c r="MG406" i="1"/>
  <c r="JD398" i="1"/>
  <c r="KJ418" i="1"/>
  <c r="GL411" i="1"/>
  <c r="FQ394" i="1"/>
  <c r="GA395" i="1"/>
  <c r="LN403" i="1"/>
  <c r="EI423" i="1"/>
  <c r="HW420" i="1"/>
  <c r="LA426" i="1"/>
  <c r="IJ401" i="1"/>
  <c r="CL414" i="1"/>
  <c r="FI404" i="1"/>
  <c r="BI415" i="1"/>
  <c r="DI426" i="1"/>
  <c r="LN416" i="1"/>
  <c r="IA427" i="1"/>
  <c r="HV407" i="1"/>
  <c r="EG402" i="1"/>
  <c r="GF410" i="1"/>
  <c r="FD421" i="1"/>
  <c r="DP426" i="1"/>
  <c r="MI427" i="1"/>
  <c r="BN402" i="1"/>
  <c r="MA394" i="1"/>
  <c r="GE394" i="1"/>
  <c r="ME397" i="1"/>
  <c r="KE412" i="1"/>
  <c r="LS421" i="1"/>
  <c r="DX403" i="1"/>
  <c r="GJ426" i="1"/>
  <c r="AW402" i="1"/>
  <c r="JD414" i="1"/>
  <c r="DT398" i="1"/>
  <c r="MY410" i="1"/>
  <c r="HY425" i="1"/>
  <c r="CP413" i="1"/>
  <c r="GN408" i="1"/>
  <c r="BN417" i="1"/>
  <c r="HU425" i="1"/>
  <c r="LB394" i="1"/>
  <c r="KO396" i="1"/>
  <c r="DE419" i="1"/>
  <c r="CC416" i="1"/>
  <c r="HI411" i="1"/>
  <c r="GS413" i="1"/>
  <c r="KC404" i="1"/>
  <c r="FJ401" i="1"/>
  <c r="DA406" i="1"/>
  <c r="JR403" i="1"/>
  <c r="JZ426" i="1"/>
  <c r="JM406" i="1"/>
  <c r="CC394" i="1"/>
  <c r="ES400" i="1"/>
  <c r="DK396" i="1"/>
  <c r="BM401" i="1"/>
  <c r="EY417" i="1"/>
  <c r="JR416" i="1"/>
  <c r="NE410" i="1"/>
  <c r="JO410" i="1"/>
  <c r="JJ407" i="1"/>
  <c r="JT402" i="1"/>
  <c r="CA420" i="1"/>
  <c r="ES396" i="1"/>
  <c r="IM397" i="1"/>
  <c r="DM410" i="1"/>
  <c r="MI408" i="1"/>
  <c r="EG404" i="1"/>
  <c r="JB413" i="1"/>
  <c r="FH418" i="1"/>
  <c r="DS421" i="1"/>
  <c r="EI420" i="1"/>
  <c r="KQ419" i="1"/>
  <c r="JN421" i="1"/>
  <c r="KK425" i="1"/>
  <c r="FL423" i="1"/>
  <c r="DW406" i="1"/>
  <c r="IL418" i="1"/>
  <c r="CK422" i="1"/>
  <c r="KW423" i="1"/>
  <c r="KT425" i="1"/>
  <c r="GL417" i="1"/>
  <c r="GM400" i="1"/>
  <c r="CP402" i="1"/>
  <c r="HI398" i="1"/>
  <c r="KO424" i="1"/>
  <c r="LG408" i="1"/>
  <c r="FI427" i="1"/>
  <c r="EK414" i="1"/>
  <c r="FR428" i="1"/>
  <c r="JW404" i="1"/>
  <c r="JN412" i="1"/>
  <c r="NA394" i="1"/>
  <c r="HI418" i="1"/>
  <c r="CP408" i="1"/>
  <c r="EK426" i="1"/>
  <c r="KY410" i="1"/>
  <c r="KY409" i="1"/>
  <c r="BM412" i="1"/>
  <c r="II416" i="1"/>
  <c r="EI422" i="1"/>
  <c r="LV419" i="1"/>
  <c r="JT398" i="1"/>
  <c r="KK427" i="1"/>
  <c r="KI427" i="1"/>
  <c r="FB404" i="1"/>
  <c r="BN399" i="1"/>
  <c r="DI425" i="1"/>
  <c r="MA407" i="1"/>
  <c r="JX414" i="1"/>
  <c r="NB401" i="1"/>
  <c r="KY401" i="1"/>
  <c r="GB426" i="1"/>
  <c r="LO412" i="1"/>
  <c r="DW411" i="1"/>
  <c r="FE420" i="1"/>
  <c r="DJ423" i="1"/>
  <c r="GL412" i="1"/>
  <c r="GS420" i="1"/>
  <c r="DG402" i="1"/>
  <c r="BL409" i="1"/>
  <c r="DD403" i="1"/>
  <c r="CM415" i="1"/>
  <c r="HE399" i="1"/>
  <c r="AT403" i="1"/>
  <c r="LQ399" i="1"/>
  <c r="II397" i="1"/>
  <c r="BH401" i="1"/>
  <c r="LC408" i="1"/>
  <c r="IA409" i="1"/>
  <c r="KV401" i="1"/>
  <c r="MY415" i="1"/>
  <c r="MQ424" i="1"/>
  <c r="IX421" i="1"/>
  <c r="JI417" i="1"/>
  <c r="ES406" i="1"/>
  <c r="BL407" i="1"/>
  <c r="EG406" i="1"/>
  <c r="BI401" i="1"/>
  <c r="KE423" i="1"/>
  <c r="AU424" i="1"/>
  <c r="FT394" i="1"/>
  <c r="GN417" i="1"/>
  <c r="DV403" i="1"/>
  <c r="LJ408" i="1"/>
  <c r="BN408" i="1"/>
  <c r="JE402" i="1"/>
  <c r="GQ417" i="1"/>
  <c r="KF410" i="1"/>
  <c r="BI407" i="1"/>
  <c r="KG402" i="1"/>
  <c r="LF410" i="1"/>
  <c r="LW419" i="1"/>
  <c r="DF415" i="1"/>
  <c r="HV408" i="1"/>
  <c r="FF415" i="1"/>
  <c r="JT399" i="1"/>
  <c r="JG402" i="1"/>
  <c r="JF399" i="1"/>
  <c r="MI402" i="1"/>
  <c r="JF404" i="1"/>
  <c r="CZ422" i="1"/>
  <c r="DF401" i="1"/>
  <c r="IP402" i="1"/>
  <c r="EV423" i="1"/>
  <c r="LE423" i="1"/>
  <c r="EZ410" i="1"/>
  <c r="JL420" i="1"/>
  <c r="GD418" i="1"/>
  <c r="DV421" i="1"/>
  <c r="FP396" i="1"/>
  <c r="EO396" i="1"/>
  <c r="BL396" i="1"/>
  <c r="JW399" i="1"/>
  <c r="LV398" i="1"/>
  <c r="KN413" i="1"/>
  <c r="IM419" i="1"/>
  <c r="DH419" i="1"/>
  <c r="AV394" i="1"/>
  <c r="LG419" i="1"/>
  <c r="BJ411" i="1"/>
  <c r="CS410" i="1"/>
  <c r="BU426" i="1"/>
  <c r="IY410" i="1"/>
  <c r="GM428" i="1"/>
  <c r="MU421" i="1"/>
  <c r="GR397" i="1"/>
  <c r="JY417" i="1"/>
  <c r="DZ426" i="1"/>
  <c r="EC418" i="1"/>
  <c r="EX424" i="1"/>
  <c r="FJ421" i="1"/>
  <c r="DE410" i="1"/>
  <c r="DV412" i="1"/>
  <c r="BK422" i="1"/>
  <c r="BG412" i="1"/>
  <c r="GT402" i="1"/>
  <c r="FM420" i="1"/>
  <c r="JU408" i="1"/>
  <c r="CB411" i="1"/>
  <c r="GM412" i="1"/>
  <c r="JJ399" i="1"/>
  <c r="LP422" i="1"/>
  <c r="DW402" i="1"/>
  <c r="ND412" i="1"/>
  <c r="EA410" i="1"/>
  <c r="FD395" i="1"/>
  <c r="FT412" i="1"/>
  <c r="IH416" i="1"/>
  <c r="CQ411" i="1"/>
  <c r="BM425" i="1"/>
  <c r="KM406" i="1"/>
  <c r="BZ400" i="1"/>
  <c r="JO423" i="1"/>
  <c r="KS422" i="1"/>
  <c r="IQ398" i="1"/>
  <c r="EN408" i="1"/>
  <c r="GQ398" i="1"/>
  <c r="DE399" i="1"/>
  <c r="KF425" i="1"/>
  <c r="EA427" i="1"/>
  <c r="MH412" i="1"/>
  <c r="EC398" i="1"/>
  <c r="CZ414" i="1"/>
  <c r="JD415" i="1"/>
  <c r="LI397" i="1"/>
  <c r="JM428" i="1"/>
  <c r="JA426" i="1"/>
  <c r="EP419" i="1"/>
  <c r="JI416" i="1"/>
  <c r="IP394" i="1"/>
  <c r="IL407" i="1"/>
  <c r="FL404" i="1"/>
  <c r="CS409" i="1"/>
  <c r="EH407" i="1"/>
  <c r="DP394" i="1"/>
  <c r="MV422" i="1"/>
  <c r="MT408" i="1"/>
  <c r="HV423" i="1"/>
  <c r="HV410" i="1"/>
  <c r="EK422" i="1"/>
  <c r="CD413" i="1"/>
  <c r="LI396" i="1"/>
  <c r="AS395" i="1"/>
  <c r="BY400" i="1"/>
  <c r="EM416" i="1"/>
  <c r="GF413" i="1"/>
  <c r="NA409" i="1"/>
  <c r="EY396" i="1"/>
  <c r="EO424" i="1"/>
  <c r="DE400" i="1"/>
  <c r="BK399" i="1"/>
  <c r="LL398" i="1"/>
  <c r="DF403" i="1"/>
  <c r="KX424" i="1"/>
  <c r="JR419" i="1"/>
  <c r="FG418" i="1"/>
  <c r="MN396" i="1"/>
  <c r="AW419" i="1"/>
  <c r="GN418" i="1"/>
  <c r="LS396" i="1"/>
  <c r="CP394" i="1"/>
  <c r="KG399" i="1"/>
  <c r="DZ397" i="1"/>
  <c r="MT421" i="1"/>
  <c r="BH404" i="1"/>
  <c r="DF408" i="1"/>
  <c r="LR414" i="1"/>
  <c r="LF412" i="1"/>
  <c r="MV420" i="1"/>
  <c r="IJ414" i="1"/>
  <c r="CW416" i="1"/>
  <c r="LB420" i="1"/>
  <c r="MX403" i="1"/>
  <c r="IG402" i="1"/>
  <c r="KZ404" i="1"/>
  <c r="KI412" i="1"/>
  <c r="MY406" i="1"/>
  <c r="IK411" i="1"/>
  <c r="MH394" i="1"/>
  <c r="CX418" i="1"/>
  <c r="GK427" i="1"/>
  <c r="JE426" i="1"/>
  <c r="GS419" i="1"/>
  <c r="KG422" i="1"/>
  <c r="KZ408" i="1"/>
  <c r="MA411" i="1"/>
  <c r="IW413" i="1"/>
  <c r="IP418" i="1"/>
  <c r="CH401" i="1"/>
  <c r="LO396" i="1"/>
  <c r="FG420" i="1"/>
  <c r="HX426" i="1"/>
  <c r="EX400" i="1"/>
  <c r="EB412" i="1"/>
  <c r="EK409" i="1"/>
  <c r="FH421" i="1"/>
  <c r="JX417" i="1"/>
  <c r="EY421" i="1"/>
  <c r="EF419" i="1"/>
  <c r="KJ417" i="1"/>
  <c r="DF419" i="1"/>
  <c r="DJ394" i="1"/>
  <c r="ND407" i="1"/>
  <c r="CL407" i="1"/>
  <c r="FA400" i="1"/>
  <c r="CB410" i="1"/>
  <c r="KN427" i="1"/>
  <c r="FU404" i="1"/>
  <c r="FE416" i="1"/>
  <c r="ME425" i="1"/>
  <c r="LD402" i="1"/>
  <c r="IH428" i="1"/>
  <c r="BK412" i="1"/>
  <c r="AW414" i="1"/>
  <c r="DO417" i="1"/>
  <c r="IO403" i="1"/>
  <c r="JV402" i="1"/>
  <c r="GJ414" i="1"/>
  <c r="KO412" i="1"/>
  <c r="LS408" i="1"/>
  <c r="NA402" i="1"/>
  <c r="CN411" i="1"/>
  <c r="LK428" i="1"/>
  <c r="JD407" i="1"/>
  <c r="FQ422" i="1"/>
  <c r="IY402" i="1"/>
  <c r="KK421" i="1"/>
  <c r="FC406" i="1"/>
  <c r="CP404" i="1"/>
  <c r="JJ396" i="1"/>
  <c r="KF413" i="1"/>
  <c r="EQ424" i="1"/>
  <c r="DV408" i="1"/>
  <c r="EN400" i="1"/>
  <c r="KQ421" i="1"/>
  <c r="EN409" i="1"/>
  <c r="IQ423" i="1"/>
  <c r="GS428" i="1"/>
  <c r="LX408" i="1"/>
  <c r="NB420" i="1"/>
  <c r="BJ417" i="1"/>
  <c r="CC424" i="1"/>
  <c r="JQ415" i="1"/>
  <c r="BL418" i="1"/>
  <c r="FD410" i="1"/>
  <c r="DQ402" i="1"/>
  <c r="FT426" i="1"/>
  <c r="LB402" i="1"/>
  <c r="FJ412" i="1"/>
  <c r="DD402" i="1"/>
  <c r="MH395" i="1"/>
  <c r="FL399" i="1"/>
  <c r="IQ404" i="1"/>
  <c r="GF402" i="1"/>
  <c r="NB426" i="1"/>
  <c r="EE418" i="1"/>
  <c r="EZ415" i="1"/>
  <c r="KB402" i="1"/>
  <c r="DC395" i="1"/>
  <c r="JR422" i="1"/>
  <c r="FN407" i="1"/>
  <c r="IA428" i="1"/>
  <c r="KU415" i="1"/>
  <c r="KQ394" i="1"/>
  <c r="AV399" i="1"/>
  <c r="LG415" i="1"/>
  <c r="HG408" i="1"/>
  <c r="DN412" i="1"/>
  <c r="DK412" i="1"/>
  <c r="DZ423" i="1"/>
  <c r="EM404" i="1"/>
  <c r="FQ407" i="1"/>
  <c r="FQ399" i="1"/>
  <c r="KW407" i="1"/>
  <c r="IM413" i="1"/>
  <c r="JJ421" i="1"/>
  <c r="NB413" i="1"/>
  <c r="FN426" i="1"/>
  <c r="FF416" i="1"/>
  <c r="AW422" i="1"/>
  <c r="CN414" i="1"/>
  <c r="LF420" i="1"/>
  <c r="EE410" i="1"/>
  <c r="GU424" i="1"/>
  <c r="IG411" i="1"/>
  <c r="MP402" i="1"/>
  <c r="LN410" i="1"/>
  <c r="EX417" i="1"/>
  <c r="LS413" i="1"/>
  <c r="IF410" i="1"/>
  <c r="JT416" i="1"/>
  <c r="LG397" i="1"/>
  <c r="IO412" i="1"/>
  <c r="FJ419" i="1"/>
  <c r="FU418" i="1"/>
  <c r="NB403" i="1"/>
  <c r="CR397" i="1"/>
  <c r="NB427" i="1"/>
  <c r="ED399" i="1"/>
  <c r="CU403" i="1"/>
  <c r="AV428" i="1"/>
  <c r="HH399" i="1"/>
  <c r="MB411" i="1"/>
  <c r="HF397" i="1"/>
  <c r="MO395" i="1"/>
  <c r="JK401" i="1"/>
  <c r="JU410" i="1"/>
  <c r="FX402" i="1"/>
  <c r="EU426" i="1"/>
  <c r="NE421" i="1"/>
  <c r="JR409" i="1"/>
  <c r="CP419" i="1"/>
  <c r="JX424" i="1"/>
  <c r="MG402" i="1"/>
  <c r="FX407" i="1"/>
  <c r="MN427" i="1"/>
  <c r="ED418" i="1"/>
  <c r="LS418" i="1"/>
  <c r="LG417" i="1"/>
  <c r="BO400" i="1"/>
  <c r="FU411" i="1"/>
  <c r="GD420" i="1"/>
  <c r="DU401" i="1"/>
  <c r="KI398" i="1"/>
  <c r="DD417" i="1"/>
  <c r="EU395" i="1"/>
  <c r="MJ411" i="1"/>
  <c r="CN400" i="1"/>
  <c r="CQ407" i="1"/>
  <c r="BN421" i="1"/>
  <c r="FH395" i="1"/>
  <c r="MT412" i="1"/>
  <c r="BK415" i="1"/>
  <c r="ME427" i="1"/>
  <c r="DC400" i="1"/>
  <c r="MX420" i="1"/>
  <c r="CI417" i="1"/>
  <c r="ML395" i="1"/>
  <c r="HF414" i="1"/>
  <c r="GD404" i="1"/>
  <c r="MP394" i="1"/>
  <c r="GA396" i="1"/>
  <c r="DS404" i="1"/>
  <c r="JC419" i="1"/>
  <c r="II402" i="1"/>
  <c r="GA419" i="1"/>
  <c r="KB425" i="1"/>
  <c r="MH400" i="1"/>
  <c r="DL409" i="1"/>
  <c r="GM411" i="1"/>
  <c r="JV425" i="1"/>
  <c r="KR425" i="1"/>
  <c r="HS396" i="1"/>
  <c r="MO415" i="1"/>
  <c r="DM426" i="1"/>
  <c r="FT406" i="1"/>
  <c r="EE398" i="1"/>
  <c r="MP411" i="1"/>
  <c r="IP410" i="1"/>
  <c r="JF417" i="1"/>
  <c r="KT424" i="1"/>
  <c r="GL414" i="1"/>
  <c r="HX420" i="1"/>
  <c r="LX402" i="1"/>
  <c r="DX408" i="1"/>
  <c r="DA402" i="1"/>
  <c r="JU398" i="1"/>
  <c r="DY412" i="1"/>
  <c r="BK418" i="1"/>
  <c r="LB414" i="1"/>
  <c r="DG422" i="1"/>
  <c r="EX414" i="1"/>
  <c r="KQ418" i="1"/>
  <c r="MI414" i="1"/>
  <c r="KV406" i="1"/>
  <c r="NA428" i="1"/>
  <c r="DK415" i="1"/>
  <c r="JT395" i="1"/>
  <c r="JM420" i="1"/>
  <c r="NB428" i="1"/>
  <c r="JD408" i="1"/>
  <c r="JY395" i="1"/>
  <c r="LX410" i="1"/>
  <c r="DE413" i="1"/>
  <c r="FE414" i="1"/>
  <c r="GP426" i="1"/>
  <c r="DG409" i="1"/>
  <c r="FV394" i="1"/>
  <c r="BI421" i="1"/>
  <c r="JU424" i="1"/>
  <c r="ME406" i="1"/>
  <c r="FH420" i="1"/>
  <c r="GQ427" i="1"/>
  <c r="ML407" i="1"/>
  <c r="II401" i="1"/>
  <c r="IM418" i="1"/>
  <c r="KS400" i="1"/>
  <c r="EZ402" i="1"/>
  <c r="LV404" i="1"/>
  <c r="LN401" i="1"/>
  <c r="EL424" i="1"/>
  <c r="EJ428" i="1"/>
  <c r="MZ416" i="1"/>
  <c r="AR425" i="1"/>
  <c r="DD412" i="1"/>
  <c r="IQ395" i="1"/>
  <c r="ML394" i="1"/>
  <c r="EI427" i="1"/>
  <c r="JZ420" i="1"/>
  <c r="ET422" i="1"/>
  <c r="LX428" i="1"/>
  <c r="EF396" i="1"/>
  <c r="EY395" i="1"/>
  <c r="DX411" i="1"/>
  <c r="CD410" i="1"/>
  <c r="DC428" i="1"/>
  <c r="BG420" i="1"/>
  <c r="AV416" i="1"/>
  <c r="GM425" i="1"/>
  <c r="KD404" i="1"/>
  <c r="GL399" i="1"/>
  <c r="CC426" i="1"/>
  <c r="EI398" i="1"/>
  <c r="MQ425" i="1"/>
  <c r="JG426" i="1"/>
  <c r="GR418" i="1"/>
  <c r="KP406" i="1"/>
  <c r="DY420" i="1"/>
  <c r="GP398" i="1"/>
  <c r="FY397" i="1"/>
  <c r="JM413" i="1"/>
  <c r="DJ397" i="1"/>
  <c r="CR415" i="1"/>
  <c r="KK418" i="1"/>
  <c r="CP426" i="1"/>
  <c r="FF403" i="1"/>
  <c r="EM396" i="1"/>
  <c r="EA428" i="1"/>
  <c r="CI409" i="1"/>
  <c r="GN407" i="1"/>
  <c r="HE427" i="1"/>
  <c r="AV395" i="1"/>
  <c r="DC396" i="1"/>
  <c r="LY428" i="1"/>
  <c r="HY417" i="1"/>
  <c r="MM425" i="1"/>
  <c r="EV401" i="1"/>
  <c r="JY412" i="1"/>
  <c r="FP424" i="1"/>
  <c r="FP410" i="1"/>
  <c r="CK416" i="1"/>
  <c r="MF397" i="1"/>
  <c r="FP395" i="1"/>
  <c r="GP395" i="1"/>
  <c r="MD402" i="1"/>
  <c r="HS426" i="1"/>
  <c r="BV417" i="1"/>
  <c r="HZ400" i="1"/>
  <c r="JL398" i="1"/>
  <c r="DM422" i="1"/>
  <c r="LP397" i="1"/>
  <c r="DB426" i="1"/>
  <c r="DW427" i="1"/>
  <c r="DJ427" i="1"/>
  <c r="FS423" i="1"/>
  <c r="EZ400" i="1"/>
  <c r="BF416" i="1"/>
  <c r="DS407" i="1"/>
  <c r="IO421" i="1"/>
  <c r="EW426" i="1"/>
  <c r="FH419" i="1"/>
  <c r="CE424" i="1"/>
  <c r="KQ401" i="1"/>
  <c r="CQ400" i="1"/>
  <c r="GT417" i="1"/>
  <c r="FP394" i="1"/>
  <c r="DL395" i="1"/>
  <c r="DI423" i="1"/>
  <c r="FY408" i="1"/>
  <c r="FA416" i="1"/>
  <c r="JM423" i="1"/>
  <c r="BO421" i="1"/>
  <c r="DY411" i="1"/>
  <c r="JW401" i="1"/>
  <c r="GC413" i="1"/>
  <c r="BM413" i="1"/>
  <c r="EQ422" i="1"/>
  <c r="LJ414" i="1"/>
  <c r="DU396" i="1"/>
  <c r="ET414" i="1"/>
  <c r="IZ406" i="1"/>
  <c r="FB428" i="1"/>
  <c r="KL428" i="1"/>
  <c r="MH403" i="1"/>
  <c r="FO414" i="1"/>
  <c r="EW407" i="1"/>
  <c r="KR404" i="1"/>
  <c r="MQ419" i="1"/>
  <c r="DF424" i="1"/>
  <c r="MJ396" i="1"/>
  <c r="BY395" i="1"/>
  <c r="BJ419" i="1"/>
  <c r="JL407" i="1"/>
  <c r="FR411" i="1"/>
  <c r="GR417" i="1"/>
  <c r="MF415" i="1"/>
  <c r="DH412" i="1"/>
  <c r="MV413" i="1"/>
  <c r="EK419" i="1"/>
  <c r="JU419" i="1"/>
  <c r="GB417" i="1"/>
  <c r="KO420" i="1"/>
  <c r="IY400" i="1"/>
  <c r="JM408" i="1"/>
  <c r="FO421" i="1"/>
  <c r="EG394" i="1"/>
  <c r="MK424" i="1"/>
  <c r="KN418" i="1"/>
  <c r="KW411" i="1"/>
  <c r="ND420" i="1"/>
  <c r="JG416" i="1"/>
  <c r="KB406" i="1"/>
  <c r="GQ397" i="1"/>
  <c r="IY396" i="1"/>
  <c r="CU395" i="1"/>
  <c r="MT395" i="1"/>
  <c r="BI413" i="1"/>
  <c r="IT426" i="1"/>
  <c r="AV420" i="1"/>
  <c r="HT415" i="1"/>
  <c r="FU402" i="1"/>
  <c r="DQ425" i="1"/>
  <c r="DB409" i="1"/>
  <c r="EZ418" i="1"/>
  <c r="GM399" i="1"/>
  <c r="DZ401" i="1"/>
  <c r="IT422" i="1"/>
  <c r="KS423" i="1"/>
  <c r="DD426" i="1"/>
  <c r="FJ417" i="1"/>
  <c r="LR402" i="1"/>
  <c r="BW400" i="1"/>
  <c r="DB417" i="1"/>
  <c r="FQ413" i="1"/>
  <c r="GH426" i="1"/>
  <c r="KH423" i="1"/>
  <c r="BG396" i="1"/>
  <c r="AT398" i="1"/>
  <c r="HW428" i="1"/>
  <c r="BN406" i="1"/>
  <c r="HU416" i="1"/>
  <c r="LE403" i="1"/>
  <c r="IY428" i="1"/>
  <c r="KK407" i="1"/>
  <c r="DW425" i="1"/>
  <c r="KZ400" i="1"/>
  <c r="EB400" i="1"/>
  <c r="LS401" i="1"/>
  <c r="AT396" i="1"/>
  <c r="MF427" i="1"/>
  <c r="GO396" i="1"/>
  <c r="DC414" i="1"/>
  <c r="JW395" i="1"/>
  <c r="ED413" i="1"/>
  <c r="MO411" i="1"/>
  <c r="ER420" i="1"/>
  <c r="DE426" i="1"/>
  <c r="HE420" i="1"/>
  <c r="KB427" i="1"/>
  <c r="BH416" i="1"/>
  <c r="IY411" i="1"/>
  <c r="DX414" i="1"/>
  <c r="EB408" i="1"/>
  <c r="FB407" i="1"/>
  <c r="NE417" i="1"/>
  <c r="CW413" i="1"/>
  <c r="FW408" i="1"/>
  <c r="GU402" i="1"/>
  <c r="ND402" i="1"/>
  <c r="LZ399" i="1"/>
  <c r="JY422" i="1"/>
  <c r="JK418" i="1"/>
  <c r="JP396" i="1"/>
  <c r="JC399" i="1"/>
  <c r="FN411" i="1"/>
  <c r="IP415" i="1"/>
  <c r="GB406" i="1"/>
  <c r="KA404" i="1"/>
  <c r="DX395" i="1"/>
  <c r="KZ416" i="1"/>
  <c r="DX404" i="1"/>
  <c r="IU418" i="1"/>
  <c r="CS428" i="1"/>
  <c r="FH398" i="1"/>
  <c r="IN412" i="1"/>
  <c r="BY426" i="1"/>
  <c r="JL395" i="1"/>
  <c r="MF419" i="1"/>
  <c r="IK396" i="1"/>
  <c r="DF413" i="1"/>
  <c r="IP424" i="1"/>
  <c r="JY402" i="1"/>
  <c r="FA428" i="1"/>
  <c r="KL400" i="1"/>
  <c r="LP419" i="1"/>
  <c r="BU403" i="1"/>
  <c r="GG400" i="1"/>
  <c r="KP411" i="1"/>
  <c r="EC419" i="1"/>
  <c r="MC397" i="1"/>
  <c r="BM410" i="1"/>
  <c r="MA415" i="1"/>
  <c r="MY407" i="1"/>
  <c r="CW414" i="1"/>
  <c r="GQ424" i="1"/>
  <c r="KM396" i="1"/>
  <c r="EM410" i="1"/>
  <c r="BV414" i="1"/>
  <c r="GT421" i="1"/>
  <c r="FV408" i="1"/>
  <c r="KM402" i="1"/>
  <c r="LF415" i="1"/>
  <c r="MN410" i="1"/>
  <c r="CB394" i="1"/>
  <c r="GB422" i="1"/>
  <c r="DW396" i="1"/>
  <c r="LY396" i="1"/>
  <c r="CX397" i="1"/>
  <c r="IL396" i="1"/>
  <c r="KN407" i="1"/>
  <c r="MI406" i="1"/>
  <c r="FV417" i="1"/>
  <c r="EH423" i="1"/>
  <c r="KW398" i="1"/>
  <c r="GA406" i="1"/>
  <c r="CY421" i="1"/>
  <c r="IO399" i="1"/>
  <c r="KX414" i="1"/>
  <c r="GJ394" i="1"/>
  <c r="JB404" i="1"/>
  <c r="JL418" i="1"/>
  <c r="KU398" i="1"/>
  <c r="EI421" i="1"/>
  <c r="FX401" i="1"/>
  <c r="DA398" i="1"/>
  <c r="BM403" i="1"/>
  <c r="KK417" i="1"/>
  <c r="GM413" i="1"/>
  <c r="JJ422" i="1"/>
  <c r="EG426" i="1"/>
  <c r="DV419" i="1"/>
  <c r="CQ412" i="1"/>
  <c r="HX427" i="1"/>
  <c r="MM409" i="1"/>
  <c r="JE397" i="1"/>
  <c r="HV394" i="1"/>
  <c r="CU397" i="1"/>
  <c r="LQ425" i="1"/>
  <c r="KG412" i="1"/>
  <c r="EF408" i="1"/>
  <c r="LD416" i="1"/>
  <c r="KC395" i="1"/>
  <c r="CZ419" i="1"/>
  <c r="ER399" i="1"/>
  <c r="EJ412" i="1"/>
  <c r="FN398" i="1"/>
  <c r="BO420" i="1"/>
  <c r="HX395" i="1"/>
  <c r="GO421" i="1"/>
  <c r="BI395" i="1"/>
  <c r="KM412" i="1"/>
  <c r="KI413" i="1"/>
  <c r="DK409" i="1"/>
  <c r="JQ398" i="1"/>
  <c r="KB403" i="1"/>
  <c r="IT410" i="1"/>
  <c r="MA414" i="1"/>
  <c r="MC406" i="1"/>
  <c r="CL426" i="1"/>
  <c r="KT402" i="1"/>
  <c r="FP417" i="1"/>
  <c r="FW409" i="1"/>
  <c r="GJ423" i="1"/>
  <c r="EW408" i="1"/>
  <c r="KJ404" i="1"/>
  <c r="BH410" i="1"/>
  <c r="FJ426" i="1"/>
  <c r="HG400" i="1"/>
  <c r="EU397" i="1"/>
  <c r="BW411" i="1"/>
  <c r="KU410" i="1"/>
  <c r="HI417" i="1"/>
  <c r="JK414" i="1"/>
  <c r="EK423" i="1"/>
  <c r="FU398" i="1"/>
  <c r="GM395" i="1"/>
  <c r="IK407" i="1"/>
  <c r="ER426" i="1"/>
  <c r="JW396" i="1"/>
  <c r="CD399" i="1"/>
  <c r="DY427" i="1"/>
  <c r="GI412" i="1"/>
  <c r="JJ425" i="1"/>
  <c r="DD407" i="1"/>
  <c r="CJ425" i="1"/>
  <c r="GB394" i="1"/>
  <c r="FC422" i="1"/>
  <c r="MB403" i="1"/>
  <c r="KY395" i="1"/>
  <c r="CL418" i="1"/>
  <c r="MV423" i="1"/>
  <c r="KO423" i="1"/>
  <c r="MB421" i="1"/>
  <c r="KS397" i="1"/>
  <c r="FO403" i="1"/>
  <c r="CK426" i="1"/>
  <c r="DZ394" i="1"/>
  <c r="MB413" i="1"/>
  <c r="CS401" i="1"/>
  <c r="KJ423" i="1"/>
  <c r="KS425" i="1"/>
  <c r="MZ403" i="1"/>
  <c r="DF410" i="1"/>
  <c r="EO394" i="1"/>
  <c r="CD409" i="1"/>
  <c r="EL419" i="1"/>
  <c r="HU421" i="1"/>
  <c r="EL425" i="1"/>
  <c r="JP420" i="1"/>
  <c r="GF420" i="1"/>
  <c r="GJ402" i="1"/>
  <c r="GO398" i="1"/>
  <c r="EG401" i="1"/>
  <c r="BJ414" i="1"/>
  <c r="DQ401" i="1"/>
  <c r="BT398" i="1"/>
  <c r="KW395" i="1"/>
  <c r="FL396" i="1"/>
  <c r="GJ404" i="1"/>
  <c r="MC417" i="1"/>
  <c r="HH402" i="1"/>
  <c r="BW407" i="1"/>
  <c r="LY406" i="1"/>
  <c r="MW400" i="1"/>
  <c r="GP421" i="1"/>
  <c r="EH404" i="1"/>
  <c r="KM400" i="1"/>
  <c r="LU427" i="1"/>
  <c r="FF399" i="1"/>
  <c r="CQ395" i="1"/>
  <c r="GS409" i="1"/>
  <c r="GA403" i="1"/>
  <c r="EJ423" i="1"/>
  <c r="EN419" i="1"/>
  <c r="IN420" i="1"/>
  <c r="IY421" i="1"/>
  <c r="JH419" i="1"/>
  <c r="HE421" i="1"/>
  <c r="HD395" i="1"/>
  <c r="JP406" i="1"/>
  <c r="EF403" i="1"/>
  <c r="KZ420" i="1"/>
  <c r="FE417" i="1"/>
  <c r="DD398" i="1"/>
  <c r="MP420" i="1"/>
  <c r="IO416" i="1"/>
  <c r="EM418" i="1"/>
  <c r="IO415" i="1"/>
  <c r="CO398" i="1"/>
  <c r="KS427" i="1"/>
  <c r="EG408" i="1"/>
  <c r="CD426" i="1"/>
  <c r="IU413" i="1"/>
  <c r="JS400" i="1"/>
  <c r="BK408" i="1"/>
  <c r="CB396" i="1"/>
  <c r="CU402" i="1"/>
  <c r="LF407" i="1"/>
  <c r="GQ415" i="1"/>
  <c r="AV396" i="1"/>
  <c r="KU408" i="1"/>
  <c r="LL414" i="1"/>
  <c r="MQ400" i="1"/>
  <c r="LC396" i="1"/>
  <c r="HX403" i="1"/>
  <c r="EP408" i="1"/>
  <c r="FU408" i="1"/>
  <c r="GC409" i="1"/>
  <c r="KV418" i="1"/>
  <c r="HY407" i="1"/>
  <c r="HH422" i="1"/>
  <c r="GO420" i="1"/>
  <c r="GO413" i="1"/>
  <c r="EH397" i="1"/>
  <c r="HS398" i="1"/>
  <c r="FM427" i="1"/>
  <c r="MV414" i="1"/>
  <c r="IM424" i="1"/>
  <c r="HI413" i="1"/>
  <c r="CX419" i="1"/>
  <c r="GL407" i="1"/>
  <c r="GH402" i="1"/>
  <c r="HG415" i="1"/>
  <c r="JP403" i="1"/>
  <c r="GF401" i="1"/>
  <c r="IM407" i="1"/>
  <c r="HF422" i="1"/>
  <c r="KW426" i="1"/>
  <c r="MG424" i="1"/>
  <c r="NC412" i="1"/>
  <c r="JI412" i="1"/>
  <c r="IA408" i="1"/>
  <c r="FM416" i="1"/>
  <c r="KZ422" i="1"/>
  <c r="JM396" i="1"/>
  <c r="DM413" i="1"/>
  <c r="JP428" i="1"/>
  <c r="LH396" i="1"/>
  <c r="DY403" i="1"/>
  <c r="GE428" i="1"/>
  <c r="ER407" i="1"/>
  <c r="CR427" i="1"/>
  <c r="EC411" i="1"/>
  <c r="IV403" i="1"/>
  <c r="FC428" i="1"/>
  <c r="EF411" i="1"/>
  <c r="DP403" i="1"/>
  <c r="FV423" i="1"/>
  <c r="FQ428" i="1"/>
  <c r="IV427" i="1"/>
  <c r="EH401" i="1"/>
  <c r="KQ417" i="1"/>
  <c r="MI410" i="1"/>
  <c r="EA398" i="1"/>
  <c r="BU397" i="1"/>
  <c r="CT398" i="1"/>
  <c r="JI424" i="1"/>
  <c r="LZ421" i="1"/>
  <c r="IL404" i="1"/>
  <c r="EU404" i="1"/>
  <c r="HZ416" i="1"/>
  <c r="KM397" i="1"/>
  <c r="HS427" i="1"/>
  <c r="LE417" i="1"/>
  <c r="MK423" i="1"/>
  <c r="JI403" i="1"/>
  <c r="LW413" i="1"/>
  <c r="CS411" i="1"/>
  <c r="FI396" i="1"/>
  <c r="ES401" i="1"/>
  <c r="CS402" i="1"/>
  <c r="FO408" i="1"/>
  <c r="DR421" i="1"/>
  <c r="FV428" i="1"/>
  <c r="LK419" i="1"/>
  <c r="CB403" i="1"/>
  <c r="LW428" i="1"/>
  <c r="KG419" i="1"/>
  <c r="KI397" i="1"/>
  <c r="DS422" i="1"/>
  <c r="CK419" i="1"/>
  <c r="IK422" i="1"/>
  <c r="KJ412" i="1"/>
  <c r="DF402" i="1"/>
  <c r="CM422" i="1"/>
  <c r="NC421" i="1"/>
  <c r="KP413" i="1"/>
  <c r="GP414" i="1"/>
  <c r="KD410" i="1"/>
  <c r="FE415" i="1"/>
  <c r="HI427" i="1"/>
  <c r="CA409" i="1"/>
  <c r="FB401" i="1"/>
  <c r="IF419" i="1"/>
  <c r="CJ424" i="1"/>
  <c r="JR417" i="1"/>
  <c r="CB427" i="1"/>
  <c r="JT423" i="1"/>
  <c r="JS404" i="1"/>
  <c r="HV411" i="1"/>
  <c r="FU400" i="1"/>
  <c r="FT404" i="1"/>
  <c r="IG398" i="1"/>
  <c r="GF424" i="1"/>
  <c r="DZ412" i="1"/>
  <c r="BX417" i="1"/>
  <c r="LR418" i="1"/>
  <c r="KK409" i="1"/>
  <c r="DR398" i="1"/>
  <c r="KM404" i="1"/>
  <c r="FK415" i="1"/>
  <c r="JW427" i="1"/>
  <c r="BX426" i="1"/>
  <c r="LS417" i="1"/>
  <c r="FT421" i="1"/>
  <c r="KK414" i="1"/>
  <c r="FB413" i="1"/>
  <c r="MG417" i="1"/>
  <c r="GR426" i="1"/>
  <c r="JG407" i="1"/>
  <c r="BI403" i="1"/>
  <c r="JC395" i="1"/>
  <c r="MB397" i="1"/>
  <c r="KA424" i="1"/>
  <c r="IY407" i="1"/>
  <c r="BL399" i="1"/>
  <c r="FU414" i="1"/>
  <c r="LD423" i="1"/>
  <c r="MU417" i="1"/>
  <c r="LC397" i="1"/>
  <c r="FP397" i="1"/>
  <c r="MF403" i="1"/>
  <c r="LE426" i="1"/>
  <c r="DC416" i="1"/>
  <c r="FX423" i="1"/>
  <c r="MQ408" i="1"/>
  <c r="FG412" i="1"/>
  <c r="GC410" i="1"/>
  <c r="FF410" i="1"/>
  <c r="KH418" i="1"/>
  <c r="CE409" i="1"/>
  <c r="MH416" i="1"/>
  <c r="DK413" i="1"/>
  <c r="JN418" i="1"/>
  <c r="KI421" i="1"/>
  <c r="DX421" i="1"/>
  <c r="BW427" i="1"/>
  <c r="CK418" i="1"/>
  <c r="EO418" i="1"/>
  <c r="LV403" i="1"/>
  <c r="JD411" i="1"/>
  <c r="JG401" i="1"/>
  <c r="JD399" i="1"/>
  <c r="CB423" i="1"/>
  <c r="CQ409" i="1"/>
  <c r="ML412" i="1"/>
  <c r="CN421" i="1"/>
  <c r="MY404" i="1"/>
  <c r="DS411" i="1"/>
  <c r="BU407" i="1"/>
  <c r="BL403" i="1"/>
  <c r="LB406" i="1"/>
  <c r="DF414" i="1"/>
  <c r="KR403" i="1"/>
  <c r="DC423" i="1"/>
  <c r="CW410" i="1"/>
  <c r="MB406" i="1"/>
  <c r="CK402" i="1"/>
  <c r="IK417" i="1"/>
  <c r="IH409" i="1"/>
  <c r="DR411" i="1"/>
  <c r="JR397" i="1"/>
  <c r="GM408" i="1"/>
  <c r="ND408" i="1"/>
  <c r="GS398" i="1"/>
  <c r="DF398" i="1"/>
  <c r="DW409" i="1"/>
  <c r="JV400" i="1"/>
  <c r="IU400" i="1"/>
  <c r="FL415" i="1"/>
  <c r="LO417" i="1"/>
  <c r="JM415" i="1"/>
  <c r="MZ399" i="1"/>
  <c r="EW399" i="1"/>
  <c r="CW399" i="1"/>
  <c r="MH401" i="1"/>
  <c r="JD425" i="1"/>
  <c r="EV396" i="1"/>
  <c r="BU401" i="1"/>
  <c r="FR398" i="1"/>
  <c r="IA414" i="1"/>
  <c r="EE423" i="1"/>
  <c r="JC424" i="1"/>
  <c r="FH401" i="1"/>
  <c r="JN420" i="1"/>
  <c r="MP426" i="1"/>
  <c r="KU406" i="1"/>
  <c r="FU419" i="1"/>
  <c r="IO418" i="1"/>
  <c r="CP401" i="1"/>
  <c r="MM411" i="1"/>
  <c r="FO423" i="1"/>
  <c r="IQ394" i="1"/>
  <c r="JN413" i="1"/>
  <c r="KB411" i="1"/>
  <c r="JY396" i="1"/>
  <c r="EO427" i="1"/>
  <c r="FL407" i="1"/>
  <c r="DC413" i="1"/>
  <c r="DK399" i="1"/>
  <c r="FV410" i="1"/>
  <c r="MO403" i="1"/>
  <c r="KI399" i="1"/>
  <c r="MV408" i="1"/>
  <c r="LU414" i="1"/>
  <c r="KD423" i="1"/>
  <c r="DK416" i="1"/>
  <c r="EV394" i="1"/>
  <c r="CB407" i="1"/>
  <c r="MQ409" i="1"/>
  <c r="ET419" i="1"/>
  <c r="GK421" i="1"/>
  <c r="HH421" i="1"/>
  <c r="JO404" i="1"/>
  <c r="DG411" i="1"/>
  <c r="MD418" i="1"/>
  <c r="KM418" i="1"/>
  <c r="LE428" i="1"/>
  <c r="KL395" i="1"/>
  <c r="LE396" i="1"/>
  <c r="HG414" i="1"/>
  <c r="EF428" i="1"/>
  <c r="FT402" i="1"/>
  <c r="DU419" i="1"/>
  <c r="FJ395" i="1"/>
  <c r="DY421" i="1"/>
  <c r="IX419" i="1"/>
  <c r="DF426" i="1"/>
  <c r="KS419" i="1"/>
  <c r="AT413" i="1"/>
  <c r="LP424" i="1"/>
  <c r="LZ412" i="1"/>
  <c r="AV403" i="1"/>
  <c r="KH427" i="1"/>
  <c r="EC395" i="1"/>
  <c r="KH419" i="1"/>
  <c r="KN423" i="1"/>
  <c r="DI415" i="1"/>
  <c r="GQ410" i="1"/>
  <c r="IU425" i="1"/>
  <c r="ME395" i="1"/>
  <c r="FX415" i="1"/>
  <c r="FV414" i="1"/>
  <c r="HE414" i="1"/>
  <c r="HZ401" i="1"/>
  <c r="KR412" i="1"/>
  <c r="FR400" i="1"/>
  <c r="EX402" i="1"/>
  <c r="EQ407" i="1"/>
  <c r="IQ402" i="1"/>
  <c r="DF399" i="1"/>
  <c r="JR425" i="1"/>
  <c r="GS418" i="1"/>
  <c r="JE419" i="1"/>
  <c r="LQ413" i="1"/>
  <c r="HF394" i="1"/>
  <c r="GH414" i="1"/>
  <c r="MV401" i="1"/>
  <c r="DP406" i="1"/>
  <c r="GO428" i="1"/>
  <c r="JQ394" i="1"/>
  <c r="BX420" i="1"/>
  <c r="EV413" i="1"/>
  <c r="LI412" i="1"/>
  <c r="GP409" i="1"/>
  <c r="FA420" i="1"/>
  <c r="EF401" i="1"/>
  <c r="FF411" i="1"/>
  <c r="IW407" i="1"/>
  <c r="CD419" i="1"/>
  <c r="EQ396" i="1"/>
  <c r="GU397" i="1"/>
  <c r="HV402" i="1"/>
  <c r="DS415" i="1"/>
  <c r="DK427" i="1"/>
  <c r="DA420" i="1"/>
  <c r="BX418" i="1"/>
  <c r="LJ419" i="1"/>
  <c r="FG411" i="1"/>
  <c r="JO398" i="1"/>
  <c r="DH402" i="1"/>
  <c r="FZ408" i="1"/>
  <c r="EM403" i="1"/>
  <c r="JA428" i="1"/>
  <c r="EI407" i="1"/>
  <c r="KK412" i="1"/>
  <c r="IV414" i="1"/>
  <c r="CA397" i="1"/>
  <c r="JM416" i="1"/>
  <c r="DF400" i="1"/>
  <c r="ET417" i="1"/>
  <c r="BI406" i="1"/>
  <c r="DU416" i="1"/>
  <c r="CJ423" i="1"/>
  <c r="KV400" i="1"/>
  <c r="JP413" i="1"/>
  <c r="DM397" i="1"/>
  <c r="ER408" i="1"/>
  <c r="EV420" i="1"/>
  <c r="DA407" i="1"/>
  <c r="DY407" i="1"/>
  <c r="LC413" i="1"/>
  <c r="BZ410" i="1"/>
  <c r="FI407" i="1"/>
  <c r="EG396" i="1"/>
  <c r="EF400" i="1"/>
  <c r="BM421" i="1"/>
  <c r="FC410" i="1"/>
  <c r="DH408" i="1"/>
  <c r="MF401" i="1"/>
  <c r="IV423" i="1"/>
  <c r="HS420" i="1"/>
  <c r="JL409" i="1"/>
  <c r="JW412" i="1"/>
  <c r="LY401" i="1"/>
  <c r="LB400" i="1"/>
  <c r="KL420" i="1"/>
  <c r="NA395" i="1"/>
  <c r="JP417" i="1"/>
  <c r="BO403" i="1"/>
  <c r="CE400" i="1"/>
  <c r="KP404" i="1"/>
  <c r="GB419" i="1"/>
  <c r="KJ410" i="1"/>
  <c r="LY402" i="1"/>
  <c r="GL398" i="1"/>
  <c r="JD412" i="1"/>
  <c r="EE404" i="1"/>
  <c r="JB428" i="1"/>
  <c r="LM407" i="1"/>
  <c r="FM397" i="1"/>
  <c r="IZ427" i="1"/>
  <c r="CU420" i="1"/>
  <c r="LB395" i="1"/>
  <c r="MZ425" i="1"/>
  <c r="IH413" i="1"/>
  <c r="HI416" i="1"/>
  <c r="MB424" i="1"/>
  <c r="LX426" i="1"/>
  <c r="JV423" i="1"/>
  <c r="MF411" i="1"/>
  <c r="BN407" i="1"/>
  <c r="LN409" i="1"/>
  <c r="LU403" i="1"/>
  <c r="MN425" i="1"/>
  <c r="LP425" i="1"/>
  <c r="JG425" i="1"/>
  <c r="GS417" i="1"/>
  <c r="GR419" i="1"/>
  <c r="FN396" i="1"/>
  <c r="EL403" i="1"/>
  <c r="JJ403" i="1"/>
  <c r="NC415" i="1"/>
  <c r="FB395" i="1"/>
  <c r="MV418" i="1"/>
  <c r="DQ400" i="1"/>
  <c r="BZ412" i="1"/>
  <c r="EM408" i="1"/>
  <c r="ES413" i="1"/>
  <c r="BI422" i="1"/>
  <c r="MA396" i="1"/>
  <c r="CP416" i="1"/>
  <c r="MV416" i="1"/>
  <c r="LF413" i="1"/>
  <c r="KN424" i="1"/>
  <c r="NB399" i="1"/>
  <c r="MZ424" i="1"/>
  <c r="LT394" i="1"/>
  <c r="CA403" i="1"/>
  <c r="II404" i="1"/>
  <c r="FE400" i="1"/>
  <c r="CS412" i="1"/>
  <c r="JU404" i="1"/>
  <c r="EN407" i="1"/>
  <c r="FW420" i="1"/>
  <c r="JE396" i="1"/>
  <c r="LT421" i="1"/>
  <c r="LC420" i="1"/>
  <c r="BM397" i="1"/>
  <c r="DI421" i="1"/>
  <c r="LM409" i="1"/>
  <c r="BZ395" i="1"/>
  <c r="MJ398" i="1"/>
  <c r="FV403" i="1"/>
  <c r="MK428" i="1"/>
  <c r="IN402" i="1"/>
  <c r="EO403" i="1"/>
  <c r="EV426" i="1"/>
  <c r="EF423" i="1"/>
  <c r="CX409" i="1"/>
  <c r="LL408" i="1"/>
  <c r="EG427" i="1"/>
  <c r="LL396" i="1"/>
  <c r="BL412" i="1"/>
  <c r="LU395" i="1"/>
  <c r="MT428" i="1"/>
  <c r="EE427" i="1"/>
  <c r="KJ400" i="1"/>
  <c r="CI406" i="1"/>
  <c r="CD411" i="1"/>
  <c r="IH402" i="1"/>
  <c r="KL423" i="1"/>
  <c r="HF402" i="1"/>
  <c r="LU426" i="1"/>
  <c r="DZ416" i="1"/>
  <c r="MC419" i="1"/>
  <c r="JV410" i="1"/>
  <c r="MJ401" i="1"/>
  <c r="CC408" i="1"/>
  <c r="LE409" i="1"/>
  <c r="IM428" i="1"/>
  <c r="BH402" i="1"/>
  <c r="CJ394" i="1"/>
  <c r="EQ427" i="1"/>
  <c r="IL428" i="1"/>
  <c r="FK416" i="1"/>
  <c r="IQ408" i="1"/>
  <c r="JW402" i="1"/>
  <c r="DC421" i="1"/>
  <c r="MQ398" i="1"/>
  <c r="LI411" i="1"/>
  <c r="HZ411" i="1"/>
  <c r="MM418" i="1"/>
  <c r="MA397" i="1"/>
  <c r="GO412" i="1"/>
  <c r="ES394" i="1"/>
  <c r="MQ423" i="1"/>
  <c r="CX400" i="1"/>
  <c r="CQ426" i="1"/>
  <c r="AW394" i="1"/>
  <c r="DP420" i="1"/>
  <c r="LM404" i="1"/>
  <c r="GN403" i="1"/>
  <c r="DD395" i="1"/>
  <c r="ET399" i="1"/>
  <c r="KS399" i="1"/>
  <c r="BN414" i="1"/>
  <c r="KW408" i="1"/>
  <c r="KS394" i="1"/>
  <c r="JO403" i="1"/>
  <c r="IA422" i="1"/>
  <c r="IO428" i="1"/>
  <c r="MQ404" i="1"/>
  <c r="JE401" i="1"/>
  <c r="EM423" i="1"/>
  <c r="KW406" i="1"/>
  <c r="DY417" i="1"/>
  <c r="LT395" i="1"/>
  <c r="DP411" i="1"/>
  <c r="JS397" i="1"/>
  <c r="DP418" i="1"/>
  <c r="KH404" i="1"/>
  <c r="DQ423" i="1"/>
  <c r="GE420" i="1"/>
  <c r="CW427" i="1"/>
  <c r="KQ411" i="1"/>
  <c r="JE399" i="1"/>
  <c r="KT408" i="1"/>
  <c r="FD418" i="1"/>
  <c r="EW417" i="1"/>
  <c r="DO402" i="1"/>
  <c r="KY428" i="1"/>
  <c r="DP412" i="1"/>
  <c r="DI411" i="1"/>
  <c r="JN395" i="1"/>
  <c r="CO416" i="1"/>
  <c r="HX413" i="1"/>
  <c r="KF426" i="1"/>
  <c r="MA400" i="1"/>
  <c r="BL411" i="1"/>
  <c r="HX409" i="1"/>
  <c r="MZ407" i="1"/>
  <c r="ED404" i="1"/>
  <c r="LK402" i="1"/>
  <c r="IU420" i="1"/>
  <c r="CO402" i="1"/>
  <c r="FY407" i="1"/>
  <c r="BG417" i="1"/>
  <c r="LD413" i="1"/>
  <c r="HS414" i="1"/>
  <c r="GP400" i="1"/>
  <c r="ML414" i="1"/>
  <c r="DL421" i="1"/>
  <c r="JO408" i="1"/>
  <c r="GH417" i="1"/>
  <c r="FL427" i="1"/>
  <c r="IP427" i="1"/>
  <c r="FQ417" i="1"/>
  <c r="JR408" i="1"/>
  <c r="JM414" i="1"/>
  <c r="GJ411" i="1"/>
  <c r="NA408" i="1"/>
  <c r="CC427" i="1"/>
  <c r="CV428" i="1"/>
  <c r="GF417" i="1"/>
  <c r="KH412" i="1"/>
  <c r="MU394" i="1"/>
  <c r="KE396" i="1"/>
  <c r="KZ417" i="1"/>
  <c r="MZ414" i="1"/>
  <c r="NE398" i="1"/>
  <c r="MD414" i="1"/>
  <c r="KS396" i="1"/>
  <c r="FB419" i="1"/>
  <c r="EK418" i="1"/>
  <c r="LL413" i="1"/>
  <c r="CE412" i="1"/>
  <c r="EH406" i="1"/>
  <c r="BZ422" i="1"/>
  <c r="MJ404" i="1"/>
  <c r="CB399" i="1"/>
  <c r="BJ409" i="1"/>
  <c r="LE407" i="1"/>
  <c r="KL417" i="1"/>
  <c r="EV398" i="1"/>
  <c r="HZ397" i="1"/>
  <c r="KN417" i="1"/>
  <c r="HX404" i="1"/>
  <c r="BX409" i="1"/>
  <c r="CS415" i="1"/>
  <c r="EO402" i="1"/>
  <c r="KU409" i="1"/>
  <c r="CK428" i="1"/>
  <c r="AR423" i="1"/>
  <c r="HF426" i="1"/>
  <c r="CE402" i="1"/>
  <c r="ES399" i="1"/>
  <c r="NA418" i="1"/>
  <c r="BW418" i="1"/>
  <c r="DN422" i="1"/>
  <c r="EF407" i="1"/>
  <c r="DP413" i="1"/>
  <c r="GC424" i="1"/>
  <c r="KU396" i="1"/>
  <c r="JM402" i="1"/>
  <c r="JV403" i="1"/>
  <c r="LM424" i="1"/>
  <c r="KO421" i="1"/>
  <c r="LN411" i="1"/>
  <c r="EE408" i="1"/>
  <c r="IO413" i="1"/>
  <c r="IQ427" i="1"/>
  <c r="ET418" i="1"/>
  <c r="IJ404" i="1"/>
  <c r="JF398" i="1"/>
  <c r="HY408" i="1"/>
  <c r="MH402" i="1"/>
  <c r="BG397" i="1"/>
  <c r="DX412" i="1"/>
  <c r="FL414" i="1"/>
  <c r="CA399" i="1"/>
  <c r="IK400" i="1"/>
  <c r="GG421" i="1"/>
  <c r="LI404" i="1"/>
  <c r="BH411" i="1"/>
  <c r="KK403" i="1"/>
  <c r="DJ417" i="1"/>
  <c r="EZ423" i="1"/>
  <c r="GE427" i="1"/>
  <c r="HG396" i="1"/>
  <c r="MA417" i="1"/>
  <c r="MO401" i="1"/>
  <c r="BF419" i="1"/>
  <c r="KL402" i="1"/>
  <c r="FU428" i="1"/>
  <c r="LQ420" i="1"/>
  <c r="DF427" i="1"/>
  <c r="FH399" i="1"/>
  <c r="DJ421" i="1"/>
  <c r="KQ404" i="1"/>
  <c r="JV416" i="1"/>
  <c r="CW406" i="1"/>
  <c r="DK421" i="1"/>
  <c r="EV402" i="1"/>
  <c r="GK420" i="1"/>
  <c r="FC425" i="1"/>
  <c r="FW412" i="1"/>
  <c r="LK406" i="1"/>
  <c r="EM425" i="1"/>
  <c r="EU394" i="1"/>
  <c r="DR403" i="1"/>
  <c r="IZ417" i="1"/>
  <c r="LJ399" i="1"/>
  <c r="FI420" i="1"/>
  <c r="HE404" i="1"/>
  <c r="LJ423" i="1"/>
  <c r="CZ411" i="1"/>
  <c r="KX416" i="1"/>
  <c r="DO419" i="1"/>
  <c r="DV427" i="1"/>
  <c r="IX395" i="1"/>
  <c r="JT406" i="1"/>
  <c r="JS424" i="1"/>
  <c r="DD420" i="1"/>
  <c r="AU412" i="1"/>
  <c r="MF414" i="1"/>
  <c r="DO399" i="1"/>
  <c r="KQ412" i="1"/>
  <c r="FO428" i="1"/>
  <c r="EM402" i="1"/>
  <c r="JU400" i="1"/>
  <c r="LY400" i="1"/>
  <c r="KN401" i="1"/>
  <c r="MU396" i="1"/>
  <c r="LE402" i="1"/>
  <c r="IL398" i="1"/>
  <c r="LD394" i="1"/>
  <c r="LH427" i="1"/>
  <c r="EW410" i="1"/>
  <c r="LI420" i="1"/>
  <c r="IJ400" i="1"/>
  <c r="EE422" i="1"/>
  <c r="KX413" i="1"/>
  <c r="CQ394" i="1"/>
  <c r="FJ400" i="1"/>
  <c r="FZ413" i="1"/>
  <c r="KD411" i="1"/>
  <c r="LV415" i="1"/>
  <c r="GC421" i="1"/>
  <c r="MH408" i="1"/>
  <c r="LI428" i="1"/>
  <c r="JP395" i="1"/>
  <c r="LZ418" i="1"/>
  <c r="JW407" i="1"/>
  <c r="KE425" i="1"/>
  <c r="NE428" i="1"/>
  <c r="KM415" i="1"/>
  <c r="CU426" i="1"/>
  <c r="HW401" i="1"/>
  <c r="LD424" i="1"/>
  <c r="KW394" i="1"/>
  <c r="DQ410" i="1"/>
  <c r="IK399" i="1"/>
  <c r="FA402" i="1"/>
  <c r="GK397" i="1"/>
  <c r="CN422" i="1"/>
  <c r="IM396" i="1"/>
  <c r="JN424" i="1"/>
  <c r="CZ420" i="1"/>
  <c r="MM402" i="1"/>
  <c r="KM419" i="1"/>
  <c r="IO407" i="1"/>
  <c r="DT423" i="1"/>
  <c r="CO413" i="1"/>
  <c r="MX411" i="1"/>
  <c r="BK428" i="1"/>
  <c r="JY406" i="1"/>
  <c r="EX420" i="1"/>
  <c r="ML427" i="1"/>
  <c r="JD428" i="1"/>
  <c r="LF416" i="1"/>
  <c r="GT408" i="1"/>
  <c r="DK426" i="1"/>
  <c r="EW396" i="1"/>
  <c r="FP406" i="1"/>
  <c r="IV404" i="1"/>
  <c r="GS396" i="1"/>
  <c r="JU407" i="1"/>
  <c r="JB422" i="1"/>
  <c r="EA418" i="1"/>
  <c r="LA408" i="1"/>
  <c r="BY414" i="1"/>
  <c r="MC428" i="1"/>
  <c r="EI414" i="1"/>
  <c r="BL395" i="1"/>
  <c r="EO426" i="1"/>
  <c r="JW423" i="1"/>
  <c r="EX399" i="1"/>
  <c r="GH420" i="1"/>
  <c r="GQ404" i="1"/>
  <c r="BV422" i="1"/>
  <c r="LT410" i="1"/>
  <c r="LN428" i="1"/>
  <c r="IO408" i="1"/>
  <c r="EW412" i="1"/>
  <c r="BM406" i="1"/>
  <c r="DP398" i="1"/>
  <c r="AW417" i="1"/>
  <c r="JS422" i="1"/>
  <c r="GP411" i="1"/>
  <c r="KD408" i="1"/>
  <c r="EU410" i="1"/>
  <c r="NA404" i="1"/>
  <c r="CQ423" i="1"/>
  <c r="MV398" i="1"/>
  <c r="DJ415" i="1"/>
  <c r="GK428" i="1"/>
  <c r="AS402" i="1"/>
  <c r="KI428" i="1"/>
  <c r="KU394" i="1"/>
  <c r="LA422" i="1"/>
  <c r="DT406" i="1"/>
  <c r="GJ398" i="1"/>
  <c r="CN416" i="1"/>
  <c r="JR410" i="1"/>
  <c r="JX425" i="1"/>
  <c r="LF424" i="1"/>
  <c r="IA399" i="1"/>
  <c r="MA404" i="1"/>
  <c r="EC406" i="1"/>
  <c r="BG408" i="1"/>
  <c r="ES407" i="1"/>
  <c r="LG395" i="1"/>
  <c r="IH421" i="1"/>
  <c r="MH418" i="1"/>
  <c r="JT404" i="1"/>
  <c r="EJ413" i="1"/>
  <c r="GJ417" i="1"/>
  <c r="GL426" i="1"/>
  <c r="LH419" i="1"/>
  <c r="ER397" i="1"/>
  <c r="FS409" i="1"/>
  <c r="DR408" i="1"/>
  <c r="CA423" i="1"/>
  <c r="ML399" i="1"/>
  <c r="JV398" i="1"/>
  <c r="MT399" i="1"/>
  <c r="LR400" i="1"/>
  <c r="CO422" i="1"/>
  <c r="EF424" i="1"/>
  <c r="JC404" i="1"/>
  <c r="HW395" i="1"/>
  <c r="FY399" i="1"/>
  <c r="JM398" i="1"/>
  <c r="GS402" i="1"/>
  <c r="FK403" i="1"/>
  <c r="DR423" i="1"/>
  <c r="BN394" i="1"/>
  <c r="LT404" i="1"/>
  <c r="ND399" i="1"/>
  <c r="EH409" i="1"/>
  <c r="MQ426" i="1"/>
  <c r="FJ428" i="1"/>
  <c r="IK426" i="1"/>
  <c r="MY422" i="1"/>
  <c r="ME420" i="1"/>
  <c r="GK395" i="1"/>
  <c r="EQ425" i="1"/>
  <c r="NA427" i="1"/>
  <c r="KI404" i="1"/>
  <c r="BX394" i="1"/>
  <c r="MK420" i="1"/>
  <c r="IL416" i="1"/>
  <c r="CA424" i="1"/>
  <c r="KX396" i="1"/>
  <c r="FU415" i="1"/>
  <c r="DK419" i="1"/>
  <c r="LO404" i="1"/>
  <c r="DD413" i="1"/>
  <c r="FC395" i="1"/>
  <c r="MG403" i="1"/>
  <c r="CD398" i="1"/>
  <c r="HX418" i="1"/>
  <c r="CV402" i="1"/>
  <c r="EY422" i="1"/>
  <c r="LH410" i="1"/>
  <c r="LX394" i="1"/>
  <c r="GC423" i="1"/>
  <c r="DG407" i="1"/>
  <c r="KC425" i="1"/>
  <c r="EH419" i="1"/>
  <c r="EQ409" i="1"/>
  <c r="EK402" i="1"/>
  <c r="KY400" i="1"/>
  <c r="CN423" i="1"/>
  <c r="JS402" i="1"/>
  <c r="EO406" i="1"/>
  <c r="IV402" i="1"/>
  <c r="HT411" i="1"/>
  <c r="CS423" i="1"/>
  <c r="LV425" i="1"/>
  <c r="GJ428" i="1"/>
  <c r="II427" i="1"/>
  <c r="EM428" i="1"/>
  <c r="KV399" i="1"/>
  <c r="EN401" i="1"/>
  <c r="DJ411" i="1"/>
  <c r="NA403" i="1"/>
  <c r="EP424" i="1"/>
  <c r="KX398" i="1"/>
  <c r="LJ413" i="1"/>
  <c r="IL409" i="1"/>
  <c r="LN407" i="1"/>
  <c r="NB408" i="1"/>
  <c r="BF425" i="1"/>
  <c r="EN412" i="1"/>
  <c r="JJ408" i="1"/>
  <c r="LO423" i="1"/>
  <c r="MI397" i="1"/>
  <c r="HW416" i="1"/>
  <c r="LY397" i="1"/>
  <c r="LX414" i="1"/>
  <c r="FW427" i="1"/>
  <c r="EQ408" i="1"/>
  <c r="KY423" i="1"/>
  <c r="FA419" i="1"/>
  <c r="DR407" i="1"/>
  <c r="KV425" i="1"/>
  <c r="EL418" i="1"/>
  <c r="GU404" i="1"/>
  <c r="EO397" i="1"/>
  <c r="KE421" i="1"/>
  <c r="MZ413" i="1"/>
  <c r="HV399" i="1"/>
  <c r="DK414" i="1"/>
  <c r="CY418" i="1"/>
  <c r="BM407" i="1"/>
  <c r="KF418" i="1"/>
  <c r="FZ412" i="1"/>
  <c r="FB415" i="1"/>
  <c r="CW417" i="1"/>
  <c r="FN420" i="1"/>
  <c r="LI403" i="1"/>
  <c r="LQ412" i="1"/>
  <c r="CH408" i="1"/>
  <c r="MA422" i="1"/>
  <c r="LR426" i="1"/>
  <c r="CE411" i="1"/>
  <c r="JV415" i="1"/>
  <c r="CE397" i="1"/>
  <c r="FL402" i="1"/>
  <c r="IA418" i="1"/>
  <c r="FR418" i="1"/>
  <c r="KC424" i="1"/>
  <c r="HF410" i="1"/>
  <c r="HW426" i="1"/>
  <c r="BH403" i="1"/>
  <c r="LH403" i="1"/>
  <c r="KM421" i="1"/>
  <c r="MW408" i="1"/>
  <c r="ML400" i="1"/>
  <c r="FF396" i="1"/>
  <c r="IZ407" i="1"/>
  <c r="FW403" i="1"/>
  <c r="JD417" i="1"/>
  <c r="DG425" i="1"/>
  <c r="IN426" i="1"/>
  <c r="FM401" i="1"/>
  <c r="HZ425" i="1"/>
  <c r="FS412" i="1"/>
  <c r="FY422" i="1"/>
  <c r="CL424" i="1"/>
  <c r="FP399" i="1"/>
  <c r="DJ399" i="1"/>
  <c r="CS396" i="1"/>
  <c r="JX423" i="1"/>
  <c r="KT407" i="1"/>
  <c r="FZ417" i="1"/>
  <c r="KV412" i="1"/>
  <c r="BY404" i="1"/>
  <c r="CB418" i="1"/>
  <c r="DG396" i="1"/>
  <c r="GC408" i="1"/>
  <c r="CQ419" i="1"/>
  <c r="LK409" i="1"/>
  <c r="JZ399" i="1"/>
  <c r="DS428" i="1"/>
  <c r="LE421" i="1"/>
  <c r="MP410" i="1"/>
  <c r="IH396" i="1"/>
  <c r="FK417" i="1"/>
  <c r="FL417" i="1"/>
  <c r="LV422" i="1"/>
  <c r="MD421" i="1"/>
  <c r="LE395" i="1"/>
  <c r="GF398" i="1"/>
  <c r="GG401" i="1"/>
  <c r="BM428" i="1"/>
  <c r="DG394" i="1"/>
  <c r="KX428" i="1"/>
  <c r="JJ409" i="1"/>
  <c r="BK423" i="1"/>
  <c r="BO413" i="1"/>
  <c r="LL409" i="1"/>
  <c r="GO410" i="1"/>
  <c r="KC419" i="1"/>
  <c r="IH420" i="1"/>
  <c r="CW419" i="1"/>
  <c r="GM420" i="1"/>
  <c r="EQ414" i="1"/>
  <c r="AS422" i="1"/>
  <c r="MY428" i="1"/>
  <c r="HY423" i="1"/>
  <c r="EV400" i="1"/>
  <c r="NE425" i="1"/>
  <c r="DE404" i="1"/>
  <c r="EI408" i="1"/>
  <c r="IH415" i="1"/>
  <c r="JZ404" i="1"/>
  <c r="JY426" i="1"/>
  <c r="EA408" i="1"/>
  <c r="JB420" i="1"/>
  <c r="EC427" i="1"/>
  <c r="MA401" i="1"/>
  <c r="GL408" i="1"/>
  <c r="CM417" i="1"/>
  <c r="KS411" i="1"/>
  <c r="FQ398" i="1"/>
  <c r="DH415" i="1"/>
  <c r="DJ419" i="1"/>
  <c r="FP403" i="1"/>
  <c r="CR421" i="1"/>
  <c r="IV413" i="1"/>
  <c r="DK395" i="1"/>
  <c r="CS404" i="1"/>
  <c r="MU407" i="1"/>
  <c r="KX407" i="1"/>
  <c r="IN406" i="1"/>
  <c r="MN398" i="1"/>
  <c r="EY416" i="1"/>
  <c r="BG426" i="1"/>
  <c r="MW397" i="1"/>
  <c r="CD412" i="1"/>
  <c r="MK410" i="1"/>
  <c r="FW416" i="1"/>
  <c r="MG415" i="1"/>
  <c r="KN403" i="1"/>
  <c r="IZ415" i="1"/>
  <c r="EA426" i="1"/>
  <c r="JJ424" i="1"/>
  <c r="CJ402" i="1"/>
  <c r="MA427" i="1"/>
  <c r="EN413" i="1"/>
  <c r="IO425" i="1"/>
  <c r="LJ407" i="1"/>
  <c r="GS404" i="1"/>
  <c r="DS413" i="1"/>
  <c r="GK402" i="1"/>
  <c r="FX414" i="1"/>
  <c r="HG411" i="1"/>
  <c r="LD396" i="1"/>
  <c r="CB422" i="1"/>
  <c r="LJ396" i="1"/>
  <c r="EB407" i="1"/>
  <c r="HE423" i="1"/>
  <c r="DU414" i="1"/>
  <c r="IP400" i="1"/>
  <c r="CX403" i="1"/>
  <c r="BO399" i="1"/>
  <c r="CN404" i="1"/>
  <c r="DE403" i="1"/>
  <c r="JN404" i="1"/>
  <c r="KT409" i="1"/>
  <c r="LJ421" i="1"/>
  <c r="IY426" i="1"/>
  <c r="FS399" i="1"/>
  <c r="MN403" i="1"/>
  <c r="MW412" i="1"/>
  <c r="MB412" i="1"/>
  <c r="II412" i="1"/>
  <c r="IQ397" i="1"/>
  <c r="IM426" i="1"/>
  <c r="GB424" i="1"/>
  <c r="DH401" i="1"/>
  <c r="GB409" i="1"/>
  <c r="LZ395" i="1"/>
  <c r="DF409" i="1"/>
  <c r="DY404" i="1"/>
  <c r="FB427" i="1"/>
  <c r="GM414" i="1"/>
  <c r="DP402" i="1"/>
  <c r="FE422" i="1"/>
  <c r="ES410" i="1"/>
  <c r="HX414" i="1"/>
  <c r="DD414" i="1"/>
  <c r="JM422" i="1"/>
  <c r="BY416" i="1"/>
  <c r="LA404" i="1"/>
  <c r="DG408" i="1"/>
  <c r="HX407" i="1"/>
  <c r="NE427" i="1"/>
  <c r="MV394" i="1"/>
  <c r="DI409" i="1"/>
  <c r="MN407" i="1"/>
  <c r="MN422" i="1"/>
  <c r="BJ427" i="1"/>
  <c r="EL415" i="1"/>
  <c r="HE396" i="1"/>
  <c r="DT400" i="1"/>
  <c r="LY419" i="1"/>
  <c r="DV402" i="1"/>
  <c r="DT394" i="1"/>
  <c r="BH397" i="1"/>
  <c r="MZ421" i="1"/>
  <c r="CO394" i="1"/>
  <c r="HX402" i="1"/>
  <c r="LF409" i="1"/>
  <c r="GT403" i="1"/>
  <c r="KC399" i="1"/>
  <c r="KU395" i="1"/>
  <c r="IA415" i="1"/>
  <c r="FV400" i="1"/>
  <c r="DK423" i="1"/>
  <c r="HW412" i="1"/>
  <c r="KG395" i="1"/>
  <c r="IL401" i="1"/>
  <c r="FG398" i="1"/>
  <c r="LC404" i="1"/>
  <c r="ML397" i="1"/>
  <c r="IG410" i="1"/>
  <c r="MK409" i="1"/>
  <c r="MQ413" i="1"/>
  <c r="JK411" i="1"/>
  <c r="MU404" i="1"/>
  <c r="EV416" i="1"/>
  <c r="KI426" i="1"/>
  <c r="CA410" i="1"/>
  <c r="MC412" i="1"/>
  <c r="JY415" i="1"/>
  <c r="FJ404" i="1"/>
  <c r="CN420" i="1"/>
  <c r="LC406" i="1"/>
  <c r="NB395" i="1"/>
  <c r="BZ416" i="1"/>
  <c r="AW428" i="1"/>
  <c r="ES398" i="1"/>
  <c r="KN409" i="1"/>
  <c r="LE411" i="1"/>
  <c r="MX399" i="1"/>
  <c r="KE397" i="1"/>
  <c r="MH396" i="1"/>
  <c r="DF417" i="1"/>
  <c r="IZ420" i="1"/>
  <c r="GO394" i="1"/>
  <c r="IO424" i="1"/>
  <c r="FT427" i="1"/>
  <c r="KP415" i="1"/>
  <c r="CR402" i="1"/>
  <c r="LQ401" i="1"/>
  <c r="BV421" i="1"/>
  <c r="LC401" i="1"/>
  <c r="JE421" i="1"/>
  <c r="CK417" i="1"/>
  <c r="FQ416" i="1"/>
  <c r="BZ401" i="1"/>
  <c r="JG398" i="1"/>
  <c r="EG422" i="1"/>
  <c r="MJ414" i="1"/>
  <c r="KJ402" i="1"/>
  <c r="GR399" i="1"/>
  <c r="DQ424" i="1"/>
  <c r="DI424" i="1"/>
  <c r="KK416" i="1"/>
  <c r="MZ396" i="1"/>
  <c r="FB403" i="1"/>
  <c r="DW394" i="1"/>
  <c r="KU424" i="1"/>
  <c r="GM417" i="1"/>
  <c r="KJ396" i="1"/>
  <c r="IM399" i="1"/>
  <c r="LL411" i="1"/>
  <c r="CP412" i="1"/>
  <c r="DU412" i="1"/>
  <c r="HT424" i="1"/>
  <c r="GB413" i="1"/>
  <c r="BI398" i="1"/>
  <c r="GQ419" i="1"/>
  <c r="CU419" i="1"/>
  <c r="EV404" i="1"/>
  <c r="LI415" i="1"/>
  <c r="CT415" i="1"/>
  <c r="KY394" i="1"/>
  <c r="LS423" i="1"/>
  <c r="LF401" i="1"/>
  <c r="ER410" i="1"/>
  <c r="GQ395" i="1"/>
  <c r="JL394" i="1"/>
  <c r="JS412" i="1"/>
  <c r="DT417" i="1"/>
  <c r="IP426" i="1"/>
  <c r="EH422" i="1"/>
  <c r="GI402" i="1"/>
  <c r="JX409" i="1"/>
  <c r="MN402" i="1"/>
  <c r="IV422" i="1"/>
  <c r="DF421" i="1"/>
  <c r="DO423" i="1"/>
  <c r="JR412" i="1"/>
  <c r="CY403" i="1"/>
  <c r="NC428" i="1"/>
  <c r="CT404" i="1"/>
  <c r="MO402" i="1"/>
  <c r="BM426" i="1"/>
  <c r="GQ418" i="1"/>
  <c r="KV408" i="1"/>
  <c r="ET402" i="1"/>
  <c r="KF423" i="1"/>
  <c r="ER398" i="1"/>
  <c r="ET427" i="1"/>
  <c r="KV414" i="1"/>
  <c r="JQ422" i="1"/>
  <c r="LK418" i="1"/>
  <c r="CX398" i="1"/>
  <c r="EO416" i="1"/>
  <c r="FH396" i="1"/>
  <c r="CS397" i="1"/>
  <c r="CS399" i="1"/>
  <c r="BH425" i="1"/>
  <c r="JU416" i="1"/>
  <c r="GL413" i="1"/>
  <c r="FX400" i="1"/>
  <c r="NC410" i="1"/>
  <c r="CP403" i="1"/>
  <c r="KR417" i="1"/>
  <c r="GT394" i="1"/>
  <c r="LO419" i="1"/>
  <c r="FZ398" i="1"/>
  <c r="KU403" i="1"/>
  <c r="LT425" i="1"/>
  <c r="KE404" i="1"/>
  <c r="FF413" i="1"/>
  <c r="HU428" i="1"/>
  <c r="GJ418" i="1"/>
  <c r="MC421" i="1"/>
  <c r="LP410" i="1"/>
  <c r="HI420" i="1"/>
  <c r="HX428" i="1"/>
  <c r="KF424" i="1"/>
  <c r="LF419" i="1"/>
  <c r="GB402" i="1"/>
  <c r="KQ410" i="1"/>
  <c r="KN420" i="1"/>
  <c r="JG427" i="1"/>
  <c r="JS398" i="1"/>
  <c r="FB394" i="1"/>
  <c r="NB414" i="1"/>
  <c r="EF404" i="1"/>
  <c r="FV395" i="1"/>
  <c r="IK421" i="1"/>
  <c r="FQ397" i="1"/>
  <c r="LQ427" i="1"/>
  <c r="CN397" i="1"/>
  <c r="FI419" i="1"/>
  <c r="LG409" i="1"/>
  <c r="KX418" i="1"/>
  <c r="DS394" i="1"/>
  <c r="BX422" i="1"/>
  <c r="DJ422" i="1"/>
  <c r="DV399" i="1"/>
  <c r="KH417" i="1"/>
  <c r="KX427" i="1"/>
  <c r="MQ421" i="1"/>
  <c r="JF415" i="1"/>
  <c r="DG421" i="1"/>
  <c r="IH410" i="1"/>
  <c r="AT426" i="1"/>
  <c r="FS401" i="1"/>
  <c r="HD397" i="1"/>
  <c r="HY411" i="1"/>
  <c r="CW407" i="1"/>
  <c r="GR404" i="1"/>
  <c r="CB420" i="1"/>
  <c r="BZ413" i="1"/>
  <c r="MZ404" i="1"/>
  <c r="EE409" i="1"/>
  <c r="FZ402" i="1"/>
  <c r="MJ395" i="1"/>
  <c r="FV396" i="1"/>
  <c r="KM408" i="1"/>
  <c r="HY414" i="1"/>
  <c r="EN424" i="1"/>
  <c r="KZ402" i="1"/>
  <c r="IZ419" i="1"/>
  <c r="GB403" i="1"/>
  <c r="IV425" i="1"/>
  <c r="JS408" i="1"/>
  <c r="CR407" i="1"/>
  <c r="LS400" i="1"/>
  <c r="CO410" i="1"/>
  <c r="FN421" i="1"/>
  <c r="BO426" i="1"/>
  <c r="MZ426" i="1"/>
  <c r="DY409" i="1"/>
  <c r="LU397" i="1"/>
  <c r="LF404" i="1"/>
  <c r="KT396" i="1"/>
  <c r="MF408" i="1"/>
  <c r="IM412" i="1"/>
  <c r="LN399" i="1"/>
  <c r="FH413" i="1"/>
  <c r="DB418" i="1"/>
  <c r="CT409" i="1"/>
  <c r="EW423" i="1"/>
  <c r="FW400" i="1"/>
  <c r="KA419" i="1"/>
  <c r="LG411" i="1"/>
  <c r="FF425" i="1"/>
  <c r="GR424" i="1"/>
  <c r="LH399" i="1"/>
  <c r="DV409" i="1"/>
  <c r="KX403" i="1"/>
  <c r="IJ427" i="1"/>
  <c r="EK425" i="1"/>
  <c r="MT401" i="1"/>
  <c r="KX400" i="1"/>
  <c r="DS408" i="1"/>
  <c r="MG428" i="1"/>
  <c r="DC404" i="1"/>
  <c r="GS427" i="1"/>
  <c r="EA422" i="1"/>
  <c r="LD411" i="1"/>
  <c r="DT397" i="1"/>
  <c r="EP407" i="1"/>
  <c r="FG421" i="1"/>
  <c r="JP408" i="1"/>
  <c r="EH425" i="1"/>
  <c r="KQ414" i="1"/>
  <c r="DD424" i="1"/>
  <c r="DQ422" i="1"/>
  <c r="FT416" i="1"/>
  <c r="FO420" i="1"/>
  <c r="EX404" i="1"/>
  <c r="KV415" i="1"/>
  <c r="GP419" i="1"/>
  <c r="KB417" i="1"/>
  <c r="JR424" i="1"/>
  <c r="KY398" i="1"/>
  <c r="GO408" i="1"/>
  <c r="LJ420" i="1"/>
  <c r="MH421" i="1"/>
  <c r="MN412" i="1"/>
  <c r="GE395" i="1"/>
  <c r="LL417" i="1"/>
  <c r="JS427" i="1"/>
  <c r="EH402" i="1"/>
  <c r="MV404" i="1"/>
  <c r="DX410" i="1"/>
  <c r="GJ421" i="1"/>
  <c r="MF410" i="1"/>
  <c r="IM406" i="1"/>
  <c r="LL423" i="1"/>
  <c r="MC404" i="1"/>
  <c r="EK420" i="1"/>
  <c r="ER403" i="1"/>
  <c r="LI399" i="1"/>
  <c r="GJ413" i="1"/>
  <c r="HT407" i="1"/>
  <c r="ES427" i="1"/>
  <c r="GU428" i="1"/>
  <c r="ET406" i="1"/>
  <c r="KD419" i="1"/>
  <c r="LV396" i="1"/>
  <c r="JQ418" i="1"/>
  <c r="LP401" i="1"/>
  <c r="LZ415" i="1"/>
  <c r="FX394" i="1"/>
  <c r="KG423" i="1"/>
  <c r="JX400" i="1"/>
  <c r="HG412" i="1"/>
  <c r="CQ413" i="1"/>
  <c r="BL408" i="1"/>
  <c r="IG419" i="1"/>
  <c r="GQ396" i="1"/>
  <c r="GQ412" i="1"/>
  <c r="MM419" i="1"/>
  <c r="DU427" i="1"/>
  <c r="IJ397" i="1"/>
  <c r="FS404" i="1"/>
  <c r="MG401" i="1"/>
  <c r="HS395" i="1"/>
  <c r="CP399" i="1"/>
  <c r="BL406" i="1"/>
  <c r="ED414" i="1"/>
  <c r="DT411" i="1"/>
  <c r="LG399" i="1"/>
  <c r="LR395" i="1"/>
  <c r="JO395" i="1"/>
  <c r="EH428" i="1"/>
  <c r="AS399" i="1"/>
  <c r="IP407" i="1"/>
  <c r="KA418" i="1"/>
  <c r="LF403" i="1"/>
  <c r="KI420" i="1"/>
  <c r="EA416" i="1"/>
  <c r="DC425" i="1"/>
  <c r="BX410" i="1"/>
  <c r="LI409" i="1"/>
  <c r="GP423" i="1"/>
  <c r="EH400" i="1"/>
  <c r="GC426" i="1"/>
  <c r="LZ396" i="1"/>
  <c r="HG397" i="1"/>
  <c r="JB397" i="1"/>
  <c r="JU394" i="1"/>
  <c r="ET395" i="1"/>
  <c r="JD409" i="1"/>
  <c r="CA402" i="1"/>
  <c r="DB399" i="1"/>
  <c r="EP421" i="1"/>
  <c r="FB410" i="1"/>
  <c r="MJ418" i="1"/>
  <c r="IN394" i="1"/>
  <c r="EY413" i="1"/>
  <c r="ES402" i="1"/>
  <c r="IX418" i="1"/>
  <c r="MP409" i="1"/>
  <c r="DH394" i="1"/>
  <c r="GM394" i="1"/>
  <c r="FF406" i="1"/>
  <c r="LP412" i="1"/>
  <c r="MX408" i="1"/>
  <c r="EI417" i="1"/>
  <c r="FX396" i="1"/>
  <c r="DQ395" i="1"/>
  <c r="EM399" i="1"/>
  <c r="EP404" i="1"/>
  <c r="MU412" i="1"/>
  <c r="KD421" i="1"/>
  <c r="LZ425" i="1"/>
  <c r="LJ409" i="1"/>
  <c r="GF403" i="1"/>
  <c r="IA396" i="1"/>
  <c r="KW415" i="1"/>
  <c r="KX394" i="1"/>
  <c r="EZ422" i="1"/>
  <c r="AV418" i="1"/>
  <c r="KQ413" i="1"/>
  <c r="CC406" i="1"/>
  <c r="CA425" i="1"/>
  <c r="MW415" i="1"/>
  <c r="HW408" i="1"/>
  <c r="DL428" i="1"/>
  <c r="LM426" i="1"/>
  <c r="BV426" i="1"/>
  <c r="DP428" i="1"/>
  <c r="LY407" i="1"/>
  <c r="BT421" i="1"/>
  <c r="MV402" i="1"/>
  <c r="FZ403" i="1"/>
  <c r="LT427" i="1"/>
  <c r="FK402" i="1"/>
  <c r="LV411" i="1"/>
  <c r="EC424" i="1"/>
  <c r="CE398" i="1"/>
  <c r="MO412" i="1"/>
  <c r="LX406" i="1"/>
  <c r="HU407" i="1"/>
  <c r="JP418" i="1"/>
  <c r="IL403" i="1"/>
  <c r="MV396" i="1"/>
  <c r="DT395" i="1"/>
  <c r="EU423" i="1"/>
  <c r="JM397" i="1"/>
  <c r="GT410" i="1"/>
  <c r="JC422" i="1"/>
  <c r="KL427" i="1"/>
  <c r="BK413" i="1"/>
  <c r="EE406" i="1"/>
  <c r="CZ404" i="1"/>
  <c r="HX401" i="1"/>
  <c r="GN424" i="1"/>
  <c r="KF401" i="1"/>
  <c r="DK397" i="1"/>
  <c r="IP409" i="1"/>
  <c r="CJ420" i="1"/>
  <c r="DY406" i="1"/>
  <c r="GH424" i="1"/>
  <c r="EK428" i="1"/>
  <c r="DT416" i="1"/>
  <c r="FX424" i="1"/>
  <c r="DZ406" i="1"/>
  <c r="BL417" i="1"/>
  <c r="FE395" i="1"/>
  <c r="DH404" i="1"/>
  <c r="DL402" i="1"/>
  <c r="JI407" i="1"/>
  <c r="IJ420" i="1"/>
  <c r="MY413" i="1"/>
  <c r="IY395" i="1"/>
  <c r="JQ411" i="1"/>
  <c r="LV395" i="1"/>
  <c r="KB399" i="1"/>
  <c r="BZ397" i="1"/>
  <c r="DT414" i="1"/>
  <c r="KE428" i="1"/>
  <c r="DN424" i="1"/>
  <c r="JN423" i="1"/>
  <c r="LF398" i="1"/>
  <c r="CQ406" i="1"/>
  <c r="CR420" i="1"/>
  <c r="JM411" i="1"/>
  <c r="KE399" i="1"/>
  <c r="GC399" i="1"/>
  <c r="MI401" i="1"/>
  <c r="JI428" i="1"/>
  <c r="FH415" i="1"/>
  <c r="NC416" i="1"/>
  <c r="JO425" i="1"/>
  <c r="FT418" i="1"/>
  <c r="CY427" i="1"/>
  <c r="FW421" i="1"/>
  <c r="DS418" i="1"/>
  <c r="FE409" i="1"/>
  <c r="BY401" i="1"/>
  <c r="CC397" i="1"/>
  <c r="HY400" i="1"/>
  <c r="HZ428" i="1"/>
  <c r="EQ401" i="1"/>
  <c r="KW416" i="1"/>
  <c r="JW413" i="1"/>
  <c r="NC400" i="1"/>
  <c r="II396" i="1"/>
  <c r="LO394" i="1"/>
  <c r="DJ409" i="1"/>
  <c r="CR411" i="1"/>
  <c r="IJ424" i="1"/>
  <c r="FC408" i="1"/>
  <c r="HX421" i="1"/>
  <c r="IX410" i="1"/>
  <c r="DJ398" i="1"/>
  <c r="DE417" i="1"/>
  <c r="MZ400" i="1"/>
  <c r="IN422" i="1"/>
  <c r="LY420" i="1"/>
  <c r="BI397" i="1"/>
  <c r="DT422" i="1"/>
  <c r="KV417" i="1"/>
  <c r="ME398" i="1"/>
  <c r="KB418" i="1"/>
  <c r="EJ406" i="1"/>
  <c r="DK398" i="1"/>
  <c r="HX410" i="1"/>
  <c r="DR416" i="1"/>
  <c r="HT426" i="1"/>
  <c r="KN397" i="1"/>
  <c r="MC403" i="1"/>
  <c r="CX402" i="1"/>
  <c r="BI394" i="1"/>
  <c r="MJ423" i="1"/>
  <c r="ED417" i="1"/>
  <c r="GF408" i="1"/>
  <c r="LW407" i="1"/>
  <c r="KB395" i="1"/>
  <c r="CD406" i="1"/>
  <c r="IN418" i="1"/>
  <c r="MO426" i="1"/>
  <c r="FV426" i="1"/>
  <c r="FE403" i="1"/>
  <c r="MG395" i="1"/>
  <c r="JG419" i="1"/>
  <c r="EW403" i="1"/>
  <c r="IL412" i="1"/>
  <c r="KC407" i="1"/>
  <c r="BJ413" i="1"/>
  <c r="KG421" i="1"/>
  <c r="HG422" i="1"/>
  <c r="BM409" i="1"/>
  <c r="CC428" i="1"/>
  <c r="IG407" i="1"/>
  <c r="JU426" i="1"/>
  <c r="IN396" i="1"/>
  <c r="DT402" i="1"/>
  <c r="MZ411" i="1"/>
  <c r="KB419" i="1"/>
  <c r="EJ426" i="1"/>
  <c r="CU411" i="1"/>
  <c r="ML408" i="1"/>
  <c r="EF427" i="1"/>
  <c r="MO424" i="1"/>
  <c r="JX404" i="1"/>
  <c r="MF394" i="1"/>
  <c r="BO404" i="1"/>
  <c r="CJ416" i="1"/>
  <c r="GS401" i="1"/>
  <c r="HH398" i="1"/>
  <c r="KS408" i="1"/>
  <c r="FS426" i="1"/>
  <c r="DV422" i="1"/>
  <c r="EN410" i="1"/>
  <c r="AV421" i="1"/>
  <c r="KF403" i="1"/>
  <c r="IX414" i="1"/>
  <c r="JN422" i="1"/>
  <c r="GD396" i="1"/>
  <c r="MO414" i="1"/>
  <c r="JL428" i="1"/>
  <c r="FF426" i="1"/>
  <c r="CC398" i="1"/>
  <c r="CP427" i="1"/>
  <c r="CR417" i="1"/>
  <c r="FB399" i="1"/>
  <c r="ND413" i="1"/>
  <c r="EV408" i="1"/>
  <c r="EB398" i="1"/>
  <c r="LW418" i="1"/>
  <c r="GA398" i="1"/>
  <c r="DX425" i="1"/>
  <c r="EY399" i="1"/>
  <c r="IV407" i="1"/>
  <c r="CC414" i="1"/>
  <c r="CN426" i="1"/>
  <c r="CR419" i="1"/>
  <c r="MA408" i="1"/>
  <c r="CB398" i="1"/>
  <c r="FN412" i="1"/>
  <c r="MJ424" i="1"/>
  <c r="LL412" i="1"/>
  <c r="HE426" i="1"/>
  <c r="LK417" i="1"/>
  <c r="FW422" i="1"/>
  <c r="NC407" i="1"/>
  <c r="GM422" i="1"/>
  <c r="FW402" i="1"/>
  <c r="IN425" i="1"/>
  <c r="DP404" i="1"/>
  <c r="KU402" i="1"/>
  <c r="FU401" i="1"/>
  <c r="CI426" i="1"/>
  <c r="DG420" i="1"/>
  <c r="FU423" i="1"/>
  <c r="KI419" i="1"/>
  <c r="IY425" i="1"/>
  <c r="FO411" i="1"/>
  <c r="KV416" i="1"/>
  <c r="FX398" i="1"/>
  <c r="HI397" i="1"/>
  <c r="LV401" i="1"/>
  <c r="MX417" i="1"/>
  <c r="FA396" i="1"/>
  <c r="GS400" i="1"/>
  <c r="FQ401" i="1"/>
  <c r="HT397" i="1"/>
  <c r="FW396" i="1"/>
  <c r="HH407" i="1"/>
  <c r="FY404" i="1"/>
  <c r="FO424" i="1"/>
  <c r="LM418" i="1"/>
  <c r="LD428" i="1"/>
  <c r="MW416" i="1"/>
  <c r="EK413" i="1"/>
  <c r="CD427" i="1"/>
  <c r="EB404" i="1"/>
  <c r="CK409" i="1"/>
  <c r="JS415" i="1"/>
  <c r="DG410" i="1"/>
  <c r="JN427" i="1"/>
  <c r="GR428" i="1"/>
  <c r="KO408" i="1"/>
  <c r="GB404" i="1"/>
  <c r="MG412" i="1"/>
  <c r="KW397" i="1"/>
  <c r="DH421" i="1"/>
  <c r="IG427" i="1"/>
  <c r="LL410" i="1"/>
  <c r="JQ421" i="1"/>
  <c r="LG394" i="1"/>
  <c r="MK417" i="1"/>
  <c r="GI415" i="1"/>
  <c r="CY415" i="1"/>
  <c r="MG398" i="1"/>
  <c r="MY419" i="1"/>
  <c r="CY416" i="1"/>
  <c r="KI410" i="1"/>
  <c r="HW411" i="1"/>
  <c r="FC398" i="1"/>
  <c r="IP419" i="1"/>
  <c r="KB407" i="1"/>
  <c r="CL417" i="1"/>
  <c r="KV404" i="1"/>
  <c r="CO425" i="1"/>
  <c r="CO417" i="1"/>
  <c r="II413" i="1"/>
  <c r="ED396" i="1"/>
  <c r="CO415" i="1"/>
  <c r="EL394" i="1"/>
  <c r="KO403" i="1"/>
  <c r="IQ426" i="1"/>
  <c r="FH424" i="1"/>
  <c r="LI424" i="1"/>
  <c r="IY401" i="1"/>
  <c r="JQ414" i="1"/>
  <c r="HF406" i="1"/>
  <c r="LR399" i="1"/>
  <c r="LE400" i="1"/>
  <c r="DI397" i="1"/>
  <c r="CW400" i="1"/>
  <c r="EF415" i="1"/>
  <c r="FG396" i="1"/>
  <c r="ML421" i="1"/>
  <c r="KP424" i="1"/>
  <c r="DQ420" i="1"/>
  <c r="FM403" i="1"/>
  <c r="MB423" i="1"/>
  <c r="LH416" i="1"/>
  <c r="DG427" i="1"/>
  <c r="BF428" i="1"/>
  <c r="HV418" i="1"/>
  <c r="EN404" i="1"/>
  <c r="GI424" i="1"/>
  <c r="JK410" i="1"/>
  <c r="JO396" i="1"/>
  <c r="FX399" i="1"/>
  <c r="DI422" i="1"/>
  <c r="EL397" i="1"/>
  <c r="GC419" i="1"/>
  <c r="MH414" i="1"/>
  <c r="EJ424" i="1"/>
  <c r="CK404" i="1"/>
  <c r="LN400" i="1"/>
  <c r="GP394" i="1"/>
  <c r="HF403" i="1"/>
  <c r="JJ428" i="1"/>
  <c r="GB408" i="1"/>
  <c r="LF400" i="1"/>
  <c r="MB418" i="1"/>
  <c r="BJ396" i="1"/>
  <c r="DD415" i="1"/>
  <c r="LE414" i="1"/>
  <c r="JU422" i="1"/>
  <c r="ED415" i="1"/>
  <c r="LS416" i="1"/>
  <c r="KG409" i="1"/>
  <c r="KH416" i="1"/>
  <c r="IA417" i="1"/>
  <c r="HH401" i="1"/>
  <c r="GB418" i="1"/>
  <c r="CA419" i="1"/>
  <c r="FH407" i="1"/>
  <c r="MU427" i="1"/>
  <c r="JQ399" i="1"/>
  <c r="GA425" i="1"/>
  <c r="HT420" i="1"/>
  <c r="DV425" i="1"/>
  <c r="LX404" i="1"/>
  <c r="CY395" i="1"/>
  <c r="HH427" i="1"/>
  <c r="ND404" i="1"/>
  <c r="EW421" i="1"/>
  <c r="KZ413" i="1"/>
  <c r="DR413" i="1"/>
  <c r="KY403" i="1"/>
  <c r="HS404" i="1"/>
  <c r="MP395" i="1"/>
  <c r="FA423" i="1"/>
  <c r="CQ427" i="1"/>
  <c r="CJ415" i="1"/>
  <c r="IL399" i="1"/>
  <c r="FU406" i="1"/>
  <c r="NE408" i="1"/>
  <c r="IO394" i="1"/>
  <c r="BL401" i="1"/>
  <c r="MB425" i="1"/>
  <c r="LS415" i="1"/>
  <c r="CX412" i="1"/>
  <c r="Y426" i="1" l="1"/>
  <c r="X399" i="1"/>
  <c r="Y397" i="1"/>
  <c r="Y396" i="1"/>
  <c r="Y423" i="1"/>
  <c r="X422" i="1"/>
  <c r="Z422" i="1" s="1"/>
  <c r="X402" i="1"/>
  <c r="Y404" i="1"/>
  <c r="X423" i="1"/>
  <c r="Z423" i="1" s="1"/>
  <c r="Y402" i="1"/>
  <c r="Y414" i="1"/>
  <c r="Y395" i="1"/>
  <c r="Y421" i="1"/>
  <c r="Y420" i="1"/>
  <c r="X398" i="1"/>
  <c r="Y427" i="1"/>
  <c r="X416" i="1"/>
  <c r="Z416" i="1" s="1"/>
  <c r="X425" i="1"/>
  <c r="Z425" i="1" s="1"/>
  <c r="Y399" i="1"/>
  <c r="Y422" i="1"/>
  <c r="Y412" i="1"/>
  <c r="X412" i="1"/>
  <c r="X421" i="1"/>
  <c r="Z421" i="1" s="1"/>
  <c r="Y419" i="1"/>
  <c r="X413" i="1"/>
  <c r="X426" i="1"/>
  <c r="Z426" i="1" s="1"/>
  <c r="Y416" i="1"/>
  <c r="X417" i="1"/>
  <c r="Y424" i="1"/>
  <c r="Y415" i="1"/>
  <c r="X395" i="1"/>
  <c r="Z395" i="1" s="1"/>
  <c r="X424" i="1"/>
  <c r="Z424" i="1" s="1"/>
  <c r="X428" i="1"/>
  <c r="Z428" i="1" s="1"/>
  <c r="Y411" i="1"/>
  <c r="X396" i="1"/>
  <c r="Z396" i="1" s="1"/>
  <c r="X397" i="1"/>
  <c r="Z397" i="1" s="1"/>
  <c r="X418" i="1"/>
  <c r="X400" i="1"/>
  <c r="X415" i="1"/>
  <c r="Z415" i="1" s="1"/>
  <c r="X427" i="1"/>
  <c r="Z427" i="1" s="1"/>
  <c r="X411" i="1"/>
  <c r="Z411" i="1" s="1"/>
  <c r="Y398" i="1"/>
  <c r="Y394" i="1"/>
  <c r="X410" i="1"/>
  <c r="Y425" i="1"/>
  <c r="X404" i="1"/>
  <c r="Z404" i="1" s="1"/>
  <c r="X414" i="1"/>
  <c r="Z414" i="1" s="1"/>
  <c r="Y400" i="1"/>
  <c r="X403" i="1"/>
  <c r="Y418" i="1"/>
  <c r="Y401" i="1"/>
  <c r="X420" i="1"/>
  <c r="Z420" i="1" s="1"/>
  <c r="X394" i="1"/>
  <c r="Z394" i="1" s="1"/>
  <c r="Y428" i="1"/>
  <c r="Y410" i="1"/>
  <c r="X419" i="1"/>
  <c r="Z419" i="1" s="1"/>
  <c r="Y403" i="1"/>
  <c r="Y409" i="1"/>
  <c r="Z409" i="1" s="1"/>
  <c r="Y417" i="1"/>
  <c r="Y413" i="1"/>
  <c r="X401" i="1"/>
  <c r="Z401" i="1" s="1"/>
  <c r="Z398" i="1" l="1"/>
  <c r="Z410" i="1"/>
  <c r="Z400" i="1"/>
  <c r="Z399" i="1"/>
  <c r="Z403" i="1"/>
  <c r="Z418" i="1"/>
  <c r="Z417" i="1"/>
  <c r="Z413" i="1"/>
  <c r="Z412" i="1"/>
  <c r="Z40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tc={5C3BDAA3-8045-44C1-9B9C-866F4B1FF63D}</author>
    <author>tc={446F8CCA-C879-4C11-8627-DC347294E509}</author>
    <author>tc={2ADD0E82-2810-479E-B6B2-6C2C6CF9F882}</author>
    <author>tc={CD3F0581-9A3A-46BF-90A7-9C5DCB601CBD}</author>
    <author>tc={7E7A86DD-7DB0-4FC8-BA26-66729E1FAFFF}</author>
    <author>tc={EE5A62E9-AD0D-4452-91A1-961B958AA8B2}</author>
    <author>tc={D8FE0C9B-912A-4CAF-9C8E-F84B97A72FE4}</author>
    <author>tc={DC02271A-163D-4C1C-A57B-09AD0B6FA558}</author>
    <author>tc={9B5C38AC-10F2-44BD-9A53-F3F812475DB0}</author>
    <author>tc={5C9C2FE9-F5FD-49BF-B7E4-ED75C2D548F8}</author>
    <author>tc={576A4053-0EE5-4CE1-8B98-D89A178A24E6}</author>
    <author>tc={CA43887E-A5DC-4C78-94EB-C6F10AF95CA5}</author>
    <author>tc={1A5E7DA4-3E79-4DBF-B2DE-95C30C3119B5}</author>
    <author>tc={5184048E-33F7-4C9B-9189-FAE7D16FC5D4}</author>
    <author>tc={36A069D2-0ECC-4A18-8E0F-FC7D2033C8B7}</author>
    <author>tc={385EB7EB-8E7F-47C7-96D0-1B94D9BF3C3D}</author>
    <author>tc={20804CEC-7DB8-4D72-B4D0-C205682D9F7D}</author>
    <author>tc={96875354-2F99-459F-873A-5CC62E2198CE}</author>
    <author>tc={441D11B7-E483-4D0F-BA10-14565A8F2945}</author>
    <author>tc={707D5C33-7D59-402E-BB1A-E118D7E29960}</author>
    <author>tc={1DEDD5A3-D2A3-4AC5-8F01-A67979EC4135}</author>
    <author>tc={37CB55C0-D0E9-46F7-ACAF-D23E51F5C2D7}</author>
    <author>tc={AAE2330F-0E42-43D2-BF6E-7469B493705F}</author>
    <author>tc={E93852EF-D343-44C0-91EC-2C743D539070}</author>
    <author>tc={9131A6BB-765C-4FFB-B688-1C29662CF4E5}</author>
  </authors>
  <commentList>
    <comment ref="AA94" authorId="0" shapeId="0" xr:uid="{5C3BDAA3-8045-44C1-9B9C-866F4B1FF63D}">
      <text>
        <t>[Threaded comment]
Your version of Excel allows you to read this threaded comment; however, any edits to it will get removed if the file is opened in a newer version of Excel. Learn more: https://go.microsoft.com/fwlink/?linkid=870924
Comment:
    Café com NEP</t>
      </text>
    </comment>
    <comment ref="S116" authorId="1" shapeId="0" xr:uid="{446F8CCA-C879-4C11-8627-DC347294E5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Prática da brigada</t>
      </text>
    </comment>
    <comment ref="S126" authorId="2" shapeId="0" xr:uid="{2ADD0E82-2810-479E-B6B2-6C2C6CF9F882}">
      <text>
        <t>[Threaded comment]
Your version of Excel allows you to read this threaded comment; however, any edits to it will get removed if the file is opened in a newer version of Excel. Learn more: https://go.microsoft.com/fwlink/?linkid=870924
Comment:
    Setorial</t>
      </text>
    </comment>
    <comment ref="V138" authorId="3" shapeId="0" xr:uid="{CD3F0581-9A3A-46BF-90A7-9C5DCB601CBD}">
      <text>
        <t>[Threaded comment]
Your version of Excel allows you to read this threaded comment; however, any edits to it will get removed if the file is opened in a newer version of Excel. Learn more: https://go.microsoft.com/fwlink/?linkid=870924
Comment:
    SAEP Objetivo</t>
      </text>
    </comment>
    <comment ref="M158" authorId="4" shapeId="0" xr:uid="{7E7A86DD-7DB0-4FC8-BA26-66729E1FAFFF}">
      <text>
        <t>[Threaded comment]
Your version of Excel allows you to read this threaded comment; however, any edits to it will get removed if the file is opened in a newer version of Excel. Learn more: https://go.microsoft.com/fwlink/?linkid=870924
Comment:
    Café com NEP</t>
      </text>
    </comment>
    <comment ref="O212" authorId="5" shapeId="0" xr:uid="{EE5A62E9-AD0D-4452-91A1-961B958AA8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Repetição Eletrônica
</t>
      </text>
    </comment>
    <comment ref="P212" authorId="6" shapeId="0" xr:uid="{D8FE0C9B-912A-4CAF-9C8E-F84B97A72FE4}">
      <text>
        <t>[Threaded comment]
Your version of Excel allows you to read this threaded comment; however, any edits to it will get removed if the file is opened in a newer version of Excel. Learn more: https://go.microsoft.com/fwlink/?linkid=870924
Comment:
    SENAI NA PRAÇA</t>
      </text>
    </comment>
    <comment ref="Q212" authorId="7" shapeId="0" xr:uid="{DC02271A-163D-4C1C-A57B-09AD0B6FA558}">
      <text>
        <t>[Threaded comment]
Your version of Excel allows you to read this threaded comment; however, any edits to it will get removed if the file is opened in a newer version of Excel. Learn more: https://go.microsoft.com/fwlink/?linkid=870924
Comment:
    REUNIÃO</t>
      </text>
    </comment>
    <comment ref="R212" authorId="8" shapeId="0" xr:uid="{9B5C38AC-10F2-44BD-9A53-F3F812475D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Repetição Eletrônica
</t>
      </text>
    </comment>
    <comment ref="S212" authorId="9" shapeId="0" xr:uid="{5C9C2FE9-F5FD-49BF-B7E4-ED75C2D548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Repetição Eletrônica
</t>
      </text>
    </comment>
    <comment ref="V212" authorId="10" shapeId="0" xr:uid="{576A4053-0EE5-4CE1-8B98-D89A178A24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Repetição Eletrônica
</t>
      </text>
    </comment>
    <comment ref="W212" authorId="11" shapeId="0" xr:uid="{CA43887E-A5DC-4C78-94EB-C6F10AF95CA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Repetição Eletrônica
</t>
      </text>
    </comment>
    <comment ref="X212" authorId="12" shapeId="0" xr:uid="{1A5E7DA4-3E79-4DBF-B2DE-95C30C3119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Repetição Eletrônica
</t>
      </text>
    </comment>
    <comment ref="Y212" authorId="13" shapeId="0" xr:uid="{5184048E-33F7-4C9B-9189-FAE7D16FC5D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Repetição Eletrônica
</t>
      </text>
    </comment>
    <comment ref="Z212" authorId="14" shapeId="0" xr:uid="{36A069D2-0ECC-4A18-8E0F-FC7D2033C8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Repetição Eletrônica
</t>
      </text>
    </comment>
    <comment ref="Q222" authorId="15" shapeId="0" xr:uid="{385EB7EB-8E7F-47C7-96D0-1B94D9BF3C3D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Conselho de Classe</t>
      </text>
    </comment>
    <comment ref="V222" authorId="16" shapeId="0" xr:uid="{20804CEC-7DB8-4D72-B4D0-C205682D9F7D}">
      <text>
        <t>[Threaded comment]
Your version of Excel allows you to read this threaded comment; however, any edits to it will get removed if the file is opened in a newer version of Excel. Learn more: https://go.microsoft.com/fwlink/?linkid=870924
Comment:
    SEMANA DE PLANEJAMENTO</t>
      </text>
    </comment>
    <comment ref="X236" authorId="17" shapeId="0" xr:uid="{96875354-2F99-459F-873A-5CC62E2198CE}">
      <text>
        <t>[Threaded comment]
Your version of Excel allows you to read this threaded comment; however, any edits to it will get removed if the file is opened in a newer version of Excel. Learn more: https://go.microsoft.com/fwlink/?linkid=870924
Comment:
    4h banco de horas (A PAGAR)</t>
      </text>
    </comment>
    <comment ref="AE236" authorId="18" shapeId="0" xr:uid="{441D11B7-E483-4D0F-BA10-14565A8F2945}">
      <text>
        <t>[Threaded comment]
Your version of Excel allows you to read this threaded comment; however, any edits to it will get removed if the file is opened in a newer version of Excel. Learn more: https://go.microsoft.com/fwlink/?linkid=870924
Comment:
    4h banco de horas (A PAGAR)</t>
      </text>
    </comment>
    <comment ref="X246" authorId="19" shapeId="0" xr:uid="{707D5C33-7D59-402E-BB1A-E118D7E29960}">
      <text>
        <t>[Threaded comment]
Your version of Excel allows you to read this threaded comment; however, any edits to it will get removed if the file is opened in a newer version of Excel. Learn more: https://go.microsoft.com/fwlink/?linkid=870924
Comment:
    4h banco de horas</t>
      </text>
    </comment>
    <comment ref="U248" authorId="20" shapeId="0" xr:uid="{1DEDD5A3-D2A3-4AC5-8F01-A67979EC41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REUNIÃO DA BRIGADA</t>
      </text>
    </comment>
    <comment ref="Y266" authorId="21" shapeId="0" xr:uid="{37CB55C0-D0E9-46F7-ACAF-D23E51F5C2D7}">
      <text>
        <t>[Threaded comment]
Your version of Excel allows you to read this threaded comment; however, any edits to it will get removed if the file is opened in a newer version of Excel. Learn more: https://go.microsoft.com/fwlink/?linkid=870924
Comment:
    Atividade Remota</t>
      </text>
    </comment>
    <comment ref="X276" authorId="22" shapeId="0" xr:uid="{AAE2330F-0E42-43D2-BF6E-7469B493705F}">
      <text>
        <t>[Threaded comment]
Your version of Excel allows you to read this threaded comment; however, any edits to it will get removed if the file is opened in a newer version of Excel. Learn more: https://go.microsoft.com/fwlink/?linkid=870924
Comment:
    Atividade Remota</t>
      </text>
    </comment>
    <comment ref="Z276" authorId="23" shapeId="0" xr:uid="{E93852EF-D343-44C0-91EC-2C743D539070}">
      <text>
        <t>[Threaded comment]
Your version of Excel allows you to read this threaded comment; however, any edits to it will get removed if the file is opened in a newer version of Excel. Learn more: https://go.microsoft.com/fwlink/?linkid=870924
Comment:
    Atividade Remota</t>
      </text>
    </comment>
    <comment ref="U298" authorId="24" shapeId="0" xr:uid="{9131A6BB-765C-4FFB-B688-1C29662CF4E5}">
      <text>
        <t>[Threaded comment]
Your version of Excel allows you to read this threaded comment; however, any edits to it will get removed if the file is opened in a newer version of Excel. Learn more: https://go.microsoft.com/fwlink/?linkid=870924
Comment:
    SUBS AISLAN</t>
      </text>
    </comment>
  </commentList>
</comments>
</file>

<file path=xl/sharedStrings.xml><?xml version="1.0" encoding="utf-8"?>
<sst xmlns="http://schemas.openxmlformats.org/spreadsheetml/2006/main" count="2062" uniqueCount="114">
  <si>
    <t>DOCENTE:</t>
  </si>
  <si>
    <t>Gizelle</t>
  </si>
  <si>
    <t>Mensalista</t>
  </si>
  <si>
    <t>LEGENDA</t>
  </si>
  <si>
    <t>E-MAIL:</t>
  </si>
  <si>
    <t>gizelle.santos@fieb.org.br</t>
  </si>
  <si>
    <t>Sábado</t>
  </si>
  <si>
    <t>Feriado</t>
  </si>
  <si>
    <t>Compensação</t>
  </si>
  <si>
    <t>MEU SENAI:</t>
  </si>
  <si>
    <t>gizelle.reis@ba.docente.senai.br</t>
  </si>
  <si>
    <t>Domingo</t>
  </si>
  <si>
    <t>Indisponível</t>
  </si>
  <si>
    <t>Férias Docente</t>
  </si>
  <si>
    <t>DIAS DISPONÍVEIS:</t>
  </si>
  <si>
    <t>AULAS ALOCADAS:</t>
  </si>
  <si>
    <t>ALOCAÇÃO MÁXIMA:</t>
  </si>
  <si>
    <t>% DE OCUPAÇÃO:</t>
  </si>
  <si>
    <t>MANHÃ</t>
  </si>
  <si>
    <t>AULA 1</t>
  </si>
  <si>
    <t>AULA 2</t>
  </si>
  <si>
    <t>AULA 3</t>
  </si>
  <si>
    <t>AULA 4</t>
  </si>
  <si>
    <t>AULA 5</t>
  </si>
  <si>
    <t>TARDE</t>
  </si>
  <si>
    <t>NOITE</t>
  </si>
  <si>
    <t>PLA</t>
  </si>
  <si>
    <t>BV.M</t>
  </si>
  <si>
    <t>IHC</t>
  </si>
  <si>
    <t>BV.V</t>
  </si>
  <si>
    <t>IoT</t>
  </si>
  <si>
    <t>ELE.V</t>
  </si>
  <si>
    <t>IoT.N</t>
  </si>
  <si>
    <t>MQCT DN</t>
  </si>
  <si>
    <t>TS</t>
  </si>
  <si>
    <t>IP</t>
  </si>
  <si>
    <t>LOG</t>
  </si>
  <si>
    <t>SAEP</t>
  </si>
  <si>
    <t>CV</t>
  </si>
  <si>
    <t>Prático</t>
  </si>
  <si>
    <t>PRO</t>
  </si>
  <si>
    <t>LMW</t>
  </si>
  <si>
    <t>R.EL</t>
  </si>
  <si>
    <t>CAPACITAÇÃO GEP</t>
  </si>
  <si>
    <t>Aniversário</t>
  </si>
  <si>
    <t>AMB.P</t>
  </si>
  <si>
    <t>LOG.2</t>
  </si>
  <si>
    <t>ELE.2</t>
  </si>
  <si>
    <t>TS.1</t>
  </si>
  <si>
    <t>MS.2</t>
  </si>
  <si>
    <t>IHC.4</t>
  </si>
  <si>
    <t>IP.3</t>
  </si>
  <si>
    <t xml:space="preserve">JORNADA PEDAGÓGICA </t>
  </si>
  <si>
    <t>IHC.3</t>
  </si>
  <si>
    <t>DSIS</t>
  </si>
  <si>
    <t>VIAGEM PARA SALVADOR</t>
  </si>
  <si>
    <t>IP.4</t>
  </si>
  <si>
    <t>VIAGEM PARA RJ</t>
  </si>
  <si>
    <t>VIAGEM PARA PERNAMBUCO</t>
  </si>
  <si>
    <t>UNIDADE CURRICULAR</t>
  </si>
  <si>
    <t>SIGLA</t>
  </si>
  <si>
    <t>C.H.</t>
  </si>
  <si>
    <t>CURSO</t>
  </si>
  <si>
    <t>TURMA</t>
  </si>
  <si>
    <t>TURNO</t>
  </si>
  <si>
    <t>DATAS</t>
  </si>
  <si>
    <t>STATUS DA U.C.</t>
  </si>
  <si>
    <t>AULAS</t>
  </si>
  <si>
    <t>INICIO</t>
  </si>
  <si>
    <t>FIM</t>
  </si>
  <si>
    <t>ALOCADAS</t>
  </si>
  <si>
    <t>PENDENTES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</si>
  <si>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</si>
  <si>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</si>
  <si>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</si>
  <si>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</si>
  <si>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</si>
  <si>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</si>
  <si>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</si>
  <si>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</si>
  <si>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</si>
  <si>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</si>
  <si>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</si>
  <si>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</si>
  <si>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-</t>
  </si>
  <si>
    <t>Fundamentos da Eletroeletrônica Aplicada</t>
  </si>
  <si>
    <t>I Mód. DS</t>
  </si>
  <si>
    <t>VESPERTINO</t>
  </si>
  <si>
    <t>Ambientação Boas-vindas</t>
  </si>
  <si>
    <t>MATUTINO</t>
  </si>
  <si>
    <t>Interface Homem-Computador</t>
  </si>
  <si>
    <t>IV Mód. DS</t>
  </si>
  <si>
    <t>Implementação de Projetos</t>
  </si>
  <si>
    <t>Internet das Coisas</t>
  </si>
  <si>
    <t>III Mód. DS</t>
  </si>
  <si>
    <t>Prototipagem de Projetos</t>
  </si>
  <si>
    <t>NOTURNO</t>
  </si>
  <si>
    <t>Lógica de Programação</t>
  </si>
  <si>
    <t>Planejamento Integrado 2026.1</t>
  </si>
  <si>
    <t>2026.1</t>
  </si>
  <si>
    <t xml:space="preserve">Teste de Sistemas									</t>
  </si>
  <si>
    <t>Comunicação Visual</t>
  </si>
  <si>
    <t>CQPG</t>
  </si>
  <si>
    <t>Criação de interface web</t>
  </si>
  <si>
    <t>CIW</t>
  </si>
  <si>
    <t>Lógica de programação</t>
  </si>
  <si>
    <t>LOGP</t>
  </si>
  <si>
    <t>Linguagem de Marcação e Estilo para Web</t>
  </si>
  <si>
    <t>Teste de Sistemas</t>
  </si>
  <si>
    <t>Modelagem de Sistemas</t>
  </si>
  <si>
    <t>II Mód. DS</t>
  </si>
  <si>
    <t>Desenvolvimento de Sistemas</t>
  </si>
  <si>
    <t>III Mód. DS T5</t>
  </si>
  <si>
    <t>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</si>
</sst>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m"/>
    <numFmt numFmtId="165" formatCode="#,##0_ ;\-#,##0\ "/>
    <numFmt numFmtId="166" formatCode="0.0%"/>
    <numFmt numFmtId="167" formatCode="ddd"/>
    <numFmt numFmtId="168" formatCode="dd"/>
    <numFmt numFmtId="169" formatCode="dd/mm"/>
  </numFmts>
  <fonts count="46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b/>
      <sz val="16"/>
      <color theme="1"/>
      <name val="Arial"/>
      <family val="2"/>
    </font>
    <font>
      <b/>
      <sz val="14"/>
      <color theme="0"/>
      <name val="Arial"/>
      <family val="2"/>
    </font>
    <font>
      <b/>
      <sz val="11"/>
      <color theme="1"/>
      <name val="Arial"/>
      <family val="2"/>
    </font>
    <font>
      <sz val="14"/>
      <color theme="1"/>
      <name val="Arial"/>
      <family val="2"/>
    </font>
    <font>
      <sz val="20"/>
      <color theme="1"/>
      <name val="Arial"/>
      <family val="2"/>
    </font>
    <font>
      <sz val="16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rgb="FFFF0000"/>
      <name val="Arial"/>
      <family val="2"/>
    </font>
    <font>
      <b/>
      <sz val="16"/>
      <color rgb="FFFF0000"/>
      <name val="Arial"/>
      <family val="2"/>
    </font>
    <font>
      <b/>
      <i/>
      <sz val="18"/>
      <color theme="1"/>
      <name val="Arial"/>
      <family val="2"/>
    </font>
    <font>
      <b/>
      <i/>
      <sz val="14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b/>
      <sz val="22"/>
      <color rgb="FFFF0000"/>
      <name val="Calibri"/>
      <family val="2"/>
    </font>
    <font>
      <sz val="12"/>
      <color theme="1"/>
      <name val="Calibri"/>
      <family val="2"/>
    </font>
    <font>
      <b/>
      <sz val="10"/>
      <color theme="1"/>
      <name val="Arial"/>
      <family val="2"/>
    </font>
    <font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2"/>
      <color rgb="FFFF0000"/>
      <name val="Calibri"/>
      <family val="2"/>
    </font>
    <font>
      <sz val="12"/>
      <color rgb="FFFF0000"/>
      <name val="Arial"/>
      <family val="2"/>
    </font>
    <font>
      <sz val="8"/>
      <name val="Calibri"/>
      <family val="2"/>
      <scheme val="minor"/>
    </font>
    <font>
      <b/>
      <sz val="16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color rgb="FFFF33CC"/>
      <name val="Arial"/>
      <family val="2"/>
    </font>
    <font>
      <b/>
      <sz val="11"/>
      <color rgb="FF0070C0"/>
      <name val="Arial"/>
      <family val="2"/>
    </font>
    <font>
      <b/>
      <sz val="11"/>
      <color rgb="FFB010DC"/>
      <name val="Arial"/>
      <family val="2"/>
    </font>
    <font>
      <b/>
      <sz val="14"/>
      <color theme="1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Calibri"/>
      <family val="2"/>
    </font>
    <font>
      <b/>
      <sz val="11"/>
      <color rgb="FFFF00FF"/>
      <name val="Arial"/>
      <family val="2"/>
    </font>
    <font>
      <b/>
      <sz val="11"/>
      <color rgb="FF00B050"/>
      <name val="Arial"/>
      <family val="2"/>
    </font>
    <font>
      <b/>
      <sz val="11"/>
      <color theme="9"/>
      <name val="Arial"/>
      <family val="2"/>
    </font>
    <font>
      <b/>
      <sz val="11"/>
      <color theme="9" tint="-0.499984740745262"/>
      <name val="Arial"/>
      <family val="2"/>
    </font>
    <font>
      <sz val="11"/>
      <color theme="1"/>
      <name val="Arial"/>
    </font>
    <font>
      <sz val="11"/>
      <name val="Calibri"/>
    </font>
    <font>
      <b/>
      <sz val="11"/>
      <color theme="1"/>
      <name val="Arial"/>
    </font>
  </fonts>
  <fills count="37">
    <fill>
      <patternFill patternType="none"/>
    </fill>
    <fill>
      <patternFill patternType="gray125"/>
    </fill>
    <fill>
      <patternFill patternType="solid">
        <fgColor rgb="FFEAF1DD"/>
        <bgColor rgb="FFEAF1DD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rgb="FFBFBFBF"/>
        <bgColor rgb="FFBFBFBF"/>
      </patternFill>
    </fill>
    <fill>
      <patternFill patternType="solid">
        <fgColor rgb="FFFFC000"/>
        <bgColor rgb="FFFFC000"/>
      </patternFill>
    </fill>
    <fill>
      <patternFill patternType="solid">
        <fgColor rgb="FFFBD4B4"/>
        <bgColor rgb="FFFBD4B4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1"/>
        <bgColor theme="1"/>
      </patternFill>
    </fill>
    <fill>
      <patternFill patternType="solid">
        <fgColor rgb="FF595959"/>
        <bgColor rgb="FF595959"/>
      </patternFill>
    </fill>
    <fill>
      <patternFill patternType="solid">
        <fgColor rgb="FF3F3F3F"/>
        <bgColor rgb="FF3F3F3F"/>
      </patternFill>
    </fill>
    <fill>
      <patternFill patternType="solid">
        <fgColor theme="0"/>
        <bgColor rgb="FFEAF1DD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theme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theme="0"/>
      </patternFill>
    </fill>
    <fill>
      <patternFill patternType="solid">
        <fgColor rgb="FFFF0000"/>
        <bgColor theme="0"/>
      </patternFill>
    </fill>
    <fill>
      <patternFill patternType="solid">
        <fgColor rgb="FFFF0000"/>
        <bgColor rgb="FFDBE5F1"/>
      </patternFill>
    </fill>
    <fill>
      <patternFill patternType="solid">
        <fgColor rgb="FFFF0000"/>
        <bgColor rgb="FFFBD4B4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6" tint="0.39997558519241921"/>
        <bgColor theme="0"/>
      </patternFill>
    </fill>
    <fill>
      <patternFill patternType="solid">
        <fgColor theme="7" tint="0.59999389629810485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6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rgb="FF000000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rgb="FF000000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30" fillId="0" borderId="0" applyNumberFormat="0" applyFill="0" applyBorder="0" applyAlignment="0" applyProtection="0"/>
  </cellStyleXfs>
  <cellXfs count="314">
    <xf numFmtId="0" fontId="0" fillId="0" borderId="0" xfId="0"/>
    <xf numFmtId="0" fontId="1" fillId="0" borderId="0" xfId="0" applyFont="1"/>
    <xf numFmtId="0" fontId="2" fillId="0" borderId="0" xfId="0" applyFont="1"/>
    <xf numFmtId="0" fontId="6" fillId="3" borderId="3" xfId="0" applyFont="1" applyFill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13" fillId="3" borderId="3" xfId="0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" fillId="8" borderId="12" xfId="0" applyFont="1" applyFill="1" applyBorder="1"/>
    <xf numFmtId="0" fontId="1" fillId="9" borderId="12" xfId="0" applyFont="1" applyFill="1" applyBorder="1"/>
    <xf numFmtId="0" fontId="11" fillId="3" borderId="3" xfId="0" applyFont="1" applyFill="1" applyBorder="1" applyAlignment="1">
      <alignment horizontal="center" vertical="center" textRotation="90"/>
    </xf>
    <xf numFmtId="0" fontId="11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left" vertical="center"/>
    </xf>
    <xf numFmtId="0" fontId="14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right" vertical="center"/>
    </xf>
    <xf numFmtId="0" fontId="15" fillId="3" borderId="3" xfId="0" applyFont="1" applyFill="1" applyBorder="1" applyAlignment="1">
      <alignment vertical="center"/>
    </xf>
    <xf numFmtId="0" fontId="10" fillId="3" borderId="3" xfId="0" applyFont="1" applyFill="1" applyBorder="1" applyAlignment="1">
      <alignment horizontal="right" vertical="center"/>
    </xf>
    <xf numFmtId="0" fontId="5" fillId="3" borderId="3" xfId="0" applyFont="1" applyFill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3" xfId="0" applyFont="1" applyFill="1" applyBorder="1"/>
    <xf numFmtId="0" fontId="11" fillId="0" borderId="0" xfId="0" applyFont="1" applyAlignment="1">
      <alignment horizontal="center" vertical="center" textRotation="90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167" fontId="18" fillId="0" borderId="12" xfId="0" applyNumberFormat="1" applyFont="1" applyBorder="1" applyAlignment="1">
      <alignment horizontal="center" vertical="center"/>
    </xf>
    <xf numFmtId="167" fontId="18" fillId="4" borderId="12" xfId="0" applyNumberFormat="1" applyFont="1" applyFill="1" applyBorder="1" applyAlignment="1">
      <alignment horizontal="center" vertical="center"/>
    </xf>
    <xf numFmtId="167" fontId="18" fillId="7" borderId="12" xfId="0" applyNumberFormat="1" applyFont="1" applyFill="1" applyBorder="1" applyAlignment="1">
      <alignment horizontal="center" vertical="center"/>
    </xf>
    <xf numFmtId="168" fontId="12" fillId="4" borderId="16" xfId="0" applyNumberFormat="1" applyFont="1" applyFill="1" applyBorder="1" applyAlignment="1">
      <alignment horizontal="center" vertical="center"/>
    </xf>
    <xf numFmtId="168" fontId="12" fillId="7" borderId="16" xfId="0" applyNumberFormat="1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7" fillId="7" borderId="19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11" fillId="7" borderId="21" xfId="0" applyFont="1" applyFill="1" applyBorder="1" applyAlignment="1">
      <alignment horizontal="center" vertical="center"/>
    </xf>
    <xf numFmtId="0" fontId="11" fillId="3" borderId="23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11" fillId="7" borderId="23" xfId="0" applyFont="1" applyFill="1" applyBorder="1" applyAlignment="1">
      <alignment horizontal="center" vertical="center"/>
    </xf>
    <xf numFmtId="0" fontId="1" fillId="0" borderId="0" xfId="0" applyFont="1" applyAlignment="1">
      <alignment textRotation="90"/>
    </xf>
    <xf numFmtId="167" fontId="18" fillId="3" borderId="12" xfId="0" applyNumberFormat="1" applyFont="1" applyFill="1" applyBorder="1" applyAlignment="1">
      <alignment horizontal="center" vertical="center"/>
    </xf>
    <xf numFmtId="168" fontId="12" fillId="3" borderId="16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textRotation="90"/>
    </xf>
    <xf numFmtId="0" fontId="7" fillId="0" borderId="0" xfId="0" applyFont="1" applyAlignment="1">
      <alignment horizontal="center" vertical="center"/>
    </xf>
    <xf numFmtId="0" fontId="20" fillId="3" borderId="3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14" fontId="11" fillId="0" borderId="0" xfId="0" applyNumberFormat="1" applyFont="1"/>
    <xf numFmtId="0" fontId="11" fillId="0" borderId="0" xfId="0" applyFont="1"/>
    <xf numFmtId="0" fontId="11" fillId="2" borderId="40" xfId="0" applyFont="1" applyFill="1" applyBorder="1" applyAlignment="1">
      <alignment horizontal="center" vertical="center"/>
    </xf>
    <xf numFmtId="169" fontId="22" fillId="0" borderId="40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69" fontId="18" fillId="0" borderId="0" xfId="0" applyNumberFormat="1" applyFont="1" applyAlignment="1">
      <alignment horizontal="center" vertical="center"/>
    </xf>
    <xf numFmtId="0" fontId="3" fillId="3" borderId="3" xfId="0" applyFont="1" applyFill="1" applyBorder="1" applyAlignment="1">
      <alignment horizontal="left"/>
    </xf>
    <xf numFmtId="1" fontId="11" fillId="2" borderId="40" xfId="0" applyNumberFormat="1" applyFont="1" applyFill="1" applyBorder="1" applyAlignment="1">
      <alignment horizontal="center" vertical="center"/>
    </xf>
    <xf numFmtId="0" fontId="7" fillId="13" borderId="40" xfId="0" applyFont="1" applyFill="1" applyBorder="1" applyAlignment="1">
      <alignment horizontal="center" vertical="center"/>
    </xf>
    <xf numFmtId="167" fontId="18" fillId="0" borderId="22" xfId="0" applyNumberFormat="1" applyFont="1" applyBorder="1" applyAlignment="1">
      <alignment horizontal="center" vertical="center"/>
    </xf>
    <xf numFmtId="0" fontId="1" fillId="0" borderId="9" xfId="0" applyFont="1" applyBorder="1" applyProtection="1">
      <protection locked="0"/>
    </xf>
    <xf numFmtId="0" fontId="1" fillId="0" borderId="10" xfId="0" applyFont="1" applyBorder="1" applyProtection="1">
      <protection locked="0"/>
    </xf>
    <xf numFmtId="0" fontId="1" fillId="0" borderId="11" xfId="0" applyFont="1" applyBorder="1" applyProtection="1">
      <protection locked="0"/>
    </xf>
    <xf numFmtId="166" fontId="17" fillId="10" borderId="26" xfId="0" applyNumberFormat="1" applyFont="1" applyFill="1" applyBorder="1" applyAlignment="1">
      <alignment horizontal="center" vertical="center"/>
    </xf>
    <xf numFmtId="167" fontId="18" fillId="4" borderId="22" xfId="0" applyNumberFormat="1" applyFont="1" applyFill="1" applyBorder="1" applyAlignment="1">
      <alignment horizontal="center" vertical="center"/>
    </xf>
    <xf numFmtId="165" fontId="3" fillId="3" borderId="44" xfId="0" applyNumberFormat="1" applyFont="1" applyFill="1" applyBorder="1" applyAlignment="1" applyProtection="1">
      <alignment horizontal="center" vertical="center"/>
      <protection locked="0"/>
    </xf>
    <xf numFmtId="165" fontId="3" fillId="3" borderId="44" xfId="0" applyNumberFormat="1" applyFont="1" applyFill="1" applyBorder="1" applyAlignment="1">
      <alignment horizontal="center" vertical="center"/>
    </xf>
    <xf numFmtId="0" fontId="25" fillId="0" borderId="0" xfId="0" applyFont="1"/>
    <xf numFmtId="0" fontId="25" fillId="0" borderId="0" xfId="0" applyFont="1" applyAlignment="1">
      <alignment horizontal="center"/>
    </xf>
    <xf numFmtId="0" fontId="25" fillId="0" borderId="25" xfId="0" applyFont="1" applyBorder="1"/>
    <xf numFmtId="0" fontId="25" fillId="0" borderId="25" xfId="0" applyFont="1" applyBorder="1" applyAlignment="1">
      <alignment horizontal="center"/>
    </xf>
    <xf numFmtId="0" fontId="26" fillId="0" borderId="0" xfId="0" applyFont="1" applyAlignment="1">
      <alignment horizontal="center" vertical="center"/>
    </xf>
    <xf numFmtId="14" fontId="27" fillId="0" borderId="0" xfId="0" applyNumberFormat="1" applyFont="1" applyAlignment="1">
      <alignment horizontal="center" vertical="center"/>
    </xf>
    <xf numFmtId="0" fontId="24" fillId="0" borderId="0" xfId="0" applyFont="1"/>
    <xf numFmtId="0" fontId="1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169" fontId="18" fillId="0" borderId="3" xfId="0" applyNumberFormat="1" applyFont="1" applyBorder="1" applyAlignment="1">
      <alignment horizontal="center" vertical="center"/>
    </xf>
    <xf numFmtId="0" fontId="1" fillId="0" borderId="45" xfId="0" applyFont="1" applyBorder="1" applyAlignment="1">
      <alignment horizontal="center"/>
    </xf>
    <xf numFmtId="169" fontId="18" fillId="0" borderId="45" xfId="0" applyNumberFormat="1" applyFont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10" fillId="0" borderId="26" xfId="0" applyFont="1" applyBorder="1" applyAlignment="1">
      <alignment vertical="center"/>
    </xf>
    <xf numFmtId="0" fontId="11" fillId="6" borderId="22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vertical="center"/>
    </xf>
    <xf numFmtId="0" fontId="12" fillId="0" borderId="27" xfId="0" applyFont="1" applyBorder="1" applyAlignment="1">
      <alignment horizontal="center" vertical="center"/>
    </xf>
    <xf numFmtId="167" fontId="18" fillId="10" borderId="17" xfId="0" applyNumberFormat="1" applyFont="1" applyFill="1" applyBorder="1" applyAlignment="1">
      <alignment horizontal="center" vertical="center"/>
    </xf>
    <xf numFmtId="168" fontId="12" fillId="0" borderId="16" xfId="0" applyNumberFormat="1" applyFont="1" applyBorder="1" applyAlignment="1">
      <alignment horizontal="center" vertical="center"/>
    </xf>
    <xf numFmtId="168" fontId="12" fillId="10" borderId="17" xfId="0" applyNumberFormat="1" applyFont="1" applyFill="1" applyBorder="1" applyAlignment="1">
      <alignment horizontal="center" vertical="center"/>
    </xf>
    <xf numFmtId="0" fontId="7" fillId="10" borderId="17" xfId="0" applyFont="1" applyFill="1" applyBorder="1" applyAlignment="1">
      <alignment horizontal="center" vertical="center"/>
    </xf>
    <xf numFmtId="0" fontId="11" fillId="3" borderId="25" xfId="0" applyFont="1" applyFill="1" applyBorder="1" applyAlignment="1">
      <alignment horizontal="center" vertical="center"/>
    </xf>
    <xf numFmtId="0" fontId="11" fillId="4" borderId="25" xfId="0" applyFont="1" applyFill="1" applyBorder="1" applyAlignment="1">
      <alignment horizontal="center" vertical="center"/>
    </xf>
    <xf numFmtId="0" fontId="11" fillId="7" borderId="25" xfId="0" applyFont="1" applyFill="1" applyBorder="1" applyAlignment="1">
      <alignment horizontal="center" vertical="center"/>
    </xf>
    <xf numFmtId="0" fontId="11" fillId="10" borderId="17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horizontal="center" vertical="center"/>
    </xf>
    <xf numFmtId="166" fontId="17" fillId="10" borderId="17" xfId="0" applyNumberFormat="1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7" fillId="17" borderId="19" xfId="0" applyFont="1" applyFill="1" applyBorder="1" applyAlignment="1">
      <alignment horizontal="center" vertical="center"/>
    </xf>
    <xf numFmtId="0" fontId="11" fillId="17" borderId="21" xfId="0" applyFont="1" applyFill="1" applyBorder="1" applyAlignment="1">
      <alignment horizontal="center" vertical="center"/>
    </xf>
    <xf numFmtId="0" fontId="11" fillId="17" borderId="25" xfId="0" applyFont="1" applyFill="1" applyBorder="1" applyAlignment="1">
      <alignment horizontal="center" vertical="center"/>
    </xf>
    <xf numFmtId="0" fontId="7" fillId="17" borderId="25" xfId="0" applyFont="1" applyFill="1" applyBorder="1" applyAlignment="1">
      <alignment horizontal="center" vertical="center"/>
    </xf>
    <xf numFmtId="0" fontId="11" fillId="17" borderId="23" xfId="0" applyFont="1" applyFill="1" applyBorder="1" applyAlignment="1">
      <alignment horizontal="center" vertical="center"/>
    </xf>
    <xf numFmtId="0" fontId="7" fillId="18" borderId="19" xfId="0" applyFont="1" applyFill="1" applyBorder="1" applyAlignment="1">
      <alignment horizontal="center" vertical="center"/>
    </xf>
    <xf numFmtId="0" fontId="11" fillId="18" borderId="21" xfId="0" applyFont="1" applyFill="1" applyBorder="1" applyAlignment="1">
      <alignment horizontal="center" vertical="center"/>
    </xf>
    <xf numFmtId="0" fontId="11" fillId="18" borderId="25" xfId="0" applyFont="1" applyFill="1" applyBorder="1" applyAlignment="1">
      <alignment horizontal="center" vertical="center"/>
    </xf>
    <xf numFmtId="0" fontId="7" fillId="18" borderId="25" xfId="0" applyFont="1" applyFill="1" applyBorder="1" applyAlignment="1">
      <alignment horizontal="center" vertical="center"/>
    </xf>
    <xf numFmtId="0" fontId="11" fillId="18" borderId="23" xfId="0" applyFont="1" applyFill="1" applyBorder="1" applyAlignment="1">
      <alignment horizontal="center" vertical="center"/>
    </xf>
    <xf numFmtId="0" fontId="7" fillId="19" borderId="19" xfId="0" applyFont="1" applyFill="1" applyBorder="1" applyAlignment="1">
      <alignment horizontal="center" vertical="center"/>
    </xf>
    <xf numFmtId="0" fontId="7" fillId="20" borderId="19" xfId="0" applyFont="1" applyFill="1" applyBorder="1" applyAlignment="1">
      <alignment horizontal="center" vertical="center"/>
    </xf>
    <xf numFmtId="0" fontId="7" fillId="21" borderId="19" xfId="0" applyFont="1" applyFill="1" applyBorder="1" applyAlignment="1">
      <alignment horizontal="center" vertical="center"/>
    </xf>
    <xf numFmtId="0" fontId="11" fillId="19" borderId="25" xfId="0" applyFont="1" applyFill="1" applyBorder="1" applyAlignment="1">
      <alignment horizontal="center" vertical="center"/>
    </xf>
    <xf numFmtId="0" fontId="11" fillId="20" borderId="25" xfId="0" applyFont="1" applyFill="1" applyBorder="1" applyAlignment="1">
      <alignment horizontal="center" vertical="center"/>
    </xf>
    <xf numFmtId="0" fontId="11" fillId="21" borderId="25" xfId="0" applyFont="1" applyFill="1" applyBorder="1" applyAlignment="1">
      <alignment horizontal="center" vertical="center"/>
    </xf>
    <xf numFmtId="0" fontId="11" fillId="19" borderId="21" xfId="0" applyFont="1" applyFill="1" applyBorder="1" applyAlignment="1">
      <alignment horizontal="center" vertical="center"/>
    </xf>
    <xf numFmtId="0" fontId="11" fillId="20" borderId="21" xfId="0" applyFont="1" applyFill="1" applyBorder="1" applyAlignment="1">
      <alignment horizontal="center" vertical="center"/>
    </xf>
    <xf numFmtId="0" fontId="11" fillId="21" borderId="21" xfId="0" applyFont="1" applyFill="1" applyBorder="1" applyAlignment="1">
      <alignment horizontal="center" vertical="center"/>
    </xf>
    <xf numFmtId="0" fontId="7" fillId="19" borderId="25" xfId="0" applyFont="1" applyFill="1" applyBorder="1" applyAlignment="1">
      <alignment horizontal="center" vertical="center"/>
    </xf>
    <xf numFmtId="0" fontId="7" fillId="20" borderId="25" xfId="0" applyFont="1" applyFill="1" applyBorder="1" applyAlignment="1">
      <alignment horizontal="center" vertical="center"/>
    </xf>
    <xf numFmtId="0" fontId="7" fillId="21" borderId="25" xfId="0" applyFont="1" applyFill="1" applyBorder="1" applyAlignment="1">
      <alignment horizontal="center" vertical="center"/>
    </xf>
    <xf numFmtId="0" fontId="11" fillId="19" borderId="23" xfId="0" applyFont="1" applyFill="1" applyBorder="1" applyAlignment="1">
      <alignment horizontal="center" vertical="center"/>
    </xf>
    <xf numFmtId="0" fontId="11" fillId="20" borderId="23" xfId="0" applyFont="1" applyFill="1" applyBorder="1" applyAlignment="1">
      <alignment horizontal="center" vertical="center"/>
    </xf>
    <xf numFmtId="0" fontId="11" fillId="21" borderId="23" xfId="0" applyFont="1" applyFill="1" applyBorder="1" applyAlignment="1">
      <alignment horizontal="center" vertical="center"/>
    </xf>
    <xf numFmtId="0" fontId="7" fillId="22" borderId="19" xfId="0" applyFont="1" applyFill="1" applyBorder="1" applyAlignment="1">
      <alignment horizontal="center" vertical="center"/>
    </xf>
    <xf numFmtId="0" fontId="11" fillId="22" borderId="25" xfId="0" applyFont="1" applyFill="1" applyBorder="1" applyAlignment="1">
      <alignment horizontal="center" vertical="center"/>
    </xf>
    <xf numFmtId="0" fontId="11" fillId="22" borderId="21" xfId="0" applyFont="1" applyFill="1" applyBorder="1" applyAlignment="1">
      <alignment horizontal="center" vertical="center"/>
    </xf>
    <xf numFmtId="0" fontId="7" fillId="22" borderId="25" xfId="0" applyFont="1" applyFill="1" applyBorder="1" applyAlignment="1">
      <alignment horizontal="center" vertical="center"/>
    </xf>
    <xf numFmtId="0" fontId="11" fillId="22" borderId="23" xfId="0" applyFont="1" applyFill="1" applyBorder="1" applyAlignment="1">
      <alignment horizontal="center" vertical="center"/>
    </xf>
    <xf numFmtId="167" fontId="18" fillId="23" borderId="12" xfId="0" applyNumberFormat="1" applyFont="1" applyFill="1" applyBorder="1" applyAlignment="1">
      <alignment horizontal="center" vertical="center"/>
    </xf>
    <xf numFmtId="168" fontId="12" fillId="23" borderId="16" xfId="0" applyNumberFormat="1" applyFont="1" applyFill="1" applyBorder="1" applyAlignment="1">
      <alignment horizontal="center" vertical="center"/>
    </xf>
    <xf numFmtId="0" fontId="7" fillId="23" borderId="19" xfId="0" applyFont="1" applyFill="1" applyBorder="1" applyAlignment="1">
      <alignment horizontal="center" vertical="center"/>
    </xf>
    <xf numFmtId="0" fontId="11" fillId="23" borderId="25" xfId="0" applyFont="1" applyFill="1" applyBorder="1" applyAlignment="1">
      <alignment horizontal="center" vertical="center"/>
    </xf>
    <xf numFmtId="0" fontId="11" fillId="23" borderId="21" xfId="0" applyFont="1" applyFill="1" applyBorder="1" applyAlignment="1">
      <alignment horizontal="center" vertical="center"/>
    </xf>
    <xf numFmtId="0" fontId="7" fillId="23" borderId="25" xfId="0" applyFont="1" applyFill="1" applyBorder="1" applyAlignment="1">
      <alignment horizontal="center" vertical="center"/>
    </xf>
    <xf numFmtId="0" fontId="11" fillId="23" borderId="23" xfId="0" applyFont="1" applyFill="1" applyBorder="1" applyAlignment="1">
      <alignment horizontal="center" vertical="center"/>
    </xf>
    <xf numFmtId="0" fontId="7" fillId="24" borderId="19" xfId="0" applyFont="1" applyFill="1" applyBorder="1" applyAlignment="1">
      <alignment horizontal="center" vertical="center"/>
    </xf>
    <xf numFmtId="0" fontId="11" fillId="24" borderId="25" xfId="0" applyFont="1" applyFill="1" applyBorder="1" applyAlignment="1">
      <alignment horizontal="center" vertical="center"/>
    </xf>
    <xf numFmtId="0" fontId="31" fillId="3" borderId="19" xfId="0" applyFont="1" applyFill="1" applyBorder="1" applyAlignment="1">
      <alignment horizontal="center" vertical="center"/>
    </xf>
    <xf numFmtId="0" fontId="7" fillId="25" borderId="19" xfId="0" applyFont="1" applyFill="1" applyBorder="1" applyAlignment="1">
      <alignment horizontal="center" vertical="center"/>
    </xf>
    <xf numFmtId="0" fontId="11" fillId="25" borderId="25" xfId="0" applyFont="1" applyFill="1" applyBorder="1" applyAlignment="1">
      <alignment horizontal="center" vertical="center"/>
    </xf>
    <xf numFmtId="0" fontId="7" fillId="26" borderId="19" xfId="0" applyFont="1" applyFill="1" applyBorder="1" applyAlignment="1">
      <alignment horizontal="center" vertical="center"/>
    </xf>
    <xf numFmtId="0" fontId="11" fillId="26" borderId="21" xfId="0" applyFont="1" applyFill="1" applyBorder="1" applyAlignment="1">
      <alignment horizontal="center" vertical="center"/>
    </xf>
    <xf numFmtId="0" fontId="32" fillId="3" borderId="19" xfId="0" applyFont="1" applyFill="1" applyBorder="1" applyAlignment="1">
      <alignment horizontal="center" vertical="center"/>
    </xf>
    <xf numFmtId="0" fontId="11" fillId="25" borderId="21" xfId="0" applyFont="1" applyFill="1" applyBorder="1" applyAlignment="1">
      <alignment horizontal="center" vertical="center"/>
    </xf>
    <xf numFmtId="0" fontId="33" fillId="3" borderId="19" xfId="0" applyFont="1" applyFill="1" applyBorder="1" applyAlignment="1">
      <alignment horizontal="center" vertical="center"/>
    </xf>
    <xf numFmtId="0" fontId="11" fillId="26" borderId="25" xfId="0" applyFont="1" applyFill="1" applyBorder="1" applyAlignment="1">
      <alignment horizontal="center" vertical="center"/>
    </xf>
    <xf numFmtId="0" fontId="7" fillId="27" borderId="19" xfId="0" applyFont="1" applyFill="1" applyBorder="1" applyAlignment="1">
      <alignment horizontal="center" vertical="center"/>
    </xf>
    <xf numFmtId="0" fontId="11" fillId="27" borderId="25" xfId="0" applyFont="1" applyFill="1" applyBorder="1" applyAlignment="1">
      <alignment horizontal="center" vertical="center"/>
    </xf>
    <xf numFmtId="0" fontId="11" fillId="27" borderId="21" xfId="0" applyFont="1" applyFill="1" applyBorder="1" applyAlignment="1">
      <alignment horizontal="center" vertical="center"/>
    </xf>
    <xf numFmtId="0" fontId="7" fillId="27" borderId="25" xfId="0" applyFont="1" applyFill="1" applyBorder="1" applyAlignment="1">
      <alignment horizontal="center" vertical="center"/>
    </xf>
    <xf numFmtId="0" fontId="11" fillId="27" borderId="23" xfId="0" applyFont="1" applyFill="1" applyBorder="1" applyAlignment="1">
      <alignment horizontal="center" vertical="center"/>
    </xf>
    <xf numFmtId="0" fontId="34" fillId="3" borderId="19" xfId="0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" fillId="3" borderId="0" xfId="0" applyFont="1" applyFill="1"/>
    <xf numFmtId="0" fontId="32" fillId="28" borderId="19" xfId="0" applyFont="1" applyFill="1" applyBorder="1" applyAlignment="1">
      <alignment horizontal="center" vertical="center"/>
    </xf>
    <xf numFmtId="0" fontId="11" fillId="28" borderId="25" xfId="0" applyFont="1" applyFill="1" applyBorder="1" applyAlignment="1">
      <alignment horizontal="center" vertical="center"/>
    </xf>
    <xf numFmtId="0" fontId="7" fillId="28" borderId="25" xfId="0" applyFont="1" applyFill="1" applyBorder="1" applyAlignment="1">
      <alignment horizontal="center" vertical="center"/>
    </xf>
    <xf numFmtId="0" fontId="7" fillId="29" borderId="19" xfId="0" applyFont="1" applyFill="1" applyBorder="1" applyAlignment="1">
      <alignment horizontal="center" vertical="center"/>
    </xf>
    <xf numFmtId="0" fontId="11" fillId="29" borderId="25" xfId="0" applyFont="1" applyFill="1" applyBorder="1" applyAlignment="1">
      <alignment horizontal="center" vertical="center"/>
    </xf>
    <xf numFmtId="0" fontId="11" fillId="29" borderId="21" xfId="0" applyFont="1" applyFill="1" applyBorder="1" applyAlignment="1">
      <alignment horizontal="center" vertical="center"/>
    </xf>
    <xf numFmtId="0" fontId="33" fillId="29" borderId="19" xfId="0" applyFont="1" applyFill="1" applyBorder="1" applyAlignment="1">
      <alignment horizontal="center" vertical="center"/>
    </xf>
    <xf numFmtId="0" fontId="31" fillId="29" borderId="19" xfId="0" applyFont="1" applyFill="1" applyBorder="1" applyAlignment="1">
      <alignment horizontal="center" vertical="center"/>
    </xf>
    <xf numFmtId="0" fontId="32" fillId="29" borderId="19" xfId="0" applyFont="1" applyFill="1" applyBorder="1" applyAlignment="1">
      <alignment horizontal="center" vertical="center"/>
    </xf>
    <xf numFmtId="0" fontId="7" fillId="29" borderId="25" xfId="0" applyFont="1" applyFill="1" applyBorder="1" applyAlignment="1">
      <alignment horizontal="center" vertical="center"/>
    </xf>
    <xf numFmtId="0" fontId="11" fillId="29" borderId="23" xfId="0" applyFont="1" applyFill="1" applyBorder="1" applyAlignment="1">
      <alignment horizontal="center" vertical="center"/>
    </xf>
    <xf numFmtId="0" fontId="33" fillId="26" borderId="19" xfId="0" applyFont="1" applyFill="1" applyBorder="1" applyAlignment="1">
      <alignment horizontal="center" vertical="center"/>
    </xf>
    <xf numFmtId="0" fontId="31" fillId="26" borderId="19" xfId="0" applyFont="1" applyFill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0" fontId="7" fillId="30" borderId="19" xfId="0" applyFont="1" applyFill="1" applyBorder="1" applyAlignment="1">
      <alignment horizontal="center" vertical="center"/>
    </xf>
    <xf numFmtId="0" fontId="11" fillId="30" borderId="25" xfId="0" applyFont="1" applyFill="1" applyBorder="1" applyAlignment="1">
      <alignment horizontal="center" vertical="center"/>
    </xf>
    <xf numFmtId="0" fontId="11" fillId="30" borderId="21" xfId="0" applyFont="1" applyFill="1" applyBorder="1" applyAlignment="1">
      <alignment horizontal="center" vertical="center"/>
    </xf>
    <xf numFmtId="0" fontId="7" fillId="30" borderId="25" xfId="0" applyFont="1" applyFill="1" applyBorder="1" applyAlignment="1">
      <alignment horizontal="center" vertical="center"/>
    </xf>
    <xf numFmtId="0" fontId="11" fillId="30" borderId="23" xfId="0" applyFont="1" applyFill="1" applyBorder="1" applyAlignment="1">
      <alignment horizontal="center" vertical="center"/>
    </xf>
    <xf numFmtId="0" fontId="38" fillId="0" borderId="0" xfId="0" applyFont="1"/>
    <xf numFmtId="0" fontId="36" fillId="31" borderId="56" xfId="0" applyFont="1" applyFill="1" applyBorder="1" applyAlignment="1">
      <alignment horizontal="center" vertical="center"/>
    </xf>
    <xf numFmtId="0" fontId="40" fillId="3" borderId="19" xfId="0" applyFont="1" applyFill="1" applyBorder="1" applyAlignment="1">
      <alignment horizontal="center" vertical="center"/>
    </xf>
    <xf numFmtId="0" fontId="7" fillId="26" borderId="25" xfId="0" applyFont="1" applyFill="1" applyBorder="1" applyAlignment="1">
      <alignment horizontal="center" vertical="center"/>
    </xf>
    <xf numFmtId="0" fontId="11" fillId="26" borderId="23" xfId="0" applyFont="1" applyFill="1" applyBorder="1" applyAlignment="1">
      <alignment horizontal="center" vertical="center"/>
    </xf>
    <xf numFmtId="0" fontId="7" fillId="32" borderId="19" xfId="0" applyFont="1" applyFill="1" applyBorder="1" applyAlignment="1">
      <alignment horizontal="center" vertical="center"/>
    </xf>
    <xf numFmtId="0" fontId="11" fillId="32" borderId="21" xfId="0" applyFont="1" applyFill="1" applyBorder="1" applyAlignment="1">
      <alignment horizontal="center" vertical="center"/>
    </xf>
    <xf numFmtId="0" fontId="11" fillId="32" borderId="25" xfId="0" applyFont="1" applyFill="1" applyBorder="1" applyAlignment="1">
      <alignment horizontal="center" vertical="center"/>
    </xf>
    <xf numFmtId="0" fontId="7" fillId="32" borderId="25" xfId="0" applyFont="1" applyFill="1" applyBorder="1" applyAlignment="1">
      <alignment horizontal="center" vertical="center"/>
    </xf>
    <xf numFmtId="0" fontId="11" fillId="32" borderId="23" xfId="0" applyFont="1" applyFill="1" applyBorder="1" applyAlignment="1">
      <alignment horizontal="center" vertical="center"/>
    </xf>
    <xf numFmtId="0" fontId="32" fillId="33" borderId="19" xfId="0" applyFont="1" applyFill="1" applyBorder="1" applyAlignment="1">
      <alignment horizontal="center" vertical="center"/>
    </xf>
    <xf numFmtId="0" fontId="11" fillId="33" borderId="21" xfId="0" applyFont="1" applyFill="1" applyBorder="1" applyAlignment="1">
      <alignment horizontal="center" vertical="center"/>
    </xf>
    <xf numFmtId="0" fontId="7" fillId="34" borderId="19" xfId="0" applyFont="1" applyFill="1" applyBorder="1" applyAlignment="1">
      <alignment horizontal="center" vertical="center"/>
    </xf>
    <xf numFmtId="0" fontId="11" fillId="34" borderId="25" xfId="0" applyFont="1" applyFill="1" applyBorder="1" applyAlignment="1">
      <alignment horizontal="center" vertical="center"/>
    </xf>
    <xf numFmtId="0" fontId="11" fillId="34" borderId="21" xfId="0" applyFont="1" applyFill="1" applyBorder="1" applyAlignment="1">
      <alignment horizontal="center" vertical="center"/>
    </xf>
    <xf numFmtId="0" fontId="41" fillId="3" borderId="19" xfId="0" applyFont="1" applyFill="1" applyBorder="1" applyAlignment="1">
      <alignment horizontal="center" vertical="center"/>
    </xf>
    <xf numFmtId="0" fontId="7" fillId="33" borderId="19" xfId="0" applyFont="1" applyFill="1" applyBorder="1" applyAlignment="1">
      <alignment horizontal="center" vertical="center"/>
    </xf>
    <xf numFmtId="0" fontId="11" fillId="33" borderId="25" xfId="0" applyFont="1" applyFill="1" applyBorder="1" applyAlignment="1">
      <alignment horizontal="center" vertical="center"/>
    </xf>
    <xf numFmtId="0" fontId="42" fillId="3" borderId="19" xfId="0" applyFont="1" applyFill="1" applyBorder="1" applyAlignment="1">
      <alignment horizontal="center" vertical="center"/>
    </xf>
    <xf numFmtId="0" fontId="42" fillId="33" borderId="19" xfId="0" applyFont="1" applyFill="1" applyBorder="1" applyAlignment="1">
      <alignment horizontal="center" vertical="center"/>
    </xf>
    <xf numFmtId="0" fontId="40" fillId="26" borderId="19" xfId="0" applyFont="1" applyFill="1" applyBorder="1" applyAlignment="1">
      <alignment horizontal="center" vertical="center"/>
    </xf>
    <xf numFmtId="0" fontId="32" fillId="26" borderId="19" xfId="0" applyFont="1" applyFill="1" applyBorder="1" applyAlignment="1">
      <alignment horizontal="center" vertical="center"/>
    </xf>
    <xf numFmtId="0" fontId="41" fillId="26" borderId="19" xfId="0" applyFont="1" applyFill="1" applyBorder="1" applyAlignment="1">
      <alignment horizontal="center" vertical="center"/>
    </xf>
    <xf numFmtId="0" fontId="34" fillId="26" borderId="19" xfId="0" applyFont="1" applyFill="1" applyBorder="1" applyAlignment="1">
      <alignment horizontal="center" vertical="center"/>
    </xf>
    <xf numFmtId="0" fontId="42" fillId="26" borderId="19" xfId="0" applyFont="1" applyFill="1" applyBorder="1" applyAlignment="1">
      <alignment horizontal="center" vertical="center"/>
    </xf>
    <xf numFmtId="0" fontId="31" fillId="0" borderId="19" xfId="0" applyFont="1" applyBorder="1" applyAlignment="1">
      <alignment horizontal="center" vertical="center"/>
    </xf>
    <xf numFmtId="0" fontId="1" fillId="26" borderId="0" xfId="0" applyFont="1" applyFill="1"/>
    <xf numFmtId="0" fontId="38" fillId="26" borderId="0" xfId="0" applyFont="1" applyFill="1"/>
    <xf numFmtId="0" fontId="45" fillId="36" borderId="19" xfId="0" applyFont="1" applyFill="1" applyBorder="1" applyAlignment="1">
      <alignment horizontal="center" vertical="center"/>
    </xf>
    <xf numFmtId="0" fontId="43" fillId="36" borderId="25" xfId="0" applyFont="1" applyFill="1" applyBorder="1" applyAlignment="1">
      <alignment horizontal="center" vertical="center"/>
    </xf>
    <xf numFmtId="0" fontId="43" fillId="36" borderId="21" xfId="0" applyFont="1" applyFill="1" applyBorder="1" applyAlignment="1">
      <alignment horizontal="center" vertical="center"/>
    </xf>
    <xf numFmtId="0" fontId="11" fillId="5" borderId="18" xfId="0" applyFont="1" applyFill="1" applyBorder="1" applyAlignment="1">
      <alignment horizontal="center" vertical="center"/>
    </xf>
    <xf numFmtId="164" fontId="3" fillId="15" borderId="13" xfId="0" applyNumberFormat="1" applyFont="1" applyFill="1" applyBorder="1" applyAlignment="1">
      <alignment horizontal="right" vertical="center"/>
    </xf>
    <xf numFmtId="164" fontId="3" fillId="15" borderId="42" xfId="0" applyNumberFormat="1" applyFont="1" applyFill="1" applyBorder="1" applyAlignment="1">
      <alignment horizontal="right" vertical="center"/>
    </xf>
    <xf numFmtId="164" fontId="3" fillId="15" borderId="41" xfId="0" applyNumberFormat="1" applyFont="1" applyFill="1" applyBorder="1" applyAlignment="1">
      <alignment horizontal="right" vertical="center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164" fontId="16" fillId="2" borderId="1" xfId="0" applyNumberFormat="1" applyFont="1" applyFill="1" applyBorder="1" applyAlignment="1">
      <alignment horizontal="center" vertical="center"/>
    </xf>
    <xf numFmtId="164" fontId="16" fillId="2" borderId="13" xfId="0" applyNumberFormat="1" applyFont="1" applyFill="1" applyBorder="1" applyAlignment="1">
      <alignment horizontal="center" vertical="center"/>
    </xf>
    <xf numFmtId="164" fontId="16" fillId="2" borderId="43" xfId="0" applyNumberFormat="1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255"/>
    </xf>
    <xf numFmtId="0" fontId="7" fillId="0" borderId="16" xfId="0" applyFont="1" applyBorder="1" applyAlignment="1">
      <alignment horizontal="center" vertical="center" textRotation="255"/>
    </xf>
    <xf numFmtId="0" fontId="7" fillId="0" borderId="20" xfId="0" applyFont="1" applyBorder="1" applyAlignment="1">
      <alignment horizontal="center" vertical="center" textRotation="255"/>
    </xf>
    <xf numFmtId="0" fontId="11" fillId="0" borderId="32" xfId="0" applyFont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 wrapText="1"/>
    </xf>
    <xf numFmtId="1" fontId="11" fillId="2" borderId="32" xfId="0" applyNumberFormat="1" applyFont="1" applyFill="1" applyBorder="1" applyAlignment="1">
      <alignment horizontal="center" vertical="center"/>
    </xf>
    <xf numFmtId="16" fontId="11" fillId="2" borderId="32" xfId="0" applyNumberFormat="1" applyFont="1" applyFill="1" applyBorder="1" applyAlignment="1">
      <alignment horizontal="center" vertical="center"/>
    </xf>
    <xf numFmtId="169" fontId="22" fillId="0" borderId="32" xfId="0" applyNumberFormat="1" applyFont="1" applyBorder="1" applyAlignment="1">
      <alignment horizontal="center" vertical="center" wrapText="1"/>
    </xf>
    <xf numFmtId="1" fontId="23" fillId="0" borderId="32" xfId="0" applyNumberFormat="1" applyFont="1" applyBorder="1" applyAlignment="1">
      <alignment horizontal="center" vertical="center"/>
    </xf>
    <xf numFmtId="0" fontId="36" fillId="31" borderId="53" xfId="0" applyFont="1" applyFill="1" applyBorder="1" applyAlignment="1">
      <alignment horizontal="center" vertical="center"/>
    </xf>
    <xf numFmtId="0" fontId="36" fillId="31" borderId="54" xfId="0" applyFont="1" applyFill="1" applyBorder="1" applyAlignment="1">
      <alignment horizontal="center" vertical="center"/>
    </xf>
    <xf numFmtId="0" fontId="36" fillId="31" borderId="55" xfId="0" applyFont="1" applyFill="1" applyBorder="1" applyAlignment="1">
      <alignment horizontal="center" vertical="center"/>
    </xf>
    <xf numFmtId="0" fontId="43" fillId="2" borderId="32" xfId="0" applyFont="1" applyFill="1" applyBorder="1" applyAlignment="1">
      <alignment horizontal="center" vertical="center"/>
    </xf>
    <xf numFmtId="0" fontId="45" fillId="2" borderId="32" xfId="0" applyFont="1" applyFill="1" applyBorder="1" applyAlignment="1">
      <alignment horizontal="center" vertical="center" wrapText="1"/>
    </xf>
    <xf numFmtId="0" fontId="37" fillId="31" borderId="53" xfId="0" applyFont="1" applyFill="1" applyBorder="1" applyAlignment="1">
      <alignment horizontal="center" vertical="center" wrapText="1"/>
    </xf>
    <xf numFmtId="0" fontId="37" fillId="31" borderId="55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36" fillId="35" borderId="53" xfId="0" applyFont="1" applyFill="1" applyBorder="1" applyAlignment="1">
      <alignment horizontal="center" vertical="center"/>
    </xf>
    <xf numFmtId="0" fontId="36" fillId="35" borderId="54" xfId="0" applyFont="1" applyFill="1" applyBorder="1" applyAlignment="1">
      <alignment horizontal="center" vertical="center"/>
    </xf>
    <xf numFmtId="0" fontId="36" fillId="35" borderId="55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1" fontId="7" fillId="13" borderId="32" xfId="0" applyNumberFormat="1" applyFont="1" applyFill="1" applyBorder="1" applyAlignment="1">
      <alignment horizontal="center" vertical="center"/>
    </xf>
    <xf numFmtId="0" fontId="7" fillId="0" borderId="28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4" fillId="16" borderId="13" xfId="0" applyFont="1" applyFill="1" applyBorder="1" applyAlignment="1">
      <alignment horizontal="right"/>
    </xf>
    <xf numFmtId="166" fontId="17" fillId="3" borderId="44" xfId="0" applyNumberFormat="1" applyFont="1" applyFill="1" applyBorder="1" applyAlignment="1">
      <alignment horizontal="center" vertical="center"/>
    </xf>
    <xf numFmtId="167" fontId="18" fillId="12" borderId="26" xfId="0" applyNumberFormat="1" applyFont="1" applyFill="1" applyBorder="1" applyAlignment="1">
      <alignment horizontal="center" vertical="center"/>
    </xf>
    <xf numFmtId="167" fontId="18" fillId="11" borderId="14" xfId="0" applyNumberFormat="1" applyFont="1" applyFill="1" applyBorder="1" applyAlignment="1">
      <alignment horizontal="center" vertical="center"/>
    </xf>
    <xf numFmtId="0" fontId="35" fillId="29" borderId="2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29" fillId="0" borderId="42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>
      <alignment horizontal="center" vertical="center"/>
    </xf>
    <xf numFmtId="0" fontId="30" fillId="0" borderId="47" xfId="1" applyBorder="1" applyAlignment="1">
      <alignment horizontal="center" vertical="center"/>
    </xf>
    <xf numFmtId="0" fontId="30" fillId="0" borderId="48" xfId="1" applyBorder="1" applyAlignment="1">
      <alignment horizontal="center" vertical="center"/>
    </xf>
    <xf numFmtId="0" fontId="30" fillId="0" borderId="49" xfId="1" applyBorder="1" applyAlignment="1">
      <alignment horizontal="center" vertical="center"/>
    </xf>
    <xf numFmtId="0" fontId="1" fillId="0" borderId="5" xfId="0" applyFont="1" applyBorder="1" applyAlignment="1" applyProtection="1">
      <alignment horizontal="center"/>
      <protection locked="0"/>
    </xf>
    <xf numFmtId="0" fontId="30" fillId="0" borderId="50" xfId="1" applyBorder="1" applyAlignment="1">
      <alignment horizontal="center" vertical="center"/>
    </xf>
    <xf numFmtId="0" fontId="30" fillId="0" borderId="51" xfId="1" applyBorder="1" applyAlignment="1">
      <alignment horizontal="center" vertical="center"/>
    </xf>
    <xf numFmtId="0" fontId="30" fillId="0" borderId="52" xfId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 wrapText="1"/>
    </xf>
    <xf numFmtId="0" fontId="37" fillId="16" borderId="53" xfId="0" applyFont="1" applyFill="1" applyBorder="1" applyAlignment="1" applyProtection="1">
      <alignment horizontal="center" vertical="center" wrapText="1"/>
      <protection locked="0"/>
    </xf>
    <xf numFmtId="0" fontId="37" fillId="16" borderId="55" xfId="0" applyFont="1" applyFill="1" applyBorder="1" applyAlignment="1" applyProtection="1">
      <alignment horizontal="center" vertical="center" wrapText="1"/>
      <protection locked="0"/>
    </xf>
    <xf numFmtId="0" fontId="36" fillId="16" borderId="53" xfId="0" applyFont="1" applyFill="1" applyBorder="1" applyAlignment="1" applyProtection="1">
      <alignment horizontal="center" vertical="center"/>
      <protection locked="0"/>
    </xf>
    <xf numFmtId="0" fontId="36" fillId="16" borderId="54" xfId="0" applyFont="1" applyFill="1" applyBorder="1" applyAlignment="1" applyProtection="1">
      <alignment horizontal="center" vertical="center"/>
      <protection locked="0"/>
    </xf>
    <xf numFmtId="0" fontId="36" fillId="16" borderId="55" xfId="0" applyFont="1" applyFill="1" applyBorder="1" applyAlignment="1" applyProtection="1">
      <alignment horizontal="center" vertical="center"/>
      <protection locked="0"/>
    </xf>
    <xf numFmtId="0" fontId="39" fillId="31" borderId="53" xfId="0" applyFont="1" applyFill="1" applyBorder="1" applyAlignment="1">
      <alignment horizontal="center" vertical="center" wrapText="1"/>
    </xf>
    <xf numFmtId="0" fontId="39" fillId="31" borderId="55" xfId="0" applyFont="1" applyFill="1" applyBorder="1" applyAlignment="1">
      <alignment horizontal="center" vertical="center" wrapText="1"/>
    </xf>
    <xf numFmtId="0" fontId="11" fillId="2" borderId="34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11" fillId="2" borderId="34" xfId="0" applyFont="1" applyFill="1" applyBorder="1" applyAlignment="1">
      <alignment horizontal="center" vertical="center" wrapText="1"/>
    </xf>
    <xf numFmtId="0" fontId="11" fillId="2" borderId="33" xfId="0" applyFont="1" applyFill="1" applyBorder="1" applyAlignment="1">
      <alignment horizontal="center" vertical="center" wrapText="1"/>
    </xf>
    <xf numFmtId="1" fontId="11" fillId="2" borderId="34" xfId="0" applyNumberFormat="1" applyFont="1" applyFill="1" applyBorder="1" applyAlignment="1">
      <alignment horizontal="center" vertical="center"/>
    </xf>
    <xf numFmtId="1" fontId="11" fillId="2" borderId="33" xfId="0" applyNumberFormat="1" applyFont="1" applyFill="1" applyBorder="1" applyAlignment="1">
      <alignment horizontal="center" vertical="center"/>
    </xf>
    <xf numFmtId="16" fontId="11" fillId="2" borderId="33" xfId="0" applyNumberFormat="1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/>
    <xf numFmtId="0" fontId="4" fillId="0" borderId="13" xfId="0" applyFont="1" applyBorder="1" applyAlignment="1" applyProtection="1">
      <protection locked="0"/>
    </xf>
    <xf numFmtId="0" fontId="4" fillId="0" borderId="2" xfId="0" applyFont="1" applyBorder="1" applyAlignment="1" applyProtection="1">
      <protection locked="0"/>
    </xf>
    <xf numFmtId="0" fontId="4" fillId="0" borderId="2" xfId="0" applyFont="1" applyBorder="1" applyAlignment="1"/>
    <xf numFmtId="0" fontId="4" fillId="0" borderId="6" xfId="0" applyFont="1" applyBorder="1" applyAlignment="1" applyProtection="1">
      <protection locked="0"/>
    </xf>
    <xf numFmtId="0" fontId="4" fillId="0" borderId="7" xfId="0" applyFont="1" applyBorder="1" applyAlignment="1" applyProtection="1">
      <protection locked="0"/>
    </xf>
    <xf numFmtId="0" fontId="4" fillId="0" borderId="44" xfId="0" applyFont="1" applyBorder="1" applyAlignment="1"/>
    <xf numFmtId="0" fontId="4" fillId="0" borderId="15" xfId="0" applyFont="1" applyBorder="1" applyAlignment="1"/>
    <xf numFmtId="0" fontId="4" fillId="0" borderId="23" xfId="0" applyFont="1" applyBorder="1" applyAlignment="1"/>
    <xf numFmtId="0" fontId="4" fillId="0" borderId="27" xfId="0" applyFont="1" applyBorder="1" applyAlignment="1"/>
    <xf numFmtId="0" fontId="4" fillId="0" borderId="17" xfId="0" applyFont="1" applyBorder="1" applyAlignment="1"/>
    <xf numFmtId="0" fontId="4" fillId="0" borderId="20" xfId="0" applyFont="1" applyBorder="1" applyAlignment="1"/>
    <xf numFmtId="0" fontId="4" fillId="0" borderId="22" xfId="0" applyFont="1" applyBorder="1" applyAlignment="1"/>
    <xf numFmtId="0" fontId="4" fillId="0" borderId="24" xfId="0" applyFont="1" applyBorder="1" applyAlignment="1"/>
    <xf numFmtId="0" fontId="4" fillId="0" borderId="25" xfId="0" applyFont="1" applyBorder="1" applyAlignment="1"/>
    <xf numFmtId="0" fontId="0" fillId="0" borderId="0" xfId="0" applyAlignment="1"/>
    <xf numFmtId="0" fontId="4" fillId="0" borderId="26" xfId="0" applyFont="1" applyBorder="1" applyAlignment="1"/>
    <xf numFmtId="0" fontId="4" fillId="0" borderId="8" xfId="0" applyFont="1" applyBorder="1" applyAlignment="1"/>
    <xf numFmtId="0" fontId="4" fillId="0" borderId="29" xfId="0" applyFont="1" applyBorder="1" applyAlignment="1"/>
    <xf numFmtId="0" fontId="4" fillId="0" borderId="30" xfId="0" applyFont="1" applyBorder="1" applyAlignment="1"/>
    <xf numFmtId="0" fontId="4" fillId="0" borderId="33" xfId="0" applyFont="1" applyBorder="1" applyAlignment="1"/>
    <xf numFmtId="0" fontId="4" fillId="0" borderId="34" xfId="0" applyFont="1" applyBorder="1" applyAlignment="1"/>
    <xf numFmtId="0" fontId="4" fillId="0" borderId="35" xfId="0" applyFont="1" applyBorder="1" applyAlignment="1"/>
    <xf numFmtId="0" fontId="4" fillId="0" borderId="36" xfId="0" applyFont="1" applyBorder="1" applyAlignment="1"/>
    <xf numFmtId="0" fontId="4" fillId="0" borderId="37" xfId="0" applyFont="1" applyBorder="1" applyAlignment="1"/>
    <xf numFmtId="0" fontId="4" fillId="0" borderId="38" xfId="0" applyFont="1" applyBorder="1" applyAlignment="1"/>
    <xf numFmtId="0" fontId="4" fillId="0" borderId="4" xfId="0" applyFont="1" applyBorder="1" applyAlignment="1"/>
    <xf numFmtId="0" fontId="4" fillId="0" borderId="39" xfId="0" applyFont="1" applyBorder="1" applyAlignment="1"/>
    <xf numFmtId="0" fontId="4" fillId="14" borderId="33" xfId="0" applyFont="1" applyFill="1" applyBorder="1" applyAlignment="1"/>
    <xf numFmtId="0" fontId="44" fillId="0" borderId="34" xfId="0" applyFont="1" applyBorder="1" applyAlignment="1"/>
    <xf numFmtId="0" fontId="44" fillId="0" borderId="33" xfId="0" applyFont="1" applyBorder="1" applyAlignment="1"/>
  </cellXfs>
  <cellStyles count="2">
    <cellStyle name="Hiperligação" xfId="1" builtinId="8"/>
    <cellStyle name="Normal" xfId="0" builtinId="0"/>
  </cellStyles>
  <dxfs count="26"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theme="0"/>
          <bgColor theme="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theme="0"/>
          <bgColor theme="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theme="0"/>
          <bgColor theme="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theme="0"/>
          <bgColor theme="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theme="0"/>
          <bgColor theme="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theme="0"/>
          <bgColor theme="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theme="0"/>
          <bgColor theme="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theme="0"/>
          <bgColor theme="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theme="0"/>
          <bgColor theme="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theme="0"/>
          <bgColor theme="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theme="0"/>
          <bgColor theme="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theme="0"/>
          <bgColor theme="0"/>
        </patternFill>
      </fill>
    </dxf>
    <dxf>
      <font>
        <b/>
        <color rgb="FF00B050"/>
      </font>
      <fill>
        <patternFill patternType="none"/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010DC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85725</xdr:colOff>
      <xdr:row>1</xdr:row>
      <xdr:rowOff>9525</xdr:rowOff>
    </xdr:from>
    <xdr:ext cx="3248025" cy="952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ão Vitor Santos Silva" id="{E6FC7DB9-C1A5-4996-8825-FD63244C8F44}" userId="S::joao.vs@fieb.org.br::98d0bc58-061f-4ab3-ad5f-aa3284d779f0" providerId="AD"/>
  <person displayName="Silas Pereira Santos" id="{2ADABEBD-8CA6-4889-B142-7A73E5AD05D8}" userId="S::silas.santos@fieb.org.br::ff48f3e3-76c6-4e70-bf01-ac9158facf98" providerId="AD"/>
  <person displayName="Jadiane de Almeida Ribeiro de Santana" id="{947E85EB-8E34-4FE4-A9CA-2EBB12F98EC3}" userId="S::jadiane.santana@fieb.org.br::5540864a-c011-4654-84e2-fc767cc7cae9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A94" dT="2025-11-06T00:13:26.92" personId="{947E85EB-8E34-4FE4-A9CA-2EBB12F98EC3}" id="{5C3BDAA3-8045-44C1-9B9C-866F4B1FF63D}">
    <text>Café com NEP</text>
  </threadedComment>
  <threadedComment ref="S116" dT="2026-03-12T17:39:16.87" personId="{2ADABEBD-8CA6-4889-B142-7A73E5AD05D8}" id="{446F8CCA-C879-4C11-8627-DC347294E509}">
    <text>Prática da brigada</text>
  </threadedComment>
  <threadedComment ref="S126" dT="2025-11-06T00:15:46.11" personId="{947E85EB-8E34-4FE4-A9CA-2EBB12F98EC3}" id="{2ADD0E82-2810-479E-B6B2-6C2C6CF9F882}">
    <text>Setorial</text>
  </threadedComment>
  <threadedComment ref="V138" dT="2026-01-14T18:47:33.75" personId="{947E85EB-8E34-4FE4-A9CA-2EBB12F98EC3}" id="{CD3F0581-9A3A-46BF-90A7-9C5DCB601CBD}">
    <text>SAEP Objetivo</text>
  </threadedComment>
  <threadedComment ref="M158" dT="2025-11-06T00:13:26.92" personId="{947E85EB-8E34-4FE4-A9CA-2EBB12F98EC3}" id="{7E7A86DD-7DB0-4FC8-BA26-66729E1FAFFF}">
    <text>Café com NEP</text>
  </threadedComment>
  <threadedComment ref="O212" dT="2026-07-08T23:15:15.93" personId="{E6FC7DB9-C1A5-4996-8825-FD63244C8F44}" id="{EE5A62E9-AD0D-4452-91A1-961B958AA8B2}">
    <text xml:space="preserve">Repetição Eletrônica
</text>
  </threadedComment>
  <threadedComment ref="P212" dT="2026-07-07T20:48:44.06" personId="{2ADABEBD-8CA6-4889-B142-7A73E5AD05D8}" id="{D8FE0C9B-912A-4CAF-9C8E-F84B97A72FE4}">
    <text>SENAI NA PRAÇA</text>
  </threadedComment>
  <threadedComment ref="Q212" dT="2026-07-13T15:04:58.06" personId="{2ADABEBD-8CA6-4889-B142-7A73E5AD05D8}" id="{DC02271A-163D-4C1C-A57B-09AD0B6FA558}">
    <text>REUNIÃO</text>
  </threadedComment>
  <threadedComment ref="R212" dT="2026-07-08T23:15:15.93" personId="{E6FC7DB9-C1A5-4996-8825-FD63244C8F44}" id="{9B5C38AC-10F2-44BD-9A53-F3F812475DB0}">
    <text xml:space="preserve">Repetição Eletrônica
</text>
  </threadedComment>
  <threadedComment ref="S212" dT="2026-07-08T23:15:15.93" personId="{E6FC7DB9-C1A5-4996-8825-FD63244C8F44}" id="{5C9C2FE9-F5FD-49BF-B7E4-ED75C2D548F8}">
    <text xml:space="preserve">Repetição Eletrônica
</text>
  </threadedComment>
  <threadedComment ref="V212" dT="2026-07-08T23:15:15.93" personId="{E6FC7DB9-C1A5-4996-8825-FD63244C8F44}" id="{576A4053-0EE5-4CE1-8B98-D89A178A24E6}">
    <text xml:space="preserve">Repetição Eletrônica
</text>
  </threadedComment>
  <threadedComment ref="W212" dT="2026-07-08T23:15:15.93" personId="{E6FC7DB9-C1A5-4996-8825-FD63244C8F44}" id="{CA43887E-A5DC-4C78-94EB-C6F10AF95CA5}">
    <text xml:space="preserve">Repetição Eletrônica
</text>
  </threadedComment>
  <threadedComment ref="X212" dT="2026-07-08T23:15:15.93" personId="{E6FC7DB9-C1A5-4996-8825-FD63244C8F44}" id="{1A5E7DA4-3E79-4DBF-B2DE-95C30C3119B5}">
    <text xml:space="preserve">Repetição Eletrônica
</text>
  </threadedComment>
  <threadedComment ref="Y212" dT="2026-07-08T23:15:15.93" personId="{E6FC7DB9-C1A5-4996-8825-FD63244C8F44}" id="{5184048E-33F7-4C9B-9189-FAE7D16FC5D4}">
    <text xml:space="preserve">Repetição Eletrônica
</text>
  </threadedComment>
  <threadedComment ref="Z212" dT="2026-07-08T23:15:15.93" personId="{E6FC7DB9-C1A5-4996-8825-FD63244C8F44}" id="{36A069D2-0ECC-4A18-8E0F-FC7D2033C8B7}">
    <text xml:space="preserve">Repetição Eletrônica
</text>
  </threadedComment>
  <threadedComment ref="Q222" dT="2026-07-13T16:13:42.71" personId="{2ADABEBD-8CA6-4889-B142-7A73E5AD05D8}" id="{385EB7EB-8E7F-47C7-96D0-1B94D9BF3C3D}">
    <text>Conselho de Classe</text>
  </threadedComment>
  <threadedComment ref="V222" dT="2026-07-13T23:30:17.14" personId="{2ADABEBD-8CA6-4889-B142-7A73E5AD05D8}" id="{20804CEC-7DB8-4D72-B4D0-C205682D9F7D}">
    <text>SEMANA DE PLANEJAMENTO</text>
  </threadedComment>
  <threadedComment ref="X236" dT="2026-08-19T19:52:44.36" personId="{2ADABEBD-8CA6-4889-B142-7A73E5AD05D8}" id="{96875354-2F99-459F-873A-5CC62E2198CE}">
    <text>4h banco de horas (A PAGAR)</text>
  </threadedComment>
  <threadedComment ref="AE236" dT="2026-08-19T19:52:08.45" personId="{2ADABEBD-8CA6-4889-B142-7A73E5AD05D8}" id="{441D11B7-E483-4D0F-BA10-14565A8F2945}">
    <text>4h banco de horas (A PAGAR)</text>
  </threadedComment>
  <threadedComment ref="X246" dT="2026-08-19T19:52:51.39" personId="{2ADABEBD-8CA6-4889-B142-7A73E5AD05D8}" id="{707D5C33-7D59-402E-BB1A-E118D7E29960}">
    <text>4h banco de horas</text>
  </threadedComment>
  <threadedComment ref="U248" dT="2026-08-14T16:25:05.97" personId="{2ADABEBD-8CA6-4889-B142-7A73E5AD05D8}" id="{1DEDD5A3-D2A3-4AC5-8F01-A67979EC4135}">
    <text>REUNIÃO DA BRIGADA</text>
  </threadedComment>
  <threadedComment ref="Y266" dT="2026-09-04T18:35:17.04" personId="{2ADABEBD-8CA6-4889-B142-7A73E5AD05D8}" id="{37CB55C0-D0E9-46F7-ACAF-D23E51F5C2D7}">
    <text>Atividade Remota</text>
  </threadedComment>
  <threadedComment ref="X276" dT="2026-09-03T19:31:39.00" personId="{2ADABEBD-8CA6-4889-B142-7A73E5AD05D8}" id="{AAE2330F-0E42-43D2-BF6E-7469B493705F}">
    <text>Atividade Remota</text>
  </threadedComment>
  <threadedComment ref="Z276" dT="2026-09-03T19:31:57.73" personId="{2ADABEBD-8CA6-4889-B142-7A73E5AD05D8}" id="{E93852EF-D343-44C0-91EC-2C743D539070}">
    <text>Atividade Remota</text>
  </threadedComment>
  <threadedComment ref="U298" dT="2026-08-11T17:35:04.82" personId="{2ADABEBD-8CA6-4889-B142-7A73E5AD05D8}" id="{9131A6BB-765C-4FFB-B688-1C29662CF4E5}">
    <text>SUBS AISLAN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gizelle.reis@ba.docente.senai.br" TargetMode="External"/><Relationship Id="rId1" Type="http://schemas.openxmlformats.org/officeDocument/2006/relationships/hyperlink" Target="mailto:gizelle.santos@fieb.org.br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NG428"/>
  <sheetViews>
    <sheetView showGridLines="0" tabSelected="1" zoomScale="40" zoomScaleNormal="40" workbookViewId="0">
      <pane ySplit="5" topLeftCell="A268" activePane="bottomLeft" state="frozen"/>
      <selection pane="bottomLeft" activeCell="AE286" sqref="AE286:AE293"/>
    </sheetView>
  </sheetViews>
  <sheetFormatPr defaultColWidth="14.42578125" defaultRowHeight="15" customHeight="1" outlineLevelRow="1"/>
  <cols>
    <col min="1" max="1" width="4" customWidth="1"/>
    <col min="2" max="2" width="6" customWidth="1"/>
    <col min="3" max="33" width="9.42578125" customWidth="1"/>
    <col min="34" max="34" width="0.28515625" customWidth="1"/>
    <col min="35" max="35" width="9.140625" style="76" hidden="1" customWidth="1"/>
    <col min="36" max="203" width="7.7109375" hidden="1" customWidth="1"/>
    <col min="204" max="371" width="9.140625" hidden="1" customWidth="1"/>
    <col min="372" max="373" width="9.140625" customWidth="1"/>
  </cols>
  <sheetData>
    <row r="2" spans="1:35" ht="27" customHeight="1">
      <c r="A2" s="250" t="s">
        <v>0</v>
      </c>
      <c r="B2" s="283"/>
      <c r="C2" s="283"/>
      <c r="D2" s="251" t="s">
        <v>1</v>
      </c>
      <c r="E2" s="252"/>
      <c r="F2" s="252"/>
      <c r="G2" s="252"/>
      <c r="H2" s="252"/>
      <c r="I2" s="252"/>
      <c r="J2" s="252"/>
      <c r="K2" s="252"/>
      <c r="L2" s="253"/>
      <c r="M2" s="254" t="s">
        <v>2</v>
      </c>
      <c r="N2" s="284"/>
      <c r="O2" s="285"/>
      <c r="P2" s="1"/>
      <c r="Q2" s="1"/>
      <c r="R2" s="255" t="s">
        <v>3</v>
      </c>
      <c r="S2" s="283"/>
      <c r="T2" s="283"/>
      <c r="U2" s="283"/>
      <c r="V2" s="283"/>
      <c r="W2" s="283"/>
      <c r="X2" s="283"/>
      <c r="Y2" s="283"/>
      <c r="Z2" s="286"/>
      <c r="AA2" s="3"/>
      <c r="AB2" s="1"/>
      <c r="AC2" s="1"/>
      <c r="AD2" s="1"/>
      <c r="AE2" s="1"/>
      <c r="AF2" s="1"/>
      <c r="AG2" s="1"/>
      <c r="AH2" s="2"/>
      <c r="AI2" s="70"/>
    </row>
    <row r="3" spans="1:35" ht="27" customHeight="1">
      <c r="A3" s="250" t="s">
        <v>4</v>
      </c>
      <c r="B3" s="283"/>
      <c r="C3" s="283"/>
      <c r="D3" s="256" t="s">
        <v>5</v>
      </c>
      <c r="E3" s="257"/>
      <c r="F3" s="257"/>
      <c r="G3" s="257"/>
      <c r="H3" s="257"/>
      <c r="I3" s="257"/>
      <c r="J3" s="257"/>
      <c r="K3" s="257"/>
      <c r="L3" s="258"/>
      <c r="M3" s="259"/>
      <c r="N3" s="287"/>
      <c r="O3" s="288"/>
      <c r="P3" s="1"/>
      <c r="Q3" s="1"/>
      <c r="R3" s="83"/>
      <c r="S3" s="4" t="s">
        <v>6</v>
      </c>
      <c r="T3" s="1"/>
      <c r="U3" s="84"/>
      <c r="V3" s="4" t="s">
        <v>7</v>
      </c>
      <c r="W3" s="85"/>
      <c r="X3" s="86"/>
      <c r="Y3" s="4" t="s">
        <v>8</v>
      </c>
      <c r="Z3" s="87"/>
      <c r="AA3" s="5"/>
      <c r="AB3" s="1"/>
      <c r="AC3" s="1"/>
      <c r="AD3" s="1"/>
      <c r="AE3" s="1"/>
      <c r="AF3" s="1"/>
      <c r="AG3" s="1"/>
      <c r="AH3" s="2"/>
      <c r="AI3" s="70"/>
    </row>
    <row r="4" spans="1:35" ht="27" customHeight="1">
      <c r="A4" s="250" t="s">
        <v>9</v>
      </c>
      <c r="B4" s="283"/>
      <c r="C4" s="283"/>
      <c r="D4" s="260" t="s">
        <v>10</v>
      </c>
      <c r="E4" s="261"/>
      <c r="F4" s="261"/>
      <c r="G4" s="261"/>
      <c r="H4" s="261"/>
      <c r="I4" s="261"/>
      <c r="J4" s="261"/>
      <c r="K4" s="261"/>
      <c r="L4" s="262"/>
      <c r="M4" s="63"/>
      <c r="N4" s="64"/>
      <c r="O4" s="65"/>
      <c r="P4" s="1"/>
      <c r="Q4" s="1"/>
      <c r="R4" s="6"/>
      <c r="S4" s="7" t="s">
        <v>11</v>
      </c>
      <c r="T4" s="8"/>
      <c r="U4" s="9"/>
      <c r="V4" s="7" t="s">
        <v>12</v>
      </c>
      <c r="W4" s="88"/>
      <c r="X4" s="10"/>
      <c r="Y4" s="7" t="s">
        <v>13</v>
      </c>
      <c r="Z4" s="89"/>
      <c r="AA4" s="5"/>
      <c r="AB4" s="1"/>
      <c r="AC4" s="1"/>
      <c r="AD4" s="1"/>
      <c r="AE4" s="1"/>
      <c r="AF4" s="1"/>
      <c r="AG4" s="1"/>
      <c r="AH4" s="2"/>
      <c r="AI4" s="70"/>
    </row>
    <row r="5" spans="1:35" ht="6.75" customHeight="1">
      <c r="A5" s="11"/>
      <c r="B5" s="12"/>
      <c r="C5" s="13"/>
      <c r="D5" s="14"/>
      <c r="E5" s="15"/>
      <c r="F5" s="16"/>
      <c r="G5" s="17"/>
      <c r="H5" s="18"/>
      <c r="I5" s="19"/>
      <c r="J5" s="20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21"/>
      <c r="AI5" s="70"/>
    </row>
    <row r="6" spans="1:35" ht="15" customHeight="1">
      <c r="A6" s="22"/>
      <c r="B6" s="23"/>
      <c r="C6" s="4"/>
      <c r="D6" s="24"/>
      <c r="E6" s="25"/>
      <c r="F6" s="26"/>
      <c r="G6" s="1"/>
      <c r="H6" s="1"/>
      <c r="I6" s="27"/>
      <c r="J6" s="1"/>
      <c r="K6" s="26"/>
      <c r="L6" s="21"/>
      <c r="M6" s="13"/>
      <c r="N6" s="19"/>
      <c r="O6" s="21"/>
      <c r="P6" s="13"/>
      <c r="Q6" s="27"/>
      <c r="R6" s="28"/>
      <c r="S6" s="28"/>
      <c r="T6" s="28"/>
      <c r="U6" s="29"/>
      <c r="V6" s="26"/>
      <c r="W6" s="30"/>
      <c r="X6" s="1"/>
      <c r="Y6" s="1"/>
      <c r="Z6" s="1"/>
      <c r="AA6" s="1"/>
      <c r="AB6" s="1"/>
      <c r="AC6" s="1"/>
      <c r="AD6" s="1"/>
      <c r="AE6" s="1"/>
      <c r="AF6" s="1"/>
      <c r="AG6" s="1"/>
      <c r="AH6" s="21"/>
      <c r="AI6" s="70"/>
    </row>
    <row r="7" spans="1:35" ht="23.25" hidden="1" customHeight="1" outlineLevel="1">
      <c r="A7" s="218">
        <v>46023</v>
      </c>
      <c r="B7" s="219"/>
      <c r="C7" s="219"/>
      <c r="D7" s="219"/>
      <c r="E7" s="219"/>
      <c r="F7" s="219"/>
      <c r="G7" s="219"/>
      <c r="H7" s="219"/>
      <c r="I7" s="219"/>
      <c r="J7" s="219"/>
      <c r="K7" s="219"/>
      <c r="L7" s="219"/>
      <c r="M7" s="220"/>
      <c r="N7" s="213" t="s">
        <v>14</v>
      </c>
      <c r="O7" s="214"/>
      <c r="P7" s="214"/>
      <c r="Q7" s="214"/>
      <c r="R7" s="68">
        <v>21</v>
      </c>
      <c r="S7" s="212" t="s">
        <v>15</v>
      </c>
      <c r="T7" s="212"/>
      <c r="U7" s="212"/>
      <c r="V7" s="212"/>
      <c r="W7" s="69">
        <f>SUM(AI10:AI37)</f>
        <v>15</v>
      </c>
      <c r="X7" s="212" t="s">
        <v>16</v>
      </c>
      <c r="Y7" s="212"/>
      <c r="Z7" s="212"/>
      <c r="AA7" s="212"/>
      <c r="AB7" s="69">
        <f>IF($M$2="Mensalista",R7*8,IF($M$2="Horista",90,IF($M$2="Intermitente",(ROUNDDOWN((R7*8*0.909),0)),"")))</f>
        <v>168</v>
      </c>
      <c r="AC7" s="212" t="s">
        <v>17</v>
      </c>
      <c r="AD7" s="245"/>
      <c r="AE7" s="245"/>
      <c r="AF7" s="246">
        <f>IF($M$2="","",IF($M$2="RSA","",W7/AB7))</f>
        <v>8.9285714285714288E-2</v>
      </c>
      <c r="AG7" s="289"/>
      <c r="AH7" s="66"/>
      <c r="AI7" s="70"/>
    </row>
    <row r="8" spans="1:35" hidden="1" outlineLevel="1">
      <c r="A8" s="263"/>
      <c r="B8" s="290"/>
      <c r="C8" s="32">
        <f>A7</f>
        <v>46023</v>
      </c>
      <c r="D8" s="32">
        <f t="shared" ref="D8:AG8" si="0">C8+1</f>
        <v>46024</v>
      </c>
      <c r="E8" s="33">
        <f t="shared" si="0"/>
        <v>46025</v>
      </c>
      <c r="F8" s="34">
        <f t="shared" si="0"/>
        <v>46026</v>
      </c>
      <c r="G8" s="32">
        <f t="shared" si="0"/>
        <v>46027</v>
      </c>
      <c r="H8" s="32">
        <f t="shared" si="0"/>
        <v>46028</v>
      </c>
      <c r="I8" s="32">
        <f t="shared" si="0"/>
        <v>46029</v>
      </c>
      <c r="J8" s="32">
        <f t="shared" si="0"/>
        <v>46030</v>
      </c>
      <c r="K8" s="32">
        <f t="shared" si="0"/>
        <v>46031</v>
      </c>
      <c r="L8" s="33">
        <f t="shared" si="0"/>
        <v>46032</v>
      </c>
      <c r="M8" s="34">
        <f t="shared" si="0"/>
        <v>46033</v>
      </c>
      <c r="N8" s="62">
        <f t="shared" si="0"/>
        <v>46034</v>
      </c>
      <c r="O8" s="62">
        <f t="shared" si="0"/>
        <v>46035</v>
      </c>
      <c r="P8" s="62">
        <f t="shared" si="0"/>
        <v>46036</v>
      </c>
      <c r="Q8" s="62">
        <f t="shared" si="0"/>
        <v>46037</v>
      </c>
      <c r="R8" s="62">
        <f t="shared" si="0"/>
        <v>46038</v>
      </c>
      <c r="S8" s="33">
        <f t="shared" si="0"/>
        <v>46039</v>
      </c>
      <c r="T8" s="34">
        <f t="shared" si="0"/>
        <v>46040</v>
      </c>
      <c r="U8" s="32">
        <f t="shared" si="0"/>
        <v>46041</v>
      </c>
      <c r="V8" s="32">
        <f t="shared" si="0"/>
        <v>46042</v>
      </c>
      <c r="W8" s="62">
        <f t="shared" si="0"/>
        <v>46043</v>
      </c>
      <c r="X8" s="32">
        <f t="shared" si="0"/>
        <v>46044</v>
      </c>
      <c r="Y8" s="32">
        <f t="shared" si="0"/>
        <v>46045</v>
      </c>
      <c r="Z8" s="33">
        <f t="shared" si="0"/>
        <v>46046</v>
      </c>
      <c r="AA8" s="34">
        <f t="shared" si="0"/>
        <v>46047</v>
      </c>
      <c r="AB8" s="62">
        <f t="shared" si="0"/>
        <v>46048</v>
      </c>
      <c r="AC8" s="32">
        <f t="shared" si="0"/>
        <v>46049</v>
      </c>
      <c r="AD8" s="32">
        <f t="shared" si="0"/>
        <v>46050</v>
      </c>
      <c r="AE8" s="32">
        <f t="shared" si="0"/>
        <v>46051</v>
      </c>
      <c r="AF8" s="62">
        <f t="shared" si="0"/>
        <v>46052</v>
      </c>
      <c r="AG8" s="67">
        <f t="shared" si="0"/>
        <v>46053</v>
      </c>
      <c r="AH8" s="90"/>
      <c r="AI8" s="71"/>
    </row>
    <row r="9" spans="1:35" ht="15.6" hidden="1" outlineLevel="1">
      <c r="A9" s="291"/>
      <c r="B9" s="292"/>
      <c r="C9" s="91">
        <f>A7</f>
        <v>46023</v>
      </c>
      <c r="D9" s="91">
        <f t="shared" ref="D9:AG9" si="1">C9+1</f>
        <v>46024</v>
      </c>
      <c r="E9" s="35">
        <f t="shared" si="1"/>
        <v>46025</v>
      </c>
      <c r="F9" s="36">
        <f t="shared" si="1"/>
        <v>46026</v>
      </c>
      <c r="G9" s="91">
        <f t="shared" si="1"/>
        <v>46027</v>
      </c>
      <c r="H9" s="91">
        <f t="shared" si="1"/>
        <v>46028</v>
      </c>
      <c r="I9" s="91">
        <f t="shared" si="1"/>
        <v>46029</v>
      </c>
      <c r="J9" s="91">
        <f t="shared" si="1"/>
        <v>46030</v>
      </c>
      <c r="K9" s="91">
        <f t="shared" si="1"/>
        <v>46031</v>
      </c>
      <c r="L9" s="35">
        <f t="shared" si="1"/>
        <v>46032</v>
      </c>
      <c r="M9" s="36">
        <f t="shared" si="1"/>
        <v>46033</v>
      </c>
      <c r="N9" s="91">
        <f t="shared" si="1"/>
        <v>46034</v>
      </c>
      <c r="O9" s="91">
        <f t="shared" si="1"/>
        <v>46035</v>
      </c>
      <c r="P9" s="91">
        <f t="shared" si="1"/>
        <v>46036</v>
      </c>
      <c r="Q9" s="91">
        <f t="shared" si="1"/>
        <v>46037</v>
      </c>
      <c r="R9" s="91">
        <f t="shared" si="1"/>
        <v>46038</v>
      </c>
      <c r="S9" s="35">
        <f t="shared" si="1"/>
        <v>46039</v>
      </c>
      <c r="T9" s="36">
        <f t="shared" si="1"/>
        <v>46040</v>
      </c>
      <c r="U9" s="91">
        <f t="shared" si="1"/>
        <v>46041</v>
      </c>
      <c r="V9" s="91">
        <f t="shared" si="1"/>
        <v>46042</v>
      </c>
      <c r="W9" s="91">
        <f t="shared" si="1"/>
        <v>46043</v>
      </c>
      <c r="X9" s="91">
        <f t="shared" si="1"/>
        <v>46044</v>
      </c>
      <c r="Y9" s="91">
        <f t="shared" si="1"/>
        <v>46045</v>
      </c>
      <c r="Z9" s="35">
        <f t="shared" si="1"/>
        <v>46046</v>
      </c>
      <c r="AA9" s="36">
        <f t="shared" si="1"/>
        <v>46047</v>
      </c>
      <c r="AB9" s="91">
        <f t="shared" si="1"/>
        <v>46048</v>
      </c>
      <c r="AC9" s="91">
        <f t="shared" si="1"/>
        <v>46049</v>
      </c>
      <c r="AD9" s="91">
        <f t="shared" si="1"/>
        <v>46050</v>
      </c>
      <c r="AE9" s="91">
        <f t="shared" si="1"/>
        <v>46051</v>
      </c>
      <c r="AF9" s="91">
        <f t="shared" si="1"/>
        <v>46052</v>
      </c>
      <c r="AG9" s="35">
        <f t="shared" si="1"/>
        <v>46053</v>
      </c>
      <c r="AH9" s="92"/>
      <c r="AI9" s="70"/>
    </row>
    <row r="10" spans="1:35" ht="15" hidden="1" customHeight="1" outlineLevel="1">
      <c r="A10" s="222" t="s">
        <v>18</v>
      </c>
      <c r="B10" s="215" t="s">
        <v>19</v>
      </c>
      <c r="C10" s="211"/>
      <c r="D10" s="129"/>
      <c r="E10" s="38"/>
      <c r="F10" s="39"/>
      <c r="G10" s="114"/>
      <c r="H10" s="114"/>
      <c r="I10" s="114"/>
      <c r="J10" s="114"/>
      <c r="K10" s="114"/>
      <c r="L10" s="115"/>
      <c r="M10" s="116"/>
      <c r="N10" s="114"/>
      <c r="O10" s="114"/>
      <c r="P10" s="114"/>
      <c r="Q10" s="114"/>
      <c r="R10" s="114"/>
      <c r="S10" s="115"/>
      <c r="T10" s="116"/>
      <c r="U10" s="114"/>
      <c r="V10" s="114"/>
      <c r="W10" s="114"/>
      <c r="X10" s="114"/>
      <c r="Y10" s="114"/>
      <c r="Z10" s="115"/>
      <c r="AA10" s="39"/>
      <c r="AB10" s="37"/>
      <c r="AC10" s="37"/>
      <c r="AD10" s="37"/>
      <c r="AE10" s="37"/>
      <c r="AF10" s="37"/>
      <c r="AG10" s="38"/>
      <c r="AH10" s="93"/>
      <c r="AI10" s="71">
        <f>COUNTA($C10:$AG10)</f>
        <v>0</v>
      </c>
    </row>
    <row r="11" spans="1:35" ht="14.45" hidden="1" outlineLevel="1">
      <c r="A11" s="221"/>
      <c r="B11" s="293"/>
      <c r="C11" s="294"/>
      <c r="D11" s="130" t="str">
        <f t="shared" ref="D11:E11" si="2">IF(ISERROR(VLOOKUP(D10,$K$394:$W$428,9,FALSE)),"",VLOOKUP(D10,$K$394:$W$428,9,FALSE))</f>
        <v/>
      </c>
      <c r="E11" s="95" t="str">
        <f t="shared" si="2"/>
        <v/>
      </c>
      <c r="F11" s="96"/>
      <c r="G11" s="117" t="str">
        <f t="shared" ref="G11:L11" si="3">IF(ISERROR(VLOOKUP(G10,$K$394:$W$428,9,FALSE)),"",VLOOKUP(G10,$K$394:$W$428,9,FALSE))</f>
        <v/>
      </c>
      <c r="H11" s="117" t="str">
        <f t="shared" si="3"/>
        <v/>
      </c>
      <c r="I11" s="117" t="str">
        <f t="shared" si="3"/>
        <v/>
      </c>
      <c r="J11" s="117" t="str">
        <f t="shared" si="3"/>
        <v/>
      </c>
      <c r="K11" s="117" t="str">
        <f t="shared" si="3"/>
        <v/>
      </c>
      <c r="L11" s="118" t="str">
        <f t="shared" si="3"/>
        <v/>
      </c>
      <c r="M11" s="119"/>
      <c r="N11" s="117" t="str">
        <f t="shared" ref="N11:S11" si="4">IF(ISERROR(VLOOKUP(N10,$K$394:$W$428,9,FALSE)),"",VLOOKUP(N10,$K$394:$W$428,9,FALSE))</f>
        <v/>
      </c>
      <c r="O11" s="117" t="str">
        <f t="shared" si="4"/>
        <v/>
      </c>
      <c r="P11" s="117" t="str">
        <f t="shared" si="4"/>
        <v/>
      </c>
      <c r="Q11" s="117" t="str">
        <f t="shared" si="4"/>
        <v/>
      </c>
      <c r="R11" s="117" t="str">
        <f t="shared" si="4"/>
        <v/>
      </c>
      <c r="S11" s="118" t="str">
        <f t="shared" si="4"/>
        <v/>
      </c>
      <c r="T11" s="119"/>
      <c r="U11" s="117" t="str">
        <f t="shared" ref="U11:Z11" si="5">IF(ISERROR(VLOOKUP(U10,$K$394:$W$428,9,FALSE)),"",VLOOKUP(U10,$K$394:$W$428,9,FALSE))</f>
        <v/>
      </c>
      <c r="V11" s="117" t="str">
        <f t="shared" si="5"/>
        <v/>
      </c>
      <c r="W11" s="117" t="str">
        <f t="shared" si="5"/>
        <v/>
      </c>
      <c r="X11" s="117" t="str">
        <f t="shared" si="5"/>
        <v/>
      </c>
      <c r="Y11" s="117" t="str">
        <f t="shared" si="5"/>
        <v/>
      </c>
      <c r="Z11" s="118" t="str">
        <f t="shared" si="5"/>
        <v/>
      </c>
      <c r="AA11" s="96"/>
      <c r="AB11" s="94" t="str">
        <f t="shared" ref="AB11:AG11" si="6">IF(ISERROR(VLOOKUP(AB10,$K$394:$W$428,9,FALSE)),"",VLOOKUP(AB10,$K$394:$W$428,9,FALSE))</f>
        <v/>
      </c>
      <c r="AC11" s="94" t="str">
        <f t="shared" si="6"/>
        <v/>
      </c>
      <c r="AD11" s="94" t="str">
        <f t="shared" si="6"/>
        <v/>
      </c>
      <c r="AE11" s="94" t="str">
        <f t="shared" si="6"/>
        <v/>
      </c>
      <c r="AF11" s="94" t="str">
        <f t="shared" si="6"/>
        <v/>
      </c>
      <c r="AG11" s="95" t="str">
        <f t="shared" si="6"/>
        <v/>
      </c>
      <c r="AH11" s="97"/>
      <c r="AI11" s="71"/>
    </row>
    <row r="12" spans="1:35" ht="14.45" hidden="1" outlineLevel="1">
      <c r="A12" s="221"/>
      <c r="B12" s="216" t="s">
        <v>20</v>
      </c>
      <c r="C12" s="211"/>
      <c r="D12" s="129"/>
      <c r="E12" s="38"/>
      <c r="F12" s="39"/>
      <c r="G12" s="114"/>
      <c r="H12" s="114"/>
      <c r="I12" s="114"/>
      <c r="J12" s="114"/>
      <c r="K12" s="114"/>
      <c r="L12" s="115"/>
      <c r="M12" s="116"/>
      <c r="N12" s="114"/>
      <c r="O12" s="114"/>
      <c r="P12" s="114"/>
      <c r="Q12" s="114"/>
      <c r="R12" s="114"/>
      <c r="S12" s="115"/>
      <c r="T12" s="116"/>
      <c r="U12" s="114"/>
      <c r="V12" s="114"/>
      <c r="W12" s="114"/>
      <c r="X12" s="114"/>
      <c r="Y12" s="114"/>
      <c r="Z12" s="115"/>
      <c r="AA12" s="39"/>
      <c r="AB12" s="37"/>
      <c r="AC12" s="37"/>
      <c r="AD12" s="37"/>
      <c r="AE12" s="37"/>
      <c r="AF12" s="37"/>
      <c r="AG12" s="38"/>
      <c r="AH12" s="93"/>
      <c r="AI12" s="71">
        <f>COUNTA($C12:$AG12)</f>
        <v>0</v>
      </c>
    </row>
    <row r="13" spans="1:35" ht="14.45" hidden="1" outlineLevel="1">
      <c r="A13" s="221"/>
      <c r="B13" s="294"/>
      <c r="C13" s="294"/>
      <c r="D13" s="130" t="str">
        <f t="shared" ref="D13:E13" si="7">IF(ISERROR(VLOOKUP(D12,$K$394:$W$428,9,FALSE)),"",VLOOKUP(D12,$K$394:$W$428,9,FALSE))</f>
        <v/>
      </c>
      <c r="E13" s="95" t="str">
        <f t="shared" si="7"/>
        <v/>
      </c>
      <c r="F13" s="96"/>
      <c r="G13" s="117" t="str">
        <f t="shared" ref="G13:L13" si="8">IF(ISERROR(VLOOKUP(G12,$K$394:$W$428,9,FALSE)),"",VLOOKUP(G12,$K$394:$W$428,9,FALSE))</f>
        <v/>
      </c>
      <c r="H13" s="117" t="str">
        <f t="shared" si="8"/>
        <v/>
      </c>
      <c r="I13" s="117" t="str">
        <f t="shared" si="8"/>
        <v/>
      </c>
      <c r="J13" s="117" t="str">
        <f t="shared" si="8"/>
        <v/>
      </c>
      <c r="K13" s="117" t="str">
        <f t="shared" si="8"/>
        <v/>
      </c>
      <c r="L13" s="118" t="str">
        <f t="shared" si="8"/>
        <v/>
      </c>
      <c r="M13" s="119"/>
      <c r="N13" s="117" t="str">
        <f t="shared" ref="N13:S13" si="9">IF(ISERROR(VLOOKUP(N12,$K$394:$W$428,9,FALSE)),"",VLOOKUP(N12,$K$394:$W$428,9,FALSE))</f>
        <v/>
      </c>
      <c r="O13" s="117" t="str">
        <f t="shared" si="9"/>
        <v/>
      </c>
      <c r="P13" s="117" t="str">
        <f t="shared" si="9"/>
        <v/>
      </c>
      <c r="Q13" s="117" t="str">
        <f t="shared" si="9"/>
        <v/>
      </c>
      <c r="R13" s="117" t="str">
        <f t="shared" si="9"/>
        <v/>
      </c>
      <c r="S13" s="118" t="str">
        <f t="shared" si="9"/>
        <v/>
      </c>
      <c r="T13" s="119"/>
      <c r="U13" s="117" t="str">
        <f t="shared" ref="U13:Z13" si="10">IF(ISERROR(VLOOKUP(U12,$K$394:$W$428,9,FALSE)),"",VLOOKUP(U12,$K$394:$W$428,9,FALSE))</f>
        <v/>
      </c>
      <c r="V13" s="117" t="str">
        <f t="shared" si="10"/>
        <v/>
      </c>
      <c r="W13" s="117" t="str">
        <f t="shared" si="10"/>
        <v/>
      </c>
      <c r="X13" s="117" t="str">
        <f t="shared" si="10"/>
        <v/>
      </c>
      <c r="Y13" s="117" t="str">
        <f t="shared" si="10"/>
        <v/>
      </c>
      <c r="Z13" s="118" t="str">
        <f t="shared" si="10"/>
        <v/>
      </c>
      <c r="AA13" s="96"/>
      <c r="AB13" s="94" t="str">
        <f t="shared" ref="AB13:AG13" si="11">IF(ISERROR(VLOOKUP(AB12,$K$394:$W$428,9,FALSE)),"",VLOOKUP(AB12,$K$394:$W$428,9,FALSE))</f>
        <v/>
      </c>
      <c r="AC13" s="94" t="str">
        <f t="shared" si="11"/>
        <v/>
      </c>
      <c r="AD13" s="94" t="str">
        <f t="shared" si="11"/>
        <v/>
      </c>
      <c r="AE13" s="94" t="str">
        <f t="shared" si="11"/>
        <v/>
      </c>
      <c r="AF13" s="94" t="str">
        <f t="shared" si="11"/>
        <v/>
      </c>
      <c r="AG13" s="95" t="str">
        <f t="shared" si="11"/>
        <v/>
      </c>
      <c r="AH13" s="97"/>
      <c r="AI13" s="71"/>
    </row>
    <row r="14" spans="1:35" ht="14.45" hidden="1" outlineLevel="1">
      <c r="A14" s="221"/>
      <c r="B14" s="216" t="s">
        <v>21</v>
      </c>
      <c r="C14" s="211"/>
      <c r="D14" s="129"/>
      <c r="E14" s="38"/>
      <c r="F14" s="39"/>
      <c r="G14" s="114"/>
      <c r="H14" s="114"/>
      <c r="I14" s="114"/>
      <c r="J14" s="114"/>
      <c r="K14" s="114"/>
      <c r="L14" s="115"/>
      <c r="M14" s="116"/>
      <c r="N14" s="114"/>
      <c r="O14" s="114"/>
      <c r="P14" s="114"/>
      <c r="Q14" s="114"/>
      <c r="R14" s="114"/>
      <c r="S14" s="115"/>
      <c r="T14" s="116"/>
      <c r="U14" s="114"/>
      <c r="V14" s="114"/>
      <c r="W14" s="114"/>
      <c r="X14" s="114"/>
      <c r="Y14" s="114"/>
      <c r="Z14" s="115"/>
      <c r="AA14" s="39"/>
      <c r="AB14" s="37"/>
      <c r="AC14" s="37"/>
      <c r="AD14" s="37"/>
      <c r="AE14" s="37"/>
      <c r="AF14" s="37"/>
      <c r="AG14" s="38"/>
      <c r="AH14" s="93"/>
      <c r="AI14" s="71">
        <f>COUNTA($C14:$AG14)</f>
        <v>0</v>
      </c>
    </row>
    <row r="15" spans="1:35" ht="14.45" hidden="1" outlineLevel="1">
      <c r="A15" s="221"/>
      <c r="B15" s="294"/>
      <c r="C15" s="294"/>
      <c r="D15" s="131" t="str">
        <f t="shared" ref="D15:E15" si="12">IF(ISERROR(VLOOKUP(D14,$K$394:$W$428,9,FALSE)),"",VLOOKUP(D14,$K$394:$W$428,9,FALSE))</f>
        <v/>
      </c>
      <c r="E15" s="41" t="str">
        <f t="shared" si="12"/>
        <v/>
      </c>
      <c r="F15" s="42"/>
      <c r="G15" s="120" t="str">
        <f t="shared" ref="G15:L15" si="13">IF(ISERROR(VLOOKUP(G14,$K$394:$W$428,9,FALSE)),"",VLOOKUP(G14,$K$394:$W$428,9,FALSE))</f>
        <v/>
      </c>
      <c r="H15" s="120" t="str">
        <f t="shared" si="13"/>
        <v/>
      </c>
      <c r="I15" s="120" t="str">
        <f t="shared" si="13"/>
        <v/>
      </c>
      <c r="J15" s="120" t="str">
        <f t="shared" si="13"/>
        <v/>
      </c>
      <c r="K15" s="120" t="str">
        <f t="shared" si="13"/>
        <v/>
      </c>
      <c r="L15" s="121" t="str">
        <f t="shared" si="13"/>
        <v/>
      </c>
      <c r="M15" s="122"/>
      <c r="N15" s="120" t="str">
        <f t="shared" ref="N15:S15" si="14">IF(ISERROR(VLOOKUP(N14,$K$394:$W$428,9,FALSE)),"",VLOOKUP(N14,$K$394:$W$428,9,FALSE))</f>
        <v/>
      </c>
      <c r="O15" s="120" t="str">
        <f t="shared" si="14"/>
        <v/>
      </c>
      <c r="P15" s="120" t="str">
        <f t="shared" si="14"/>
        <v/>
      </c>
      <c r="Q15" s="120" t="str">
        <f t="shared" si="14"/>
        <v/>
      </c>
      <c r="R15" s="120" t="str">
        <f t="shared" si="14"/>
        <v/>
      </c>
      <c r="S15" s="121" t="str">
        <f t="shared" si="14"/>
        <v/>
      </c>
      <c r="T15" s="122"/>
      <c r="U15" s="120" t="str">
        <f t="shared" ref="U15:Z15" si="15">IF(ISERROR(VLOOKUP(U14,$K$394:$W$428,9,FALSE)),"",VLOOKUP(U14,$K$394:$W$428,9,FALSE))</f>
        <v/>
      </c>
      <c r="V15" s="120" t="str">
        <f t="shared" si="15"/>
        <v/>
      </c>
      <c r="W15" s="120" t="str">
        <f t="shared" si="15"/>
        <v/>
      </c>
      <c r="X15" s="120" t="str">
        <f t="shared" si="15"/>
        <v/>
      </c>
      <c r="Y15" s="120" t="str">
        <f t="shared" si="15"/>
        <v/>
      </c>
      <c r="Z15" s="121" t="str">
        <f t="shared" si="15"/>
        <v/>
      </c>
      <c r="AA15" s="42"/>
      <c r="AB15" s="40" t="str">
        <f t="shared" ref="AB15:AG15" si="16">IF(ISERROR(VLOOKUP(AB14,$K$394:$W$428,9,FALSE)),"",VLOOKUP(AB14,$K$394:$W$428,9,FALSE))</f>
        <v/>
      </c>
      <c r="AC15" s="40" t="str">
        <f t="shared" si="16"/>
        <v/>
      </c>
      <c r="AD15" s="40" t="str">
        <f t="shared" si="16"/>
        <v/>
      </c>
      <c r="AE15" s="40" t="str">
        <f t="shared" si="16"/>
        <v/>
      </c>
      <c r="AF15" s="40" t="str">
        <f t="shared" si="16"/>
        <v/>
      </c>
      <c r="AG15" s="41" t="str">
        <f t="shared" si="16"/>
        <v/>
      </c>
      <c r="AH15" s="97"/>
      <c r="AI15" s="71"/>
    </row>
    <row r="16" spans="1:35" ht="15" hidden="1" customHeight="1" outlineLevel="1">
      <c r="A16" s="221"/>
      <c r="B16" s="216" t="s">
        <v>22</v>
      </c>
      <c r="C16" s="211"/>
      <c r="D16" s="129"/>
      <c r="E16" s="38"/>
      <c r="F16" s="39"/>
      <c r="G16" s="114"/>
      <c r="H16" s="114"/>
      <c r="I16" s="114"/>
      <c r="J16" s="114"/>
      <c r="K16" s="114"/>
      <c r="L16" s="115"/>
      <c r="M16" s="116"/>
      <c r="N16" s="114"/>
      <c r="O16" s="114"/>
      <c r="P16" s="114"/>
      <c r="Q16" s="114"/>
      <c r="R16" s="114"/>
      <c r="S16" s="115"/>
      <c r="T16" s="116"/>
      <c r="U16" s="114"/>
      <c r="V16" s="114"/>
      <c r="W16" s="114"/>
      <c r="X16" s="114"/>
      <c r="Y16" s="114"/>
      <c r="Z16" s="115"/>
      <c r="AA16" s="39"/>
      <c r="AB16" s="37"/>
      <c r="AC16" s="37"/>
      <c r="AD16" s="37"/>
      <c r="AE16" s="37"/>
      <c r="AF16" s="37"/>
      <c r="AG16" s="38"/>
      <c r="AH16" s="93"/>
      <c r="AI16" s="71">
        <f>COUNTA($C16:$AG16)</f>
        <v>0</v>
      </c>
    </row>
    <row r="17" spans="1:35" ht="14.45" hidden="1" outlineLevel="1">
      <c r="A17" s="221"/>
      <c r="B17" s="294"/>
      <c r="C17" s="294"/>
      <c r="D17" s="130" t="str">
        <f t="shared" ref="D17:E17" si="17">IF(ISERROR(VLOOKUP(D16,$K$394:$W$428,9,FALSE)),"",VLOOKUP(D16,$K$394:$W$428,9,FALSE))</f>
        <v/>
      </c>
      <c r="E17" s="95" t="str">
        <f t="shared" si="17"/>
        <v/>
      </c>
      <c r="F17" s="96"/>
      <c r="G17" s="117" t="str">
        <f t="shared" ref="G17:L17" si="18">IF(ISERROR(VLOOKUP(G16,$K$394:$W$428,9,FALSE)),"",VLOOKUP(G16,$K$394:$W$428,9,FALSE))</f>
        <v/>
      </c>
      <c r="H17" s="117" t="str">
        <f t="shared" si="18"/>
        <v/>
      </c>
      <c r="I17" s="117" t="str">
        <f t="shared" si="18"/>
        <v/>
      </c>
      <c r="J17" s="117" t="str">
        <f t="shared" si="18"/>
        <v/>
      </c>
      <c r="K17" s="117" t="str">
        <f t="shared" si="18"/>
        <v/>
      </c>
      <c r="L17" s="118" t="str">
        <f t="shared" si="18"/>
        <v/>
      </c>
      <c r="M17" s="119"/>
      <c r="N17" s="117" t="str">
        <f t="shared" ref="N17:S17" si="19">IF(ISERROR(VLOOKUP(N16,$K$394:$W$428,9,FALSE)),"",VLOOKUP(N16,$K$394:$W$428,9,FALSE))</f>
        <v/>
      </c>
      <c r="O17" s="117" t="str">
        <f t="shared" si="19"/>
        <v/>
      </c>
      <c r="P17" s="117" t="str">
        <f t="shared" si="19"/>
        <v/>
      </c>
      <c r="Q17" s="117" t="str">
        <f t="shared" si="19"/>
        <v/>
      </c>
      <c r="R17" s="117" t="str">
        <f t="shared" si="19"/>
        <v/>
      </c>
      <c r="S17" s="118" t="str">
        <f t="shared" si="19"/>
        <v/>
      </c>
      <c r="T17" s="119"/>
      <c r="U17" s="117" t="str">
        <f t="shared" ref="U17:Z17" si="20">IF(ISERROR(VLOOKUP(U16,$K$394:$W$428,9,FALSE)),"",VLOOKUP(U16,$K$394:$W$428,9,FALSE))</f>
        <v/>
      </c>
      <c r="V17" s="117" t="str">
        <f t="shared" si="20"/>
        <v/>
      </c>
      <c r="W17" s="117" t="str">
        <f t="shared" si="20"/>
        <v/>
      </c>
      <c r="X17" s="117" t="str">
        <f t="shared" si="20"/>
        <v/>
      </c>
      <c r="Y17" s="117" t="str">
        <f t="shared" si="20"/>
        <v/>
      </c>
      <c r="Z17" s="118" t="str">
        <f t="shared" si="20"/>
        <v/>
      </c>
      <c r="AA17" s="96"/>
      <c r="AB17" s="94" t="str">
        <f t="shared" ref="AB17:AG17" si="21">IF(ISERROR(VLOOKUP(AB16,$K$394:$W$428,9,FALSE)),"",VLOOKUP(AB16,$K$394:$W$428,9,FALSE))</f>
        <v/>
      </c>
      <c r="AC17" s="94" t="str">
        <f t="shared" si="21"/>
        <v/>
      </c>
      <c r="AD17" s="94" t="str">
        <f t="shared" si="21"/>
        <v/>
      </c>
      <c r="AE17" s="94" t="str">
        <f t="shared" si="21"/>
        <v/>
      </c>
      <c r="AF17" s="94" t="str">
        <f t="shared" si="21"/>
        <v/>
      </c>
      <c r="AG17" s="95" t="str">
        <f t="shared" si="21"/>
        <v/>
      </c>
      <c r="AH17" s="97"/>
      <c r="AI17" s="71"/>
    </row>
    <row r="18" spans="1:35" ht="15" hidden="1" customHeight="1" outlineLevel="1">
      <c r="A18" s="221"/>
      <c r="B18" s="216" t="s">
        <v>23</v>
      </c>
      <c r="C18" s="211"/>
      <c r="D18" s="129"/>
      <c r="E18" s="38"/>
      <c r="F18" s="39"/>
      <c r="G18" s="114"/>
      <c r="H18" s="114"/>
      <c r="I18" s="114"/>
      <c r="J18" s="114"/>
      <c r="K18" s="114"/>
      <c r="L18" s="115"/>
      <c r="M18" s="116"/>
      <c r="N18" s="114"/>
      <c r="O18" s="114"/>
      <c r="P18" s="114"/>
      <c r="Q18" s="114"/>
      <c r="R18" s="114"/>
      <c r="S18" s="115"/>
      <c r="T18" s="116"/>
      <c r="U18" s="114"/>
      <c r="V18" s="114"/>
      <c r="W18" s="114"/>
      <c r="X18" s="114"/>
      <c r="Y18" s="114"/>
      <c r="Z18" s="115"/>
      <c r="AA18" s="39"/>
      <c r="AB18" s="37"/>
      <c r="AC18" s="37"/>
      <c r="AD18" s="37"/>
      <c r="AE18" s="37"/>
      <c r="AF18" s="37"/>
      <c r="AG18" s="38"/>
      <c r="AH18" s="93"/>
      <c r="AI18" s="71">
        <f>COUNTA($C18:$AG18)</f>
        <v>0</v>
      </c>
    </row>
    <row r="19" spans="1:35" ht="14.45" hidden="1" outlineLevel="1">
      <c r="A19" s="223"/>
      <c r="B19" s="294"/>
      <c r="C19" s="294"/>
      <c r="D19" s="130" t="str">
        <f t="shared" ref="D19:E19" si="22">IF(ISERROR(VLOOKUP(D18,$K$394:$W$428,9,FALSE)),"",VLOOKUP(D18,$K$394:$W$428,9,FALSE))</f>
        <v/>
      </c>
      <c r="E19" s="95" t="str">
        <f t="shared" si="22"/>
        <v/>
      </c>
      <c r="F19" s="96"/>
      <c r="G19" s="117" t="str">
        <f t="shared" ref="G19:L19" si="23">IF(ISERROR(VLOOKUP(G18,$K$394:$W$428,9,FALSE)),"",VLOOKUP(G18,$K$394:$W$428,9,FALSE))</f>
        <v/>
      </c>
      <c r="H19" s="117" t="str">
        <f t="shared" si="23"/>
        <v/>
      </c>
      <c r="I19" s="117" t="str">
        <f t="shared" si="23"/>
        <v/>
      </c>
      <c r="J19" s="117" t="str">
        <f t="shared" si="23"/>
        <v/>
      </c>
      <c r="K19" s="117" t="str">
        <f t="shared" si="23"/>
        <v/>
      </c>
      <c r="L19" s="118" t="str">
        <f t="shared" si="23"/>
        <v/>
      </c>
      <c r="M19" s="119"/>
      <c r="N19" s="117" t="str">
        <f t="shared" ref="N19:S19" si="24">IF(ISERROR(VLOOKUP(N18,$K$394:$W$428,9,FALSE)),"",VLOOKUP(N18,$K$394:$W$428,9,FALSE))</f>
        <v/>
      </c>
      <c r="O19" s="117" t="str">
        <f t="shared" si="24"/>
        <v/>
      </c>
      <c r="P19" s="117" t="str">
        <f t="shared" si="24"/>
        <v/>
      </c>
      <c r="Q19" s="117" t="str">
        <f t="shared" si="24"/>
        <v/>
      </c>
      <c r="R19" s="117" t="str">
        <f t="shared" si="24"/>
        <v/>
      </c>
      <c r="S19" s="118" t="str">
        <f t="shared" si="24"/>
        <v/>
      </c>
      <c r="T19" s="119"/>
      <c r="U19" s="117" t="str">
        <f t="shared" ref="U19:Z19" si="25">IF(ISERROR(VLOOKUP(U18,$K$394:$W$428,9,FALSE)),"",VLOOKUP(U18,$K$394:$W$428,9,FALSE))</f>
        <v/>
      </c>
      <c r="V19" s="117" t="str">
        <f t="shared" si="25"/>
        <v/>
      </c>
      <c r="W19" s="117" t="str">
        <f t="shared" si="25"/>
        <v/>
      </c>
      <c r="X19" s="117" t="str">
        <f t="shared" si="25"/>
        <v/>
      </c>
      <c r="Y19" s="117" t="str">
        <f t="shared" si="25"/>
        <v/>
      </c>
      <c r="Z19" s="118" t="str">
        <f t="shared" si="25"/>
        <v/>
      </c>
      <c r="AA19" s="96"/>
      <c r="AB19" s="94" t="str">
        <f t="shared" ref="AB19:AG19" si="26">IF(ISERROR(VLOOKUP(AB18,$K$394:$W$428,9,FALSE)),"",VLOOKUP(AB18,$K$394:$W$428,9,FALSE))</f>
        <v/>
      </c>
      <c r="AC19" s="94" t="str">
        <f t="shared" si="26"/>
        <v/>
      </c>
      <c r="AD19" s="94" t="str">
        <f t="shared" si="26"/>
        <v/>
      </c>
      <c r="AE19" s="94" t="str">
        <f t="shared" si="26"/>
        <v/>
      </c>
      <c r="AF19" s="94" t="str">
        <f t="shared" si="26"/>
        <v/>
      </c>
      <c r="AG19" s="95" t="str">
        <f t="shared" si="26"/>
        <v/>
      </c>
      <c r="AH19" s="97"/>
      <c r="AI19" s="71"/>
    </row>
    <row r="20" spans="1:35" ht="15" hidden="1" customHeight="1" outlineLevel="1">
      <c r="A20" s="221" t="s">
        <v>24</v>
      </c>
      <c r="B20" s="216" t="s">
        <v>19</v>
      </c>
      <c r="C20" s="211"/>
      <c r="D20" s="129"/>
      <c r="E20" s="38"/>
      <c r="F20" s="39"/>
      <c r="G20" s="114"/>
      <c r="H20" s="114"/>
      <c r="I20" s="114"/>
      <c r="J20" s="114"/>
      <c r="K20" s="114"/>
      <c r="L20" s="115"/>
      <c r="M20" s="116"/>
      <c r="N20" s="114"/>
      <c r="O20" s="114"/>
      <c r="P20" s="114"/>
      <c r="Q20" s="114"/>
      <c r="R20" s="114"/>
      <c r="S20" s="115"/>
      <c r="T20" s="116"/>
      <c r="U20" s="114"/>
      <c r="V20" s="114"/>
      <c r="W20" s="114"/>
      <c r="X20" s="114"/>
      <c r="Y20" s="114"/>
      <c r="Z20" s="115"/>
      <c r="AA20" s="39"/>
      <c r="AB20" s="37"/>
      <c r="AC20" s="37"/>
      <c r="AD20" s="37"/>
      <c r="AE20" s="37"/>
      <c r="AF20" s="37"/>
      <c r="AG20" s="38"/>
      <c r="AH20" s="93"/>
      <c r="AI20" s="71">
        <f>COUNTA($C20:$AG20)</f>
        <v>0</v>
      </c>
    </row>
    <row r="21" spans="1:35" ht="14.45" hidden="1" outlineLevel="1">
      <c r="A21" s="221"/>
      <c r="B21" s="293"/>
      <c r="C21" s="294"/>
      <c r="D21" s="130" t="str">
        <f t="shared" ref="D21:E21" si="27">IF(ISERROR(VLOOKUP(D20,$K$394:$W$428,9,FALSE)),"",VLOOKUP(D20,$K$394:$W$428,9,FALSE))</f>
        <v/>
      </c>
      <c r="E21" s="95" t="str">
        <f t="shared" si="27"/>
        <v/>
      </c>
      <c r="F21" s="96"/>
      <c r="G21" s="117" t="str">
        <f t="shared" ref="G21:L21" si="28">IF(ISERROR(VLOOKUP(G20,$K$394:$W$428,9,FALSE)),"",VLOOKUP(G20,$K$394:$W$428,9,FALSE))</f>
        <v/>
      </c>
      <c r="H21" s="117" t="str">
        <f t="shared" si="28"/>
        <v/>
      </c>
      <c r="I21" s="117" t="str">
        <f t="shared" si="28"/>
        <v/>
      </c>
      <c r="J21" s="117" t="str">
        <f t="shared" si="28"/>
        <v/>
      </c>
      <c r="K21" s="117" t="str">
        <f t="shared" si="28"/>
        <v/>
      </c>
      <c r="L21" s="118" t="str">
        <f t="shared" si="28"/>
        <v/>
      </c>
      <c r="M21" s="119"/>
      <c r="N21" s="117" t="str">
        <f t="shared" ref="N21:S21" si="29">IF(ISERROR(VLOOKUP(N20,$K$394:$W$428,9,FALSE)),"",VLOOKUP(N20,$K$394:$W$428,9,FALSE))</f>
        <v/>
      </c>
      <c r="O21" s="117" t="str">
        <f t="shared" si="29"/>
        <v/>
      </c>
      <c r="P21" s="117" t="str">
        <f t="shared" si="29"/>
        <v/>
      </c>
      <c r="Q21" s="117" t="str">
        <f t="shared" si="29"/>
        <v/>
      </c>
      <c r="R21" s="117" t="str">
        <f t="shared" si="29"/>
        <v/>
      </c>
      <c r="S21" s="118" t="str">
        <f t="shared" si="29"/>
        <v/>
      </c>
      <c r="T21" s="119"/>
      <c r="U21" s="117" t="str">
        <f t="shared" ref="U21:Z21" si="30">IF(ISERROR(VLOOKUP(U20,$K$394:$W$428,9,FALSE)),"",VLOOKUP(U20,$K$394:$W$428,9,FALSE))</f>
        <v/>
      </c>
      <c r="V21" s="117" t="str">
        <f t="shared" si="30"/>
        <v/>
      </c>
      <c r="W21" s="117" t="str">
        <f t="shared" si="30"/>
        <v/>
      </c>
      <c r="X21" s="117" t="str">
        <f t="shared" si="30"/>
        <v/>
      </c>
      <c r="Y21" s="117" t="str">
        <f t="shared" si="30"/>
        <v/>
      </c>
      <c r="Z21" s="118" t="str">
        <f t="shared" si="30"/>
        <v/>
      </c>
      <c r="AA21" s="96"/>
      <c r="AB21" s="94" t="str">
        <f t="shared" ref="AB21:AG21" si="31">IF(ISERROR(VLOOKUP(AB20,$K$394:$W$428,9,FALSE)),"",VLOOKUP(AB20,$K$394:$W$428,9,FALSE))</f>
        <v/>
      </c>
      <c r="AC21" s="94" t="str">
        <f t="shared" si="31"/>
        <v/>
      </c>
      <c r="AD21" s="94" t="str">
        <f t="shared" si="31"/>
        <v/>
      </c>
      <c r="AE21" s="94" t="str">
        <f t="shared" si="31"/>
        <v/>
      </c>
      <c r="AF21" s="94" t="str">
        <f t="shared" si="31"/>
        <v/>
      </c>
      <c r="AG21" s="95" t="str">
        <f t="shared" si="31"/>
        <v/>
      </c>
      <c r="AH21" s="97"/>
      <c r="AI21" s="71"/>
    </row>
    <row r="22" spans="1:35" ht="14.45" hidden="1" outlineLevel="1">
      <c r="A22" s="221"/>
      <c r="B22" s="216" t="s">
        <v>20</v>
      </c>
      <c r="C22" s="211"/>
      <c r="D22" s="129"/>
      <c r="E22" s="38"/>
      <c r="F22" s="39"/>
      <c r="G22" s="114"/>
      <c r="H22" s="114"/>
      <c r="I22" s="114"/>
      <c r="J22" s="114"/>
      <c r="K22" s="114"/>
      <c r="L22" s="115"/>
      <c r="M22" s="116"/>
      <c r="N22" s="114"/>
      <c r="O22" s="114"/>
      <c r="P22" s="114"/>
      <c r="Q22" s="114"/>
      <c r="R22" s="114"/>
      <c r="S22" s="115"/>
      <c r="T22" s="116"/>
      <c r="U22" s="114"/>
      <c r="V22" s="114"/>
      <c r="W22" s="114"/>
      <c r="X22" s="114"/>
      <c r="Y22" s="114"/>
      <c r="Z22" s="115"/>
      <c r="AA22" s="39"/>
      <c r="AB22" s="37"/>
      <c r="AC22" s="37"/>
      <c r="AD22" s="37"/>
      <c r="AE22" s="37"/>
      <c r="AF22" s="37"/>
      <c r="AG22" s="38"/>
      <c r="AH22" s="93"/>
      <c r="AI22" s="71">
        <f>COUNTA($C22:$AG22)</f>
        <v>0</v>
      </c>
    </row>
    <row r="23" spans="1:35" ht="15" hidden="1" customHeight="1" outlineLevel="1">
      <c r="A23" s="221"/>
      <c r="B23" s="294"/>
      <c r="C23" s="294"/>
      <c r="D23" s="131" t="str">
        <f t="shared" ref="D23:E23" si="32">IF(ISERROR(VLOOKUP(D22,$K$394:$W$428,9,FALSE)),"",VLOOKUP(D22,$K$394:$W$428,9,FALSE))</f>
        <v/>
      </c>
      <c r="E23" s="41" t="str">
        <f t="shared" si="32"/>
        <v/>
      </c>
      <c r="F23" s="42"/>
      <c r="G23" s="120" t="str">
        <f t="shared" ref="G23:L23" si="33">IF(ISERROR(VLOOKUP(G22,$K$394:$W$428,9,FALSE)),"",VLOOKUP(G22,$K$394:$W$428,9,FALSE))</f>
        <v/>
      </c>
      <c r="H23" s="120" t="str">
        <f t="shared" si="33"/>
        <v/>
      </c>
      <c r="I23" s="120" t="str">
        <f t="shared" si="33"/>
        <v/>
      </c>
      <c r="J23" s="120" t="str">
        <f t="shared" si="33"/>
        <v/>
      </c>
      <c r="K23" s="120" t="str">
        <f t="shared" si="33"/>
        <v/>
      </c>
      <c r="L23" s="121" t="str">
        <f t="shared" si="33"/>
        <v/>
      </c>
      <c r="M23" s="122"/>
      <c r="N23" s="120" t="str">
        <f t="shared" ref="N23:S23" si="34">IF(ISERROR(VLOOKUP(N22,$K$394:$W$428,9,FALSE)),"",VLOOKUP(N22,$K$394:$W$428,9,FALSE))</f>
        <v/>
      </c>
      <c r="O23" s="120" t="str">
        <f t="shared" si="34"/>
        <v/>
      </c>
      <c r="P23" s="120" t="str">
        <f t="shared" si="34"/>
        <v/>
      </c>
      <c r="Q23" s="120" t="str">
        <f t="shared" si="34"/>
        <v/>
      </c>
      <c r="R23" s="120" t="str">
        <f t="shared" si="34"/>
        <v/>
      </c>
      <c r="S23" s="121" t="str">
        <f t="shared" si="34"/>
        <v/>
      </c>
      <c r="T23" s="122"/>
      <c r="U23" s="120" t="str">
        <f t="shared" ref="U23:Z23" si="35">IF(ISERROR(VLOOKUP(U22,$K$394:$W$428,9,FALSE)),"",VLOOKUP(U22,$K$394:$W$428,9,FALSE))</f>
        <v/>
      </c>
      <c r="V23" s="120" t="str">
        <f t="shared" si="35"/>
        <v/>
      </c>
      <c r="W23" s="120" t="str">
        <f t="shared" si="35"/>
        <v/>
      </c>
      <c r="X23" s="120" t="str">
        <f t="shared" si="35"/>
        <v/>
      </c>
      <c r="Y23" s="120" t="str">
        <f t="shared" si="35"/>
        <v/>
      </c>
      <c r="Z23" s="121" t="str">
        <f t="shared" si="35"/>
        <v/>
      </c>
      <c r="AA23" s="42"/>
      <c r="AB23" s="40" t="str">
        <f t="shared" ref="AB23:AG23" si="36">IF(ISERROR(VLOOKUP(AB22,$K$394:$W$428,9,FALSE)),"",VLOOKUP(AB22,$K$394:$W$428,9,FALSE))</f>
        <v/>
      </c>
      <c r="AC23" s="40" t="str">
        <f t="shared" si="36"/>
        <v/>
      </c>
      <c r="AD23" s="40" t="str">
        <f t="shared" si="36"/>
        <v/>
      </c>
      <c r="AE23" s="40" t="str">
        <f t="shared" si="36"/>
        <v/>
      </c>
      <c r="AF23" s="40" t="str">
        <f t="shared" si="36"/>
        <v/>
      </c>
      <c r="AG23" s="41" t="str">
        <f t="shared" si="36"/>
        <v/>
      </c>
      <c r="AH23" s="97"/>
      <c r="AI23" s="71"/>
    </row>
    <row r="24" spans="1:35" ht="15" hidden="1" customHeight="1" outlineLevel="1">
      <c r="A24" s="221"/>
      <c r="B24" s="216" t="s">
        <v>21</v>
      </c>
      <c r="C24" s="211"/>
      <c r="D24" s="129"/>
      <c r="E24" s="38"/>
      <c r="F24" s="39"/>
      <c r="G24" s="114"/>
      <c r="H24" s="114"/>
      <c r="I24" s="114"/>
      <c r="J24" s="114"/>
      <c r="K24" s="114"/>
      <c r="L24" s="115"/>
      <c r="M24" s="116"/>
      <c r="N24" s="114"/>
      <c r="O24" s="114"/>
      <c r="P24" s="114"/>
      <c r="Q24" s="114"/>
      <c r="R24" s="114"/>
      <c r="S24" s="115"/>
      <c r="T24" s="116"/>
      <c r="U24" s="114"/>
      <c r="V24" s="114"/>
      <c r="W24" s="114"/>
      <c r="X24" s="114"/>
      <c r="Y24" s="114"/>
      <c r="Z24" s="115"/>
      <c r="AA24" s="39"/>
      <c r="AB24" s="37"/>
      <c r="AC24" s="37"/>
      <c r="AD24" s="37"/>
      <c r="AE24" s="37"/>
      <c r="AF24" s="37"/>
      <c r="AG24" s="38"/>
      <c r="AH24" s="93"/>
      <c r="AI24" s="71">
        <f>COUNTA($C24:$AG24)</f>
        <v>0</v>
      </c>
    </row>
    <row r="25" spans="1:35" ht="15" hidden="1" customHeight="1" outlineLevel="1">
      <c r="A25" s="221"/>
      <c r="B25" s="294"/>
      <c r="C25" s="294"/>
      <c r="D25" s="130" t="str">
        <f t="shared" ref="D25:E25" si="37">IF(ISERROR(VLOOKUP(D24,$K$394:$W$428,9,FALSE)),"",VLOOKUP(D24,$K$394:$W$428,9,FALSE))</f>
        <v/>
      </c>
      <c r="E25" s="95" t="str">
        <f t="shared" si="37"/>
        <v/>
      </c>
      <c r="F25" s="96"/>
      <c r="G25" s="117" t="str">
        <f t="shared" ref="G25:L25" si="38">IF(ISERROR(VLOOKUP(G24,$K$394:$W$428,9,FALSE)),"",VLOOKUP(G24,$K$394:$W$428,9,FALSE))</f>
        <v/>
      </c>
      <c r="H25" s="117" t="str">
        <f t="shared" si="38"/>
        <v/>
      </c>
      <c r="I25" s="117" t="str">
        <f t="shared" si="38"/>
        <v/>
      </c>
      <c r="J25" s="117" t="str">
        <f t="shared" si="38"/>
        <v/>
      </c>
      <c r="K25" s="117" t="str">
        <f t="shared" si="38"/>
        <v/>
      </c>
      <c r="L25" s="118" t="str">
        <f t="shared" si="38"/>
        <v/>
      </c>
      <c r="M25" s="119"/>
      <c r="N25" s="117" t="str">
        <f t="shared" ref="N25:S25" si="39">IF(ISERROR(VLOOKUP(N24,$K$394:$W$428,9,FALSE)),"",VLOOKUP(N24,$K$394:$W$428,9,FALSE))</f>
        <v/>
      </c>
      <c r="O25" s="117" t="str">
        <f t="shared" si="39"/>
        <v/>
      </c>
      <c r="P25" s="117" t="str">
        <f t="shared" si="39"/>
        <v/>
      </c>
      <c r="Q25" s="117" t="str">
        <f t="shared" si="39"/>
        <v/>
      </c>
      <c r="R25" s="117" t="str">
        <f t="shared" si="39"/>
        <v/>
      </c>
      <c r="S25" s="118" t="str">
        <f t="shared" si="39"/>
        <v/>
      </c>
      <c r="T25" s="119"/>
      <c r="U25" s="117" t="str">
        <f t="shared" ref="U25:Z25" si="40">IF(ISERROR(VLOOKUP(U24,$K$394:$W$428,9,FALSE)),"",VLOOKUP(U24,$K$394:$W$428,9,FALSE))</f>
        <v/>
      </c>
      <c r="V25" s="117" t="str">
        <f t="shared" si="40"/>
        <v/>
      </c>
      <c r="W25" s="117" t="str">
        <f t="shared" si="40"/>
        <v/>
      </c>
      <c r="X25" s="117" t="str">
        <f t="shared" si="40"/>
        <v/>
      </c>
      <c r="Y25" s="117" t="str">
        <f t="shared" si="40"/>
        <v/>
      </c>
      <c r="Z25" s="118" t="str">
        <f t="shared" si="40"/>
        <v/>
      </c>
      <c r="AA25" s="96"/>
      <c r="AB25" s="94" t="str">
        <f t="shared" ref="AB25:AG25" si="41">IF(ISERROR(VLOOKUP(AB24,$K$394:$W$428,9,FALSE)),"",VLOOKUP(AB24,$K$394:$W$428,9,FALSE))</f>
        <v/>
      </c>
      <c r="AC25" s="94" t="str">
        <f t="shared" si="41"/>
        <v/>
      </c>
      <c r="AD25" s="94" t="str">
        <f t="shared" si="41"/>
        <v/>
      </c>
      <c r="AE25" s="94" t="str">
        <f t="shared" si="41"/>
        <v/>
      </c>
      <c r="AF25" s="94" t="str">
        <f t="shared" si="41"/>
        <v/>
      </c>
      <c r="AG25" s="95" t="str">
        <f t="shared" si="41"/>
        <v/>
      </c>
      <c r="AH25" s="97"/>
      <c r="AI25" s="71"/>
    </row>
    <row r="26" spans="1:35" ht="15" hidden="1" customHeight="1" outlineLevel="1">
      <c r="A26" s="221"/>
      <c r="B26" s="216" t="s">
        <v>22</v>
      </c>
      <c r="C26" s="211"/>
      <c r="D26" s="129"/>
      <c r="E26" s="38"/>
      <c r="F26" s="39"/>
      <c r="G26" s="114"/>
      <c r="H26" s="114"/>
      <c r="I26" s="114"/>
      <c r="J26" s="114"/>
      <c r="K26" s="114"/>
      <c r="L26" s="115"/>
      <c r="M26" s="116"/>
      <c r="N26" s="114"/>
      <c r="O26" s="114"/>
      <c r="P26" s="114"/>
      <c r="Q26" s="114"/>
      <c r="R26" s="114"/>
      <c r="S26" s="115"/>
      <c r="T26" s="116"/>
      <c r="U26" s="114"/>
      <c r="V26" s="114"/>
      <c r="W26" s="114"/>
      <c r="X26" s="114"/>
      <c r="Y26" s="114"/>
      <c r="Z26" s="115"/>
      <c r="AA26" s="39"/>
      <c r="AB26" s="37"/>
      <c r="AC26" s="37"/>
      <c r="AD26" s="37"/>
      <c r="AE26" s="37"/>
      <c r="AF26" s="37"/>
      <c r="AG26" s="38"/>
      <c r="AH26" s="93"/>
      <c r="AI26" s="71">
        <f>COUNTA($C26:$AG26)</f>
        <v>0</v>
      </c>
    </row>
    <row r="27" spans="1:35" ht="15" hidden="1" customHeight="1" outlineLevel="1">
      <c r="A27" s="221"/>
      <c r="B27" s="294"/>
      <c r="C27" s="294"/>
      <c r="D27" s="130" t="str">
        <f t="shared" ref="D27:E27" si="42">IF(ISERROR(VLOOKUP(D26,$K$394:$W$428,9,FALSE)),"",VLOOKUP(D26,$K$394:$W$428,9,FALSE))</f>
        <v/>
      </c>
      <c r="E27" s="95" t="str">
        <f t="shared" si="42"/>
        <v/>
      </c>
      <c r="F27" s="96"/>
      <c r="G27" s="117" t="str">
        <f t="shared" ref="G27:L27" si="43">IF(ISERROR(VLOOKUP(G26,$K$394:$W$428,9,FALSE)),"",VLOOKUP(G26,$K$394:$W$428,9,FALSE))</f>
        <v/>
      </c>
      <c r="H27" s="117" t="str">
        <f t="shared" si="43"/>
        <v/>
      </c>
      <c r="I27" s="117" t="str">
        <f t="shared" si="43"/>
        <v/>
      </c>
      <c r="J27" s="117" t="str">
        <f t="shared" si="43"/>
        <v/>
      </c>
      <c r="K27" s="117" t="str">
        <f t="shared" si="43"/>
        <v/>
      </c>
      <c r="L27" s="118" t="str">
        <f t="shared" si="43"/>
        <v/>
      </c>
      <c r="M27" s="119"/>
      <c r="N27" s="117" t="str">
        <f t="shared" ref="N27:S27" si="44">IF(ISERROR(VLOOKUP(N26,$K$394:$W$428,9,FALSE)),"",VLOOKUP(N26,$K$394:$W$428,9,FALSE))</f>
        <v/>
      </c>
      <c r="O27" s="117" t="str">
        <f t="shared" si="44"/>
        <v/>
      </c>
      <c r="P27" s="117" t="str">
        <f t="shared" si="44"/>
        <v/>
      </c>
      <c r="Q27" s="117" t="str">
        <f t="shared" si="44"/>
        <v/>
      </c>
      <c r="R27" s="117" t="str">
        <f t="shared" si="44"/>
        <v/>
      </c>
      <c r="S27" s="118" t="str">
        <f t="shared" si="44"/>
        <v/>
      </c>
      <c r="T27" s="119"/>
      <c r="U27" s="117" t="str">
        <f t="shared" ref="U27:Z27" si="45">IF(ISERROR(VLOOKUP(U26,$K$394:$W$428,9,FALSE)),"",VLOOKUP(U26,$K$394:$W$428,9,FALSE))</f>
        <v/>
      </c>
      <c r="V27" s="117" t="str">
        <f t="shared" si="45"/>
        <v/>
      </c>
      <c r="W27" s="117" t="str">
        <f t="shared" si="45"/>
        <v/>
      </c>
      <c r="X27" s="117" t="str">
        <f t="shared" si="45"/>
        <v/>
      </c>
      <c r="Y27" s="117" t="str">
        <f t="shared" si="45"/>
        <v/>
      </c>
      <c r="Z27" s="118" t="str">
        <f t="shared" si="45"/>
        <v/>
      </c>
      <c r="AA27" s="96"/>
      <c r="AB27" s="94" t="str">
        <f t="shared" ref="AB27:AG27" si="46">IF(ISERROR(VLOOKUP(AB26,$K$394:$W$428,9,FALSE)),"",VLOOKUP(AB26,$K$394:$W$428,9,FALSE))</f>
        <v/>
      </c>
      <c r="AC27" s="94" t="str">
        <f t="shared" si="46"/>
        <v/>
      </c>
      <c r="AD27" s="94" t="str">
        <f t="shared" si="46"/>
        <v/>
      </c>
      <c r="AE27" s="94" t="str">
        <f t="shared" si="46"/>
        <v/>
      </c>
      <c r="AF27" s="94" t="str">
        <f t="shared" si="46"/>
        <v/>
      </c>
      <c r="AG27" s="95" t="str">
        <f t="shared" si="46"/>
        <v/>
      </c>
      <c r="AH27" s="97"/>
      <c r="AI27" s="71"/>
    </row>
    <row r="28" spans="1:35" ht="15" hidden="1" customHeight="1" outlineLevel="1">
      <c r="A28" s="221"/>
      <c r="B28" s="216" t="s">
        <v>23</v>
      </c>
      <c r="C28" s="211"/>
      <c r="D28" s="129"/>
      <c r="E28" s="38"/>
      <c r="F28" s="39"/>
      <c r="G28" s="114"/>
      <c r="H28" s="114"/>
      <c r="I28" s="114"/>
      <c r="J28" s="114"/>
      <c r="K28" s="114"/>
      <c r="L28" s="115"/>
      <c r="M28" s="116"/>
      <c r="N28" s="114"/>
      <c r="O28" s="114"/>
      <c r="P28" s="114"/>
      <c r="Q28" s="114"/>
      <c r="R28" s="114"/>
      <c r="S28" s="115"/>
      <c r="T28" s="116"/>
      <c r="U28" s="114"/>
      <c r="V28" s="114"/>
      <c r="W28" s="114"/>
      <c r="X28" s="114"/>
      <c r="Y28" s="114"/>
      <c r="Z28" s="115"/>
      <c r="AA28" s="39"/>
      <c r="AB28" s="37"/>
      <c r="AC28" s="37"/>
      <c r="AD28" s="37"/>
      <c r="AE28" s="37"/>
      <c r="AF28" s="37"/>
      <c r="AG28" s="38"/>
      <c r="AH28" s="93"/>
      <c r="AI28" s="71">
        <f>COUNTA($C28:$AG28)</f>
        <v>0</v>
      </c>
    </row>
    <row r="29" spans="1:35" ht="14.45" hidden="1" outlineLevel="1">
      <c r="A29" s="223"/>
      <c r="B29" s="294"/>
      <c r="C29" s="294"/>
      <c r="D29" s="130" t="str">
        <f t="shared" ref="D29:E29" si="47">IF(ISERROR(VLOOKUP(D28,$K$394:$W$428,9,FALSE)),"",VLOOKUP(D28,$K$394:$W$428,9,FALSE))</f>
        <v/>
      </c>
      <c r="E29" s="95" t="str">
        <f t="shared" si="47"/>
        <v/>
      </c>
      <c r="F29" s="96"/>
      <c r="G29" s="117" t="str">
        <f t="shared" ref="G29:L29" si="48">IF(ISERROR(VLOOKUP(G28,$K$394:$W$428,9,FALSE)),"",VLOOKUP(G28,$K$394:$W$428,9,FALSE))</f>
        <v/>
      </c>
      <c r="H29" s="117" t="str">
        <f t="shared" si="48"/>
        <v/>
      </c>
      <c r="I29" s="117" t="str">
        <f t="shared" si="48"/>
        <v/>
      </c>
      <c r="J29" s="117" t="str">
        <f t="shared" si="48"/>
        <v/>
      </c>
      <c r="K29" s="117" t="str">
        <f t="shared" si="48"/>
        <v/>
      </c>
      <c r="L29" s="118" t="str">
        <f t="shared" si="48"/>
        <v/>
      </c>
      <c r="M29" s="119"/>
      <c r="N29" s="117" t="str">
        <f t="shared" ref="N29:S29" si="49">IF(ISERROR(VLOOKUP(N28,$K$394:$W$428,9,FALSE)),"",VLOOKUP(N28,$K$394:$W$428,9,FALSE))</f>
        <v/>
      </c>
      <c r="O29" s="117" t="str">
        <f t="shared" si="49"/>
        <v/>
      </c>
      <c r="P29" s="117" t="str">
        <f t="shared" si="49"/>
        <v/>
      </c>
      <c r="Q29" s="117" t="str">
        <f t="shared" si="49"/>
        <v/>
      </c>
      <c r="R29" s="117" t="str">
        <f t="shared" si="49"/>
        <v/>
      </c>
      <c r="S29" s="118" t="str">
        <f t="shared" si="49"/>
        <v/>
      </c>
      <c r="T29" s="119"/>
      <c r="U29" s="117" t="str">
        <f t="shared" ref="U29:Z29" si="50">IF(ISERROR(VLOOKUP(U28,$K$394:$W$428,9,FALSE)),"",VLOOKUP(U28,$K$394:$W$428,9,FALSE))</f>
        <v/>
      </c>
      <c r="V29" s="117" t="str">
        <f t="shared" si="50"/>
        <v/>
      </c>
      <c r="W29" s="117" t="str">
        <f t="shared" si="50"/>
        <v/>
      </c>
      <c r="X29" s="117" t="str">
        <f t="shared" si="50"/>
        <v/>
      </c>
      <c r="Y29" s="117" t="str">
        <f t="shared" si="50"/>
        <v/>
      </c>
      <c r="Z29" s="118" t="str">
        <f t="shared" si="50"/>
        <v/>
      </c>
      <c r="AA29" s="96"/>
      <c r="AB29" s="94" t="str">
        <f t="shared" ref="AB29:AG29" si="51">IF(ISERROR(VLOOKUP(AB28,$K$394:$W$428,9,FALSE)),"",VLOOKUP(AB28,$K$394:$W$428,9,FALSE))</f>
        <v/>
      </c>
      <c r="AC29" s="94" t="str">
        <f t="shared" si="51"/>
        <v/>
      </c>
      <c r="AD29" s="94" t="str">
        <f t="shared" si="51"/>
        <v/>
      </c>
      <c r="AE29" s="94" t="str">
        <f t="shared" si="51"/>
        <v/>
      </c>
      <c r="AF29" s="94" t="str">
        <f t="shared" si="51"/>
        <v/>
      </c>
      <c r="AG29" s="95" t="str">
        <f t="shared" si="51"/>
        <v/>
      </c>
      <c r="AH29" s="97"/>
      <c r="AI29" s="71"/>
    </row>
    <row r="30" spans="1:35" ht="15" hidden="1" customHeight="1" outlineLevel="1">
      <c r="A30" s="221" t="s">
        <v>25</v>
      </c>
      <c r="B30" s="215" t="s">
        <v>19</v>
      </c>
      <c r="C30" s="211"/>
      <c r="D30" s="129"/>
      <c r="E30" s="38"/>
      <c r="F30" s="39"/>
      <c r="G30" s="114"/>
      <c r="H30" s="114"/>
      <c r="I30" s="114"/>
      <c r="J30" s="114"/>
      <c r="K30" s="114"/>
      <c r="L30" s="115"/>
      <c r="M30" s="116"/>
      <c r="N30" s="114"/>
      <c r="O30" s="114"/>
      <c r="P30" s="114"/>
      <c r="Q30" s="114"/>
      <c r="R30" s="114"/>
      <c r="S30" s="115"/>
      <c r="T30" s="116"/>
      <c r="U30" s="114"/>
      <c r="V30" s="114"/>
      <c r="W30" s="114"/>
      <c r="X30" s="114"/>
      <c r="Y30" s="114"/>
      <c r="Z30" s="115"/>
      <c r="AA30" s="39"/>
      <c r="AB30" s="104" t="s">
        <v>26</v>
      </c>
      <c r="AC30" s="104" t="s">
        <v>26</v>
      </c>
      <c r="AD30" s="104" t="s">
        <v>26</v>
      </c>
      <c r="AE30" s="104" t="s">
        <v>26</v>
      </c>
      <c r="AF30" s="104" t="s">
        <v>26</v>
      </c>
      <c r="AG30" s="38"/>
      <c r="AH30" s="93"/>
      <c r="AI30" s="71">
        <f>COUNTA($C30:$AG30)</f>
        <v>5</v>
      </c>
    </row>
    <row r="31" spans="1:35" ht="15" hidden="1" customHeight="1" outlineLevel="1">
      <c r="A31" s="293"/>
      <c r="B31" s="293"/>
      <c r="C31" s="294"/>
      <c r="D31" s="131" t="str">
        <f t="shared" ref="D31:E31" si="52">IF(ISERROR(VLOOKUP(D30,$K$394:$W$428,9,FALSE)),"",VLOOKUP(D30,$K$394:$W$428,9,FALSE))</f>
        <v/>
      </c>
      <c r="E31" s="41" t="str">
        <f t="shared" si="52"/>
        <v/>
      </c>
      <c r="F31" s="42"/>
      <c r="G31" s="120" t="str">
        <f t="shared" ref="G31:L31" si="53">IF(ISERROR(VLOOKUP(G30,$K$394:$W$428,9,FALSE)),"",VLOOKUP(G30,$K$394:$W$428,9,FALSE))</f>
        <v/>
      </c>
      <c r="H31" s="120" t="str">
        <f t="shared" si="53"/>
        <v/>
      </c>
      <c r="I31" s="120" t="str">
        <f t="shared" si="53"/>
        <v/>
      </c>
      <c r="J31" s="120" t="str">
        <f t="shared" si="53"/>
        <v/>
      </c>
      <c r="K31" s="120" t="str">
        <f t="shared" si="53"/>
        <v/>
      </c>
      <c r="L31" s="121" t="str">
        <f t="shared" si="53"/>
        <v/>
      </c>
      <c r="M31" s="122"/>
      <c r="N31" s="120" t="str">
        <f t="shared" ref="N31:S31" si="54">IF(ISERROR(VLOOKUP(N30,$K$394:$W$428,9,FALSE)),"",VLOOKUP(N30,$K$394:$W$428,9,FALSE))</f>
        <v/>
      </c>
      <c r="O31" s="120" t="str">
        <f t="shared" si="54"/>
        <v/>
      </c>
      <c r="P31" s="120" t="str">
        <f t="shared" si="54"/>
        <v/>
      </c>
      <c r="Q31" s="120" t="str">
        <f t="shared" si="54"/>
        <v/>
      </c>
      <c r="R31" s="120" t="str">
        <f t="shared" si="54"/>
        <v/>
      </c>
      <c r="S31" s="121" t="str">
        <f t="shared" si="54"/>
        <v/>
      </c>
      <c r="T31" s="122"/>
      <c r="U31" s="120" t="str">
        <f t="shared" ref="U31:Z31" si="55">IF(ISERROR(VLOOKUP(U30,$K$394:$W$428,9,FALSE)),"",VLOOKUP(U30,$K$394:$W$428,9,FALSE))</f>
        <v/>
      </c>
      <c r="V31" s="120" t="str">
        <f t="shared" si="55"/>
        <v/>
      </c>
      <c r="W31" s="120" t="str">
        <f t="shared" si="55"/>
        <v/>
      </c>
      <c r="X31" s="120" t="str">
        <f t="shared" si="55"/>
        <v/>
      </c>
      <c r="Y31" s="120" t="str">
        <f t="shared" si="55"/>
        <v/>
      </c>
      <c r="Z31" s="121" t="str">
        <f t="shared" si="55"/>
        <v/>
      </c>
      <c r="AA31" s="42"/>
      <c r="AB31" s="105" t="str">
        <f>IF(ISERROR(VLOOKUP(AB30,$K$394:$W$426,9,FALSE)),"",VLOOKUP(AB30,$K$394:$W$426,9,FALSE))</f>
        <v>2026.1</v>
      </c>
      <c r="AC31" s="105" t="str">
        <f t="shared" ref="AC31:AF31" si="56">IF(ISERROR(VLOOKUP(AC30,$K$394:$W$426,9,FALSE)),"",VLOOKUP(AC30,$K$394:$W$426,9,FALSE))</f>
        <v>2026.1</v>
      </c>
      <c r="AD31" s="105" t="str">
        <f t="shared" si="56"/>
        <v>2026.1</v>
      </c>
      <c r="AE31" s="105" t="str">
        <f t="shared" si="56"/>
        <v>2026.1</v>
      </c>
      <c r="AF31" s="105" t="str">
        <f t="shared" si="56"/>
        <v>2026.1</v>
      </c>
      <c r="AG31" s="41" t="str">
        <f t="shared" ref="AG31" si="57">IF(ISERROR(VLOOKUP(AG30,$K$394:$W$428,9,FALSE)),"",VLOOKUP(AG30,$K$394:$W$428,9,FALSE))</f>
        <v/>
      </c>
      <c r="AH31" s="97"/>
      <c r="AI31" s="71"/>
    </row>
    <row r="32" spans="1:35" ht="15" hidden="1" customHeight="1" outlineLevel="1">
      <c r="A32" s="293"/>
      <c r="B32" s="216" t="s">
        <v>20</v>
      </c>
      <c r="C32" s="211"/>
      <c r="D32" s="129"/>
      <c r="E32" s="38"/>
      <c r="F32" s="39"/>
      <c r="G32" s="114"/>
      <c r="H32" s="114"/>
      <c r="I32" s="114"/>
      <c r="J32" s="114"/>
      <c r="K32" s="114"/>
      <c r="L32" s="115"/>
      <c r="M32" s="116"/>
      <c r="N32" s="114"/>
      <c r="O32" s="114"/>
      <c r="P32" s="114"/>
      <c r="Q32" s="114"/>
      <c r="R32" s="114"/>
      <c r="S32" s="115"/>
      <c r="T32" s="116"/>
      <c r="U32" s="114"/>
      <c r="V32" s="114"/>
      <c r="W32" s="114"/>
      <c r="X32" s="114"/>
      <c r="Y32" s="114"/>
      <c r="Z32" s="115"/>
      <c r="AA32" s="39"/>
      <c r="AB32" s="104" t="s">
        <v>26</v>
      </c>
      <c r="AC32" s="104" t="s">
        <v>26</v>
      </c>
      <c r="AD32" s="104" t="s">
        <v>26</v>
      </c>
      <c r="AE32" s="104" t="s">
        <v>26</v>
      </c>
      <c r="AF32" s="104" t="s">
        <v>26</v>
      </c>
      <c r="AG32" s="38"/>
      <c r="AH32" s="93"/>
      <c r="AI32" s="71">
        <f>COUNTA($C32:$AG32)</f>
        <v>5</v>
      </c>
    </row>
    <row r="33" spans="1:35" ht="15" hidden="1" customHeight="1" outlineLevel="1">
      <c r="A33" s="293"/>
      <c r="B33" s="294"/>
      <c r="C33" s="294"/>
      <c r="D33" s="130" t="str">
        <f t="shared" ref="D33:E33" si="58">IF(ISERROR(VLOOKUP(D32,$K$394:$W$428,9,FALSE)),"",VLOOKUP(D32,$K$394:$W$428,9,FALSE))</f>
        <v/>
      </c>
      <c r="E33" s="95" t="str">
        <f t="shared" si="58"/>
        <v/>
      </c>
      <c r="F33" s="96"/>
      <c r="G33" s="117" t="str">
        <f t="shared" ref="G33:L33" si="59">IF(ISERROR(VLOOKUP(G32,$K$394:$W$428,9,FALSE)),"",VLOOKUP(G32,$K$394:$W$428,9,FALSE))</f>
        <v/>
      </c>
      <c r="H33" s="117" t="str">
        <f t="shared" si="59"/>
        <v/>
      </c>
      <c r="I33" s="117" t="str">
        <f t="shared" si="59"/>
        <v/>
      </c>
      <c r="J33" s="117" t="str">
        <f t="shared" si="59"/>
        <v/>
      </c>
      <c r="K33" s="117" t="str">
        <f t="shared" si="59"/>
        <v/>
      </c>
      <c r="L33" s="118" t="str">
        <f t="shared" si="59"/>
        <v/>
      </c>
      <c r="M33" s="119"/>
      <c r="N33" s="117" t="str">
        <f t="shared" ref="N33:S33" si="60">IF(ISERROR(VLOOKUP(N32,$K$394:$W$428,9,FALSE)),"",VLOOKUP(N32,$K$394:$W$428,9,FALSE))</f>
        <v/>
      </c>
      <c r="O33" s="117" t="str">
        <f t="shared" si="60"/>
        <v/>
      </c>
      <c r="P33" s="117" t="str">
        <f t="shared" si="60"/>
        <v/>
      </c>
      <c r="Q33" s="117" t="str">
        <f t="shared" si="60"/>
        <v/>
      </c>
      <c r="R33" s="117" t="str">
        <f t="shared" si="60"/>
        <v/>
      </c>
      <c r="S33" s="118" t="str">
        <f t="shared" si="60"/>
        <v/>
      </c>
      <c r="T33" s="119"/>
      <c r="U33" s="117" t="str">
        <f t="shared" ref="U33:Z33" si="61">IF(ISERROR(VLOOKUP(U32,$K$394:$W$428,9,FALSE)),"",VLOOKUP(U32,$K$394:$W$428,9,FALSE))</f>
        <v/>
      </c>
      <c r="V33" s="117" t="str">
        <f t="shared" si="61"/>
        <v/>
      </c>
      <c r="W33" s="117" t="str">
        <f t="shared" si="61"/>
        <v/>
      </c>
      <c r="X33" s="117" t="str">
        <f t="shared" si="61"/>
        <v/>
      </c>
      <c r="Y33" s="117" t="str">
        <f t="shared" si="61"/>
        <v/>
      </c>
      <c r="Z33" s="118" t="str">
        <f t="shared" si="61"/>
        <v/>
      </c>
      <c r="AA33" s="96"/>
      <c r="AB33" s="105" t="str">
        <f t="shared" ref="AB33:AF33" si="62">IF(ISERROR(VLOOKUP(AB32,$K$394:$W$426,9,FALSE)),"",VLOOKUP(AB32,$K$394:$W$426,9,FALSE))</f>
        <v>2026.1</v>
      </c>
      <c r="AC33" s="105" t="str">
        <f t="shared" si="62"/>
        <v>2026.1</v>
      </c>
      <c r="AD33" s="105" t="str">
        <f t="shared" si="62"/>
        <v>2026.1</v>
      </c>
      <c r="AE33" s="105" t="str">
        <f t="shared" si="62"/>
        <v>2026.1</v>
      </c>
      <c r="AF33" s="105" t="str">
        <f t="shared" si="62"/>
        <v>2026.1</v>
      </c>
      <c r="AG33" s="95" t="str">
        <f t="shared" ref="AG33" si="63">IF(ISERROR(VLOOKUP(AG32,$K$394:$W$428,9,FALSE)),"",VLOOKUP(AG32,$K$394:$W$428,9,FALSE))</f>
        <v/>
      </c>
      <c r="AH33" s="97"/>
      <c r="AI33" s="71"/>
    </row>
    <row r="34" spans="1:35" ht="15" hidden="1" customHeight="1" outlineLevel="1">
      <c r="A34" s="293"/>
      <c r="B34" s="216" t="s">
        <v>21</v>
      </c>
      <c r="C34" s="211"/>
      <c r="D34" s="129"/>
      <c r="E34" s="38"/>
      <c r="F34" s="39"/>
      <c r="G34" s="114"/>
      <c r="H34" s="114"/>
      <c r="I34" s="114"/>
      <c r="J34" s="114"/>
      <c r="K34" s="114"/>
      <c r="L34" s="115"/>
      <c r="M34" s="116"/>
      <c r="N34" s="114"/>
      <c r="O34" s="114"/>
      <c r="P34" s="114"/>
      <c r="Q34" s="114"/>
      <c r="R34" s="114"/>
      <c r="S34" s="115"/>
      <c r="T34" s="116"/>
      <c r="U34" s="114"/>
      <c r="V34" s="114"/>
      <c r="W34" s="114"/>
      <c r="X34" s="114"/>
      <c r="Y34" s="114"/>
      <c r="Z34" s="115"/>
      <c r="AA34" s="39"/>
      <c r="AB34" s="104" t="s">
        <v>26</v>
      </c>
      <c r="AC34" s="104" t="s">
        <v>26</v>
      </c>
      <c r="AD34" s="104" t="s">
        <v>26</v>
      </c>
      <c r="AE34" s="104" t="s">
        <v>26</v>
      </c>
      <c r="AF34" s="104" t="s">
        <v>26</v>
      </c>
      <c r="AG34" s="38"/>
      <c r="AH34" s="93"/>
      <c r="AI34" s="71">
        <f>COUNTA($C34:$AG34)</f>
        <v>5</v>
      </c>
    </row>
    <row r="35" spans="1:35" ht="15" hidden="1" customHeight="1" outlineLevel="1">
      <c r="A35" s="293"/>
      <c r="B35" s="294"/>
      <c r="C35" s="294"/>
      <c r="D35" s="131" t="str">
        <f t="shared" ref="D35:E35" si="64">IF(ISERROR(VLOOKUP(D34,$K$394:$W$428,9,FALSE)),"",VLOOKUP(D34,$K$394:$W$428,9,FALSE))</f>
        <v/>
      </c>
      <c r="E35" s="41" t="str">
        <f t="shared" si="64"/>
        <v/>
      </c>
      <c r="F35" s="42"/>
      <c r="G35" s="120" t="str">
        <f t="shared" ref="G35:L35" si="65">IF(ISERROR(VLOOKUP(G34,$K$394:$W$428,9,FALSE)),"",VLOOKUP(G34,$K$394:$W$428,9,FALSE))</f>
        <v/>
      </c>
      <c r="H35" s="120" t="str">
        <f t="shared" si="65"/>
        <v/>
      </c>
      <c r="I35" s="120" t="str">
        <f t="shared" si="65"/>
        <v/>
      </c>
      <c r="J35" s="120" t="str">
        <f t="shared" si="65"/>
        <v/>
      </c>
      <c r="K35" s="120" t="str">
        <f t="shared" si="65"/>
        <v/>
      </c>
      <c r="L35" s="121" t="str">
        <f t="shared" si="65"/>
        <v/>
      </c>
      <c r="M35" s="122"/>
      <c r="N35" s="120" t="str">
        <f t="shared" ref="N35:S35" si="66">IF(ISERROR(VLOOKUP(N34,$K$394:$W$428,9,FALSE)),"",VLOOKUP(N34,$K$394:$W$428,9,FALSE))</f>
        <v/>
      </c>
      <c r="O35" s="120" t="str">
        <f t="shared" si="66"/>
        <v/>
      </c>
      <c r="P35" s="120" t="str">
        <f t="shared" si="66"/>
        <v/>
      </c>
      <c r="Q35" s="120" t="str">
        <f t="shared" si="66"/>
        <v/>
      </c>
      <c r="R35" s="120" t="str">
        <f t="shared" si="66"/>
        <v/>
      </c>
      <c r="S35" s="121" t="str">
        <f t="shared" si="66"/>
        <v/>
      </c>
      <c r="T35" s="122"/>
      <c r="U35" s="120" t="str">
        <f t="shared" ref="U35:Z35" si="67">IF(ISERROR(VLOOKUP(U34,$K$394:$W$428,9,FALSE)),"",VLOOKUP(U34,$K$394:$W$428,9,FALSE))</f>
        <v/>
      </c>
      <c r="V35" s="120" t="str">
        <f t="shared" si="67"/>
        <v/>
      </c>
      <c r="W35" s="120" t="str">
        <f t="shared" si="67"/>
        <v/>
      </c>
      <c r="X35" s="120" t="str">
        <f t="shared" si="67"/>
        <v/>
      </c>
      <c r="Y35" s="120" t="str">
        <f t="shared" si="67"/>
        <v/>
      </c>
      <c r="Z35" s="121" t="str">
        <f t="shared" si="67"/>
        <v/>
      </c>
      <c r="AA35" s="42"/>
      <c r="AB35" s="105" t="str">
        <f t="shared" ref="AB35:AF35" si="68">IF(ISERROR(VLOOKUP(AB34,$K$394:$W$426,9,FALSE)),"",VLOOKUP(AB34,$K$394:$W$426,9,FALSE))</f>
        <v>2026.1</v>
      </c>
      <c r="AC35" s="105" t="str">
        <f t="shared" si="68"/>
        <v>2026.1</v>
      </c>
      <c r="AD35" s="105" t="str">
        <f t="shared" si="68"/>
        <v>2026.1</v>
      </c>
      <c r="AE35" s="105" t="str">
        <f t="shared" si="68"/>
        <v>2026.1</v>
      </c>
      <c r="AF35" s="105" t="str">
        <f t="shared" si="68"/>
        <v>2026.1</v>
      </c>
      <c r="AG35" s="41" t="str">
        <f t="shared" ref="AG35" si="69">IF(ISERROR(VLOOKUP(AG34,$K$394:$W$428,9,FALSE)),"",VLOOKUP(AG34,$K$394:$W$428,9,FALSE))</f>
        <v/>
      </c>
      <c r="AH35" s="97"/>
      <c r="AI35" s="71"/>
    </row>
    <row r="36" spans="1:35" ht="15" hidden="1" customHeight="1" outlineLevel="1">
      <c r="A36" s="293"/>
      <c r="B36" s="215" t="s">
        <v>22</v>
      </c>
      <c r="C36" s="211"/>
      <c r="D36" s="132"/>
      <c r="E36" s="99"/>
      <c r="F36" s="100"/>
      <c r="G36" s="123"/>
      <c r="H36" s="123"/>
      <c r="I36" s="123"/>
      <c r="J36" s="123"/>
      <c r="K36" s="123"/>
      <c r="L36" s="124"/>
      <c r="M36" s="125"/>
      <c r="N36" s="123"/>
      <c r="O36" s="123"/>
      <c r="P36" s="123"/>
      <c r="Q36" s="123"/>
      <c r="R36" s="123"/>
      <c r="S36" s="124"/>
      <c r="T36" s="125"/>
      <c r="U36" s="123"/>
      <c r="V36" s="123"/>
      <c r="W36" s="123"/>
      <c r="X36" s="123"/>
      <c r="Y36" s="123"/>
      <c r="Z36" s="124"/>
      <c r="AA36" s="100"/>
      <c r="AB36" s="98"/>
      <c r="AC36" s="98"/>
      <c r="AD36" s="98"/>
      <c r="AE36" s="98"/>
      <c r="AF36" s="98"/>
      <c r="AG36" s="99"/>
      <c r="AH36" s="93"/>
      <c r="AI36" s="71">
        <f>COUNTA($C36:$AG36)</f>
        <v>0</v>
      </c>
    </row>
    <row r="37" spans="1:35" ht="15" hidden="1" customHeight="1" outlineLevel="1">
      <c r="A37" s="295"/>
      <c r="B37" s="295"/>
      <c r="C37" s="295"/>
      <c r="D37" s="133" t="str">
        <f t="shared" ref="D37:E37" si="70">IF(ISERROR(VLOOKUP(D36,$K$394:$W$428,9,FALSE)),"",VLOOKUP(D36,$K$394:$W$428,9,FALSE))</f>
        <v/>
      </c>
      <c r="E37" s="44" t="str">
        <f t="shared" si="70"/>
        <v/>
      </c>
      <c r="F37" s="45"/>
      <c r="G37" s="126" t="str">
        <f t="shared" ref="G37:L37" si="71">IF(ISERROR(VLOOKUP(G36,$K$394:$W$428,9,FALSE)),"",VLOOKUP(G36,$K$394:$W$428,9,FALSE))</f>
        <v/>
      </c>
      <c r="H37" s="126" t="str">
        <f t="shared" si="71"/>
        <v/>
      </c>
      <c r="I37" s="126" t="str">
        <f t="shared" si="71"/>
        <v/>
      </c>
      <c r="J37" s="126" t="str">
        <f t="shared" si="71"/>
        <v/>
      </c>
      <c r="K37" s="126" t="str">
        <f t="shared" si="71"/>
        <v/>
      </c>
      <c r="L37" s="127" t="str">
        <f t="shared" si="71"/>
        <v/>
      </c>
      <c r="M37" s="128"/>
      <c r="N37" s="126" t="str">
        <f t="shared" ref="N37:S37" si="72">IF(ISERROR(VLOOKUP(N36,$K$394:$W$428,9,FALSE)),"",VLOOKUP(N36,$K$394:$W$428,9,FALSE))</f>
        <v/>
      </c>
      <c r="O37" s="126" t="str">
        <f t="shared" si="72"/>
        <v/>
      </c>
      <c r="P37" s="126" t="str">
        <f t="shared" si="72"/>
        <v/>
      </c>
      <c r="Q37" s="126" t="str">
        <f t="shared" si="72"/>
        <v/>
      </c>
      <c r="R37" s="126" t="str">
        <f t="shared" si="72"/>
        <v/>
      </c>
      <c r="S37" s="127" t="str">
        <f t="shared" si="72"/>
        <v/>
      </c>
      <c r="T37" s="128"/>
      <c r="U37" s="126" t="str">
        <f t="shared" ref="U37:Z37" si="73">IF(ISERROR(VLOOKUP(U36,$K$394:$W$428,9,FALSE)),"",VLOOKUP(U36,$K$394:$W$428,9,FALSE))</f>
        <v/>
      </c>
      <c r="V37" s="126" t="str">
        <f t="shared" si="73"/>
        <v/>
      </c>
      <c r="W37" s="126" t="str">
        <f t="shared" si="73"/>
        <v/>
      </c>
      <c r="X37" s="126" t="str">
        <f t="shared" si="73"/>
        <v/>
      </c>
      <c r="Y37" s="126" t="str">
        <f t="shared" si="73"/>
        <v/>
      </c>
      <c r="Z37" s="127" t="str">
        <f t="shared" si="73"/>
        <v/>
      </c>
      <c r="AA37" s="45"/>
      <c r="AB37" s="43" t="str">
        <f t="shared" ref="AB37:AG37" si="74">IF(ISERROR(VLOOKUP(AB36,$K$394:$W$428,9,FALSE)),"",VLOOKUP(AB36,$K$394:$W$428,9,FALSE))</f>
        <v/>
      </c>
      <c r="AC37" s="43" t="str">
        <f t="shared" si="74"/>
        <v/>
      </c>
      <c r="AD37" s="43" t="str">
        <f t="shared" si="74"/>
        <v/>
      </c>
      <c r="AE37" s="43" t="str">
        <f t="shared" si="74"/>
        <v/>
      </c>
      <c r="AF37" s="43" t="str">
        <f t="shared" si="74"/>
        <v/>
      </c>
      <c r="AG37" s="44" t="str">
        <f t="shared" si="74"/>
        <v/>
      </c>
      <c r="AH37" s="97"/>
      <c r="AI37" s="71"/>
    </row>
    <row r="38" spans="1:35" ht="15" hidden="1" customHeight="1" collapsed="1">
      <c r="A38" s="46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21"/>
      <c r="AI38" s="70"/>
    </row>
    <row r="39" spans="1:35" ht="23.25" hidden="1" customHeight="1" outlineLevel="1">
      <c r="A39" s="218">
        <f>A7+31</f>
        <v>46054</v>
      </c>
      <c r="B39" s="219"/>
      <c r="C39" s="219"/>
      <c r="D39" s="219"/>
      <c r="E39" s="219"/>
      <c r="F39" s="219"/>
      <c r="G39" s="219"/>
      <c r="H39" s="219"/>
      <c r="I39" s="219"/>
      <c r="J39" s="219"/>
      <c r="K39" s="219"/>
      <c r="L39" s="219"/>
      <c r="M39" s="220"/>
      <c r="N39" s="213" t="s">
        <v>14</v>
      </c>
      <c r="O39" s="214"/>
      <c r="P39" s="214"/>
      <c r="Q39" s="214"/>
      <c r="R39" s="68">
        <v>16</v>
      </c>
      <c r="S39" s="212" t="s">
        <v>15</v>
      </c>
      <c r="T39" s="212"/>
      <c r="U39" s="212"/>
      <c r="V39" s="212"/>
      <c r="W39" s="69">
        <f>SUM(AI42:AI69)</f>
        <v>65</v>
      </c>
      <c r="X39" s="212" t="s">
        <v>16</v>
      </c>
      <c r="Y39" s="212"/>
      <c r="Z39" s="212"/>
      <c r="AA39" s="212"/>
      <c r="AB39" s="69">
        <f>IF($M$2="Mensalista",R39*8,IF($M$2="Horista",90,IF($M$2="Intermitente",(ROUNDDOWN((R39*8*0.909),0)),"")))</f>
        <v>128</v>
      </c>
      <c r="AC39" s="212" t="s">
        <v>17</v>
      </c>
      <c r="AD39" s="245"/>
      <c r="AE39" s="245"/>
      <c r="AF39" s="246">
        <f>IF($M$2="","",IF($M$2="RSA","",W39/AB39))</f>
        <v>0.5078125</v>
      </c>
      <c r="AG39" s="289"/>
      <c r="AH39" s="101"/>
      <c r="AI39" s="70"/>
    </row>
    <row r="40" spans="1:35" ht="15" hidden="1" customHeight="1" outlineLevel="1">
      <c r="A40" s="217"/>
      <c r="B40" s="290"/>
      <c r="C40" s="34">
        <f>A39</f>
        <v>46054</v>
      </c>
      <c r="D40" s="32">
        <f t="shared" ref="D40:AD40" si="75">C40+1</f>
        <v>46055</v>
      </c>
      <c r="E40" s="32">
        <f t="shared" si="75"/>
        <v>46056</v>
      </c>
      <c r="F40" s="32">
        <f t="shared" si="75"/>
        <v>46057</v>
      </c>
      <c r="G40" s="32">
        <f t="shared" si="75"/>
        <v>46058</v>
      </c>
      <c r="H40" s="32">
        <f t="shared" si="75"/>
        <v>46059</v>
      </c>
      <c r="I40" s="33">
        <f t="shared" si="75"/>
        <v>46060</v>
      </c>
      <c r="J40" s="34">
        <f t="shared" si="75"/>
        <v>46061</v>
      </c>
      <c r="K40" s="32">
        <f t="shared" si="75"/>
        <v>46062</v>
      </c>
      <c r="L40" s="32">
        <f t="shared" si="75"/>
        <v>46063</v>
      </c>
      <c r="M40" s="32">
        <f t="shared" si="75"/>
        <v>46064</v>
      </c>
      <c r="N40" s="32">
        <f t="shared" si="75"/>
        <v>46065</v>
      </c>
      <c r="O40" s="32">
        <f t="shared" si="75"/>
        <v>46066</v>
      </c>
      <c r="P40" s="33">
        <f t="shared" si="75"/>
        <v>46067</v>
      </c>
      <c r="Q40" s="34">
        <f t="shared" si="75"/>
        <v>46068</v>
      </c>
      <c r="R40" s="32">
        <f t="shared" si="75"/>
        <v>46069</v>
      </c>
      <c r="S40" s="32">
        <f t="shared" si="75"/>
        <v>46070</v>
      </c>
      <c r="T40" s="32">
        <f t="shared" si="75"/>
        <v>46071</v>
      </c>
      <c r="U40" s="32">
        <f t="shared" si="75"/>
        <v>46072</v>
      </c>
      <c r="V40" s="32">
        <f t="shared" si="75"/>
        <v>46073</v>
      </c>
      <c r="W40" s="33">
        <f t="shared" si="75"/>
        <v>46074</v>
      </c>
      <c r="X40" s="34">
        <f t="shared" si="75"/>
        <v>46075</v>
      </c>
      <c r="Y40" s="32">
        <f t="shared" si="75"/>
        <v>46076</v>
      </c>
      <c r="Z40" s="32">
        <f t="shared" si="75"/>
        <v>46077</v>
      </c>
      <c r="AA40" s="32">
        <f t="shared" si="75"/>
        <v>46078</v>
      </c>
      <c r="AB40" s="32">
        <f t="shared" si="75"/>
        <v>46079</v>
      </c>
      <c r="AC40" s="32">
        <f t="shared" si="75"/>
        <v>46080</v>
      </c>
      <c r="AD40" s="33">
        <f t="shared" si="75"/>
        <v>46081</v>
      </c>
      <c r="AE40" s="248"/>
      <c r="AF40" s="296"/>
      <c r="AG40" s="290"/>
      <c r="AH40" s="90"/>
      <c r="AI40" s="71"/>
    </row>
    <row r="41" spans="1:35" ht="15.75" hidden="1" customHeight="1" outlineLevel="1">
      <c r="A41" s="291"/>
      <c r="B41" s="292"/>
      <c r="C41" s="36">
        <f>A39</f>
        <v>46054</v>
      </c>
      <c r="D41" s="91">
        <f t="shared" ref="D41:AD41" si="76">C41+1</f>
        <v>46055</v>
      </c>
      <c r="E41" s="91">
        <f t="shared" si="76"/>
        <v>46056</v>
      </c>
      <c r="F41" s="91">
        <f t="shared" si="76"/>
        <v>46057</v>
      </c>
      <c r="G41" s="91">
        <f t="shared" si="76"/>
        <v>46058</v>
      </c>
      <c r="H41" s="91">
        <f t="shared" si="76"/>
        <v>46059</v>
      </c>
      <c r="I41" s="35">
        <f t="shared" si="76"/>
        <v>46060</v>
      </c>
      <c r="J41" s="36">
        <f t="shared" si="76"/>
        <v>46061</v>
      </c>
      <c r="K41" s="91">
        <f t="shared" si="76"/>
        <v>46062</v>
      </c>
      <c r="L41" s="91">
        <f t="shared" si="76"/>
        <v>46063</v>
      </c>
      <c r="M41" s="91">
        <f t="shared" si="76"/>
        <v>46064</v>
      </c>
      <c r="N41" s="91">
        <f t="shared" si="76"/>
        <v>46065</v>
      </c>
      <c r="O41" s="91">
        <f t="shared" si="76"/>
        <v>46066</v>
      </c>
      <c r="P41" s="35">
        <f t="shared" si="76"/>
        <v>46067</v>
      </c>
      <c r="Q41" s="36">
        <f t="shared" si="76"/>
        <v>46068</v>
      </c>
      <c r="R41" s="91">
        <f t="shared" si="76"/>
        <v>46069</v>
      </c>
      <c r="S41" s="91">
        <f t="shared" si="76"/>
        <v>46070</v>
      </c>
      <c r="T41" s="91">
        <f t="shared" si="76"/>
        <v>46071</v>
      </c>
      <c r="U41" s="91">
        <f t="shared" si="76"/>
        <v>46072</v>
      </c>
      <c r="V41" s="91">
        <f t="shared" si="76"/>
        <v>46073</v>
      </c>
      <c r="W41" s="35">
        <f t="shared" si="76"/>
        <v>46074</v>
      </c>
      <c r="X41" s="36">
        <f t="shared" si="76"/>
        <v>46075</v>
      </c>
      <c r="Y41" s="91">
        <f t="shared" si="76"/>
        <v>46076</v>
      </c>
      <c r="Z41" s="91">
        <f t="shared" si="76"/>
        <v>46077</v>
      </c>
      <c r="AA41" s="91">
        <f t="shared" si="76"/>
        <v>46078</v>
      </c>
      <c r="AB41" s="91">
        <f t="shared" si="76"/>
        <v>46079</v>
      </c>
      <c r="AC41" s="91">
        <f t="shared" si="76"/>
        <v>46080</v>
      </c>
      <c r="AD41" s="35">
        <f t="shared" si="76"/>
        <v>46081</v>
      </c>
      <c r="AE41" s="297"/>
      <c r="AF41" s="298"/>
      <c r="AG41" s="299"/>
      <c r="AH41" s="92"/>
      <c r="AI41" s="70"/>
    </row>
    <row r="42" spans="1:35" ht="15" hidden="1" customHeight="1" outlineLevel="1">
      <c r="A42" s="222" t="s">
        <v>18</v>
      </c>
      <c r="B42" s="215" t="s">
        <v>19</v>
      </c>
      <c r="C42" s="39"/>
      <c r="D42" s="141" t="s">
        <v>27</v>
      </c>
      <c r="E42" s="37"/>
      <c r="F42" s="37" t="s">
        <v>28</v>
      </c>
      <c r="G42" s="37"/>
      <c r="H42" s="144"/>
      <c r="I42" s="38"/>
      <c r="J42" s="39"/>
      <c r="K42" s="37" t="s">
        <v>28</v>
      </c>
      <c r="L42" s="37"/>
      <c r="M42" s="37" t="s">
        <v>28</v>
      </c>
      <c r="N42" s="37"/>
      <c r="O42" s="211"/>
      <c r="P42" s="38"/>
      <c r="Q42" s="39"/>
      <c r="R42" s="211"/>
      <c r="S42" s="211"/>
      <c r="T42" s="211"/>
      <c r="U42" s="144"/>
      <c r="V42" s="144"/>
      <c r="W42" s="38"/>
      <c r="X42" s="39"/>
      <c r="Y42" s="164"/>
      <c r="Z42" s="164"/>
      <c r="AA42" s="164"/>
      <c r="AB42" s="164"/>
      <c r="AC42" s="164"/>
      <c r="AD42" s="38"/>
      <c r="AE42" s="297"/>
      <c r="AF42" s="298"/>
      <c r="AG42" s="299"/>
      <c r="AH42" s="93"/>
      <c r="AI42" s="71">
        <f>COUNTA($C42:$AD42)</f>
        <v>4</v>
      </c>
    </row>
    <row r="43" spans="1:35" ht="15" hidden="1" customHeight="1" outlineLevel="1">
      <c r="A43" s="221"/>
      <c r="B43" s="293"/>
      <c r="C43" s="96"/>
      <c r="D43" s="142">
        <f t="shared" ref="D43:I43" si="77">IF(ISERROR(VLOOKUP(D42,$K$394:$W$428,9,FALSE)),"",VLOOKUP(D42,$K$394:$W$428,9,FALSE))</f>
        <v>101705</v>
      </c>
      <c r="E43" s="94" t="str">
        <f t="shared" si="77"/>
        <v/>
      </c>
      <c r="F43" s="94">
        <f t="shared" si="77"/>
        <v>93745</v>
      </c>
      <c r="G43" s="94" t="str">
        <f t="shared" si="77"/>
        <v/>
      </c>
      <c r="H43" s="145" t="str">
        <f t="shared" si="77"/>
        <v/>
      </c>
      <c r="I43" s="95" t="str">
        <f t="shared" si="77"/>
        <v/>
      </c>
      <c r="J43" s="96"/>
      <c r="K43" s="94">
        <f t="shared" ref="K43:L43" si="78">IF(ISERROR(VLOOKUP(K42,$K$394:$W$428,9,FALSE)),"",VLOOKUP(K42,$K$394:$W$428,9,FALSE))</f>
        <v>93745</v>
      </c>
      <c r="L43" s="94" t="str">
        <f t="shared" si="78"/>
        <v/>
      </c>
      <c r="M43" s="94">
        <f t="shared" ref="M43:N43" si="79">IF(ISERROR(VLOOKUP(M42,$K$394:$W$428,9,FALSE)),"",VLOOKUP(M42,$K$394:$W$428,9,FALSE))</f>
        <v>93745</v>
      </c>
      <c r="N43" s="94" t="str">
        <f t="shared" si="79"/>
        <v/>
      </c>
      <c r="O43" s="294"/>
      <c r="P43" s="95" t="str">
        <f t="shared" ref="P43" si="80">IF(ISERROR(VLOOKUP(P42,$K$394:$W$428,9,FALSE)),"",VLOOKUP(P42,$K$394:$W$428,9,FALSE))</f>
        <v/>
      </c>
      <c r="Q43" s="96"/>
      <c r="R43" s="294"/>
      <c r="S43" s="294"/>
      <c r="T43" s="294"/>
      <c r="U43" s="145" t="str">
        <f t="shared" ref="U43" si="81">IF(ISERROR(VLOOKUP(U42,$K$394:$W$428,9,FALSE)),"",VLOOKUP(U42,$K$394:$W$428,9,FALSE))</f>
        <v/>
      </c>
      <c r="V43" s="145" t="str">
        <f t="shared" ref="V43:W43" si="82">IF(ISERROR(VLOOKUP(V42,$K$394:$W$428,9,FALSE)),"",VLOOKUP(V42,$K$394:$W$428,9,FALSE))</f>
        <v/>
      </c>
      <c r="W43" s="95" t="str">
        <f t="shared" si="82"/>
        <v/>
      </c>
      <c r="X43" s="96"/>
      <c r="Y43" s="165"/>
      <c r="Z43" s="165" t="str">
        <f t="shared" ref="Z43" si="83">IF(ISERROR(VLOOKUP(Z42,$K$394:$W$428,9,FALSE)),"",VLOOKUP(Z42,$K$394:$W$428,9,FALSE))</f>
        <v/>
      </c>
      <c r="AA43" s="165"/>
      <c r="AB43" s="165" t="str">
        <f t="shared" ref="AB43:AD43" si="84">IF(ISERROR(VLOOKUP(AB42,$K$394:$W$428,9,FALSE)),"",VLOOKUP(AB42,$K$394:$W$428,9,FALSE))</f>
        <v/>
      </c>
      <c r="AC43" s="165" t="str">
        <f t="shared" si="84"/>
        <v/>
      </c>
      <c r="AD43" s="95" t="str">
        <f t="shared" si="84"/>
        <v/>
      </c>
      <c r="AE43" s="297"/>
      <c r="AF43" s="298"/>
      <c r="AG43" s="299"/>
      <c r="AH43" s="97"/>
      <c r="AI43" s="71"/>
    </row>
    <row r="44" spans="1:35" ht="15" hidden="1" customHeight="1" outlineLevel="1">
      <c r="A44" s="221"/>
      <c r="B44" s="216" t="s">
        <v>20</v>
      </c>
      <c r="C44" s="39"/>
      <c r="D44" s="141" t="s">
        <v>27</v>
      </c>
      <c r="E44" s="37"/>
      <c r="F44" s="37" t="s">
        <v>28</v>
      </c>
      <c r="G44" s="37"/>
      <c r="H44" s="144"/>
      <c r="I44" s="38"/>
      <c r="J44" s="39"/>
      <c r="K44" s="37" t="s">
        <v>28</v>
      </c>
      <c r="L44" s="37"/>
      <c r="M44" s="37" t="s">
        <v>28</v>
      </c>
      <c r="N44" s="37"/>
      <c r="O44" s="211"/>
      <c r="P44" s="38"/>
      <c r="Q44" s="39"/>
      <c r="R44" s="211"/>
      <c r="S44" s="211"/>
      <c r="T44" s="211"/>
      <c r="U44" s="144"/>
      <c r="V44" s="144"/>
      <c r="W44" s="38"/>
      <c r="X44" s="39"/>
      <c r="Y44" s="164"/>
      <c r="Z44" s="164"/>
      <c r="AA44" s="164"/>
      <c r="AB44" s="164"/>
      <c r="AC44" s="164"/>
      <c r="AD44" s="38"/>
      <c r="AE44" s="297"/>
      <c r="AF44" s="298"/>
      <c r="AG44" s="299"/>
      <c r="AH44" s="93"/>
      <c r="AI44" s="71">
        <f>COUNTA($C44:$AD44)</f>
        <v>4</v>
      </c>
    </row>
    <row r="45" spans="1:35" ht="15" hidden="1" customHeight="1" outlineLevel="1">
      <c r="A45" s="221"/>
      <c r="B45" s="294"/>
      <c r="C45" s="96"/>
      <c r="D45" s="142">
        <f t="shared" ref="D45:G45" si="85">IF(ISERROR(VLOOKUP(D44,$K$394:$W$428,9,FALSE)),"",VLOOKUP(D44,$K$394:$W$428,9,FALSE))</f>
        <v>101705</v>
      </c>
      <c r="E45" s="94" t="str">
        <f t="shared" si="85"/>
        <v/>
      </c>
      <c r="F45" s="94">
        <f t="shared" si="85"/>
        <v>93745</v>
      </c>
      <c r="G45" s="94" t="str">
        <f t="shared" si="85"/>
        <v/>
      </c>
      <c r="H45" s="145" t="str">
        <f t="shared" ref="H45:I45" si="86">IF(ISERROR(VLOOKUP(H44,$K$394:$W$428,9,FALSE)),"",VLOOKUP(H44,$K$394:$W$428,9,FALSE))</f>
        <v/>
      </c>
      <c r="I45" s="95" t="str">
        <f t="shared" si="86"/>
        <v/>
      </c>
      <c r="J45" s="96"/>
      <c r="K45" s="94">
        <f t="shared" ref="K45:L45" si="87">IF(ISERROR(VLOOKUP(K44,$K$394:$W$428,9,FALSE)),"",VLOOKUP(K44,$K$394:$W$428,9,FALSE))</f>
        <v>93745</v>
      </c>
      <c r="L45" s="94" t="str">
        <f t="shared" si="87"/>
        <v/>
      </c>
      <c r="M45" s="94">
        <f t="shared" ref="M45:N45" si="88">IF(ISERROR(VLOOKUP(M44,$K$394:$W$428,9,FALSE)),"",VLOOKUP(M44,$K$394:$W$428,9,FALSE))</f>
        <v>93745</v>
      </c>
      <c r="N45" s="94" t="str">
        <f t="shared" si="88"/>
        <v/>
      </c>
      <c r="O45" s="294"/>
      <c r="P45" s="95" t="str">
        <f t="shared" ref="P45" si="89">IF(ISERROR(VLOOKUP(P44,$K$394:$W$428,9,FALSE)),"",VLOOKUP(P44,$K$394:$W$428,9,FALSE))</f>
        <v/>
      </c>
      <c r="Q45" s="96"/>
      <c r="R45" s="294"/>
      <c r="S45" s="294"/>
      <c r="T45" s="294"/>
      <c r="U45" s="145" t="str">
        <f t="shared" ref="U45" si="90">IF(ISERROR(VLOOKUP(U44,$K$394:$W$428,9,FALSE)),"",VLOOKUP(U44,$K$394:$W$428,9,FALSE))</f>
        <v/>
      </c>
      <c r="V45" s="145" t="str">
        <f t="shared" ref="V45:W45" si="91">IF(ISERROR(VLOOKUP(V44,$K$394:$W$428,9,FALSE)),"",VLOOKUP(V44,$K$394:$W$428,9,FALSE))</f>
        <v/>
      </c>
      <c r="W45" s="95" t="str">
        <f t="shared" si="91"/>
        <v/>
      </c>
      <c r="X45" s="96"/>
      <c r="Y45" s="165"/>
      <c r="Z45" s="165" t="str">
        <f t="shared" ref="Z45" si="92">IF(ISERROR(VLOOKUP(Z44,$K$394:$W$428,9,FALSE)),"",VLOOKUP(Z44,$K$394:$W$428,9,FALSE))</f>
        <v/>
      </c>
      <c r="AA45" s="165"/>
      <c r="AB45" s="165" t="str">
        <f t="shared" ref="AB45:AD45" si="93">IF(ISERROR(VLOOKUP(AB44,$K$394:$W$428,9,FALSE)),"",VLOOKUP(AB44,$K$394:$W$428,9,FALSE))</f>
        <v/>
      </c>
      <c r="AC45" s="165" t="str">
        <f t="shared" si="93"/>
        <v/>
      </c>
      <c r="AD45" s="95" t="str">
        <f t="shared" si="93"/>
        <v/>
      </c>
      <c r="AE45" s="297"/>
      <c r="AF45" s="298"/>
      <c r="AG45" s="299"/>
      <c r="AH45" s="97"/>
      <c r="AI45" s="71"/>
    </row>
    <row r="46" spans="1:35" ht="15" hidden="1" customHeight="1" outlineLevel="1">
      <c r="A46" s="221"/>
      <c r="B46" s="216" t="s">
        <v>21</v>
      </c>
      <c r="C46" s="39"/>
      <c r="D46" s="141" t="s">
        <v>27</v>
      </c>
      <c r="E46" s="37"/>
      <c r="F46" s="37" t="s">
        <v>28</v>
      </c>
      <c r="G46" s="37"/>
      <c r="H46" s="144"/>
      <c r="I46" s="38"/>
      <c r="J46" s="39"/>
      <c r="K46" s="37" t="s">
        <v>28</v>
      </c>
      <c r="L46" s="37"/>
      <c r="M46" s="37" t="s">
        <v>28</v>
      </c>
      <c r="N46" s="37"/>
      <c r="O46" s="211"/>
      <c r="P46" s="38"/>
      <c r="Q46" s="39"/>
      <c r="R46" s="211"/>
      <c r="S46" s="211"/>
      <c r="T46" s="211"/>
      <c r="U46" s="144"/>
      <c r="V46" s="144"/>
      <c r="W46" s="38"/>
      <c r="X46" s="39"/>
      <c r="Y46" s="164"/>
      <c r="Z46" s="164"/>
      <c r="AA46" s="164"/>
      <c r="AB46" s="164"/>
      <c r="AC46" s="164"/>
      <c r="AD46" s="38"/>
      <c r="AE46" s="297"/>
      <c r="AF46" s="298"/>
      <c r="AG46" s="299"/>
      <c r="AH46" s="93"/>
      <c r="AI46" s="71">
        <f>COUNTA($C46:$AD46)</f>
        <v>4</v>
      </c>
    </row>
    <row r="47" spans="1:35" ht="15" hidden="1" customHeight="1" outlineLevel="1">
      <c r="A47" s="221"/>
      <c r="B47" s="294"/>
      <c r="C47" s="42"/>
      <c r="D47" s="142">
        <f t="shared" ref="D47:G47" si="94">IF(ISERROR(VLOOKUP(D46,$K$394:$W$428,9,FALSE)),"",VLOOKUP(D46,$K$394:$W$428,9,FALSE))</f>
        <v>101705</v>
      </c>
      <c r="E47" s="40" t="str">
        <f t="shared" si="94"/>
        <v/>
      </c>
      <c r="F47" s="94">
        <f t="shared" si="94"/>
        <v>93745</v>
      </c>
      <c r="G47" s="40" t="str">
        <f t="shared" si="94"/>
        <v/>
      </c>
      <c r="H47" s="149" t="str">
        <f t="shared" ref="H47:I47" si="95">IF(ISERROR(VLOOKUP(H46,$K$394:$W$428,9,FALSE)),"",VLOOKUP(H46,$K$394:$W$428,9,FALSE))</f>
        <v/>
      </c>
      <c r="I47" s="41" t="str">
        <f t="shared" si="95"/>
        <v/>
      </c>
      <c r="J47" s="42"/>
      <c r="K47" s="94">
        <f t="shared" ref="K47:L47" si="96">IF(ISERROR(VLOOKUP(K46,$K$394:$W$428,9,FALSE)),"",VLOOKUP(K46,$K$394:$W$428,9,FALSE))</f>
        <v>93745</v>
      </c>
      <c r="L47" s="40" t="str">
        <f t="shared" si="96"/>
        <v/>
      </c>
      <c r="M47" s="94">
        <f t="shared" ref="M47:N47" si="97">IF(ISERROR(VLOOKUP(M46,$K$394:$W$428,9,FALSE)),"",VLOOKUP(M46,$K$394:$W$428,9,FALSE))</f>
        <v>93745</v>
      </c>
      <c r="N47" s="40" t="str">
        <f t="shared" si="97"/>
        <v/>
      </c>
      <c r="O47" s="294"/>
      <c r="P47" s="41" t="str">
        <f t="shared" ref="P47" si="98">IF(ISERROR(VLOOKUP(P46,$K$394:$W$428,9,FALSE)),"",VLOOKUP(P46,$K$394:$W$428,9,FALSE))</f>
        <v/>
      </c>
      <c r="Q47" s="42"/>
      <c r="R47" s="294"/>
      <c r="S47" s="294"/>
      <c r="T47" s="294"/>
      <c r="U47" s="149" t="str">
        <f t="shared" ref="U47" si="99">IF(ISERROR(VLOOKUP(U46,$K$394:$W$428,9,FALSE)),"",VLOOKUP(U46,$K$394:$W$428,9,FALSE))</f>
        <v/>
      </c>
      <c r="V47" s="149" t="str">
        <f t="shared" ref="V47:W47" si="100">IF(ISERROR(VLOOKUP(V46,$K$394:$W$428,9,FALSE)),"",VLOOKUP(V46,$K$394:$W$428,9,FALSE))</f>
        <v/>
      </c>
      <c r="W47" s="41" t="str">
        <f t="shared" si="100"/>
        <v/>
      </c>
      <c r="X47" s="42"/>
      <c r="Y47" s="165"/>
      <c r="Z47" s="166" t="str">
        <f t="shared" ref="Z47" si="101">IF(ISERROR(VLOOKUP(Z46,$K$394:$W$428,9,FALSE)),"",VLOOKUP(Z46,$K$394:$W$428,9,FALSE))</f>
        <v/>
      </c>
      <c r="AA47" s="165"/>
      <c r="AB47" s="166" t="str">
        <f t="shared" ref="AB47:AD47" si="102">IF(ISERROR(VLOOKUP(AB46,$K$394:$W$428,9,FALSE)),"",VLOOKUP(AB46,$K$394:$W$428,9,FALSE))</f>
        <v/>
      </c>
      <c r="AC47" s="166" t="str">
        <f t="shared" si="102"/>
        <v/>
      </c>
      <c r="AD47" s="41" t="str">
        <f t="shared" si="102"/>
        <v/>
      </c>
      <c r="AE47" s="297"/>
      <c r="AF47" s="298"/>
      <c r="AG47" s="299"/>
      <c r="AH47" s="97"/>
      <c r="AI47" s="71"/>
    </row>
    <row r="48" spans="1:35" ht="15" hidden="1" customHeight="1" outlineLevel="1">
      <c r="A48" s="221"/>
      <c r="B48" s="216" t="s">
        <v>22</v>
      </c>
      <c r="C48" s="39"/>
      <c r="D48" s="141" t="s">
        <v>27</v>
      </c>
      <c r="E48" s="37"/>
      <c r="F48" s="37" t="s">
        <v>28</v>
      </c>
      <c r="G48" s="37"/>
      <c r="H48" s="144"/>
      <c r="I48" s="38"/>
      <c r="J48" s="39"/>
      <c r="K48" s="37" t="s">
        <v>28</v>
      </c>
      <c r="L48" s="37"/>
      <c r="M48" s="37" t="s">
        <v>28</v>
      </c>
      <c r="N48" s="37"/>
      <c r="O48" s="211"/>
      <c r="P48" s="38"/>
      <c r="Q48" s="39"/>
      <c r="R48" s="211"/>
      <c r="S48" s="211"/>
      <c r="T48" s="211"/>
      <c r="U48" s="144"/>
      <c r="V48" s="144"/>
      <c r="W48" s="38"/>
      <c r="X48" s="39"/>
      <c r="Y48" s="164"/>
      <c r="Z48" s="164"/>
      <c r="AA48" s="164"/>
      <c r="AB48" s="164"/>
      <c r="AC48" s="164"/>
      <c r="AD48" s="38"/>
      <c r="AE48" s="297"/>
      <c r="AF48" s="298"/>
      <c r="AG48" s="299"/>
      <c r="AH48" s="93"/>
      <c r="AI48" s="71">
        <f>COUNTA($C48:$AD48)</f>
        <v>4</v>
      </c>
    </row>
    <row r="49" spans="1:35" ht="15" hidden="1" customHeight="1" outlineLevel="1">
      <c r="A49" s="221"/>
      <c r="B49" s="294"/>
      <c r="C49" s="96"/>
      <c r="D49" s="142">
        <f t="shared" ref="D49:G49" si="103">IF(ISERROR(VLOOKUP(D48,$K$394:$W$428,9,FALSE)),"",VLOOKUP(D48,$K$394:$W$428,9,FALSE))</f>
        <v>101705</v>
      </c>
      <c r="E49" s="94" t="str">
        <f t="shared" si="103"/>
        <v/>
      </c>
      <c r="F49" s="94">
        <f t="shared" si="103"/>
        <v>93745</v>
      </c>
      <c r="G49" s="94" t="str">
        <f t="shared" si="103"/>
        <v/>
      </c>
      <c r="H49" s="145" t="str">
        <f t="shared" ref="H49:I49" si="104">IF(ISERROR(VLOOKUP(H48,$K$394:$W$428,9,FALSE)),"",VLOOKUP(H48,$K$394:$W$428,9,FALSE))</f>
        <v/>
      </c>
      <c r="I49" s="95" t="str">
        <f t="shared" si="104"/>
        <v/>
      </c>
      <c r="J49" s="96"/>
      <c r="K49" s="94">
        <f t="shared" ref="K49:L49" si="105">IF(ISERROR(VLOOKUP(K48,$K$394:$W$428,9,FALSE)),"",VLOOKUP(K48,$K$394:$W$428,9,FALSE))</f>
        <v>93745</v>
      </c>
      <c r="L49" s="94" t="str">
        <f t="shared" si="105"/>
        <v/>
      </c>
      <c r="M49" s="94">
        <f t="shared" ref="M49:N49" si="106">IF(ISERROR(VLOOKUP(M48,$K$394:$W$428,9,FALSE)),"",VLOOKUP(M48,$K$394:$W$428,9,FALSE))</f>
        <v>93745</v>
      </c>
      <c r="N49" s="94" t="str">
        <f t="shared" si="106"/>
        <v/>
      </c>
      <c r="O49" s="294"/>
      <c r="P49" s="95" t="str">
        <f t="shared" ref="P49" si="107">IF(ISERROR(VLOOKUP(P48,$K$394:$W$428,9,FALSE)),"",VLOOKUP(P48,$K$394:$W$428,9,FALSE))</f>
        <v/>
      </c>
      <c r="Q49" s="96"/>
      <c r="R49" s="294"/>
      <c r="S49" s="294"/>
      <c r="T49" s="294"/>
      <c r="U49" s="145" t="str">
        <f t="shared" ref="U49" si="108">IF(ISERROR(VLOOKUP(U48,$K$394:$W$428,9,FALSE)),"",VLOOKUP(U48,$K$394:$W$428,9,FALSE))</f>
        <v/>
      </c>
      <c r="V49" s="145" t="str">
        <f t="shared" ref="V49:W49" si="109">IF(ISERROR(VLOOKUP(V48,$K$394:$W$428,9,FALSE)),"",VLOOKUP(V48,$K$394:$W$428,9,FALSE))</f>
        <v/>
      </c>
      <c r="W49" s="95" t="str">
        <f t="shared" si="109"/>
        <v/>
      </c>
      <c r="X49" s="96"/>
      <c r="Y49" s="165"/>
      <c r="Z49" s="165" t="str">
        <f t="shared" ref="Z49" si="110">IF(ISERROR(VLOOKUP(Z48,$K$394:$W$428,9,FALSE)),"",VLOOKUP(Z48,$K$394:$W$428,9,FALSE))</f>
        <v/>
      </c>
      <c r="AA49" s="165" t="str">
        <f t="shared" ref="AA49:AD49" si="111">IF(ISERROR(VLOOKUP(AA48,$K$394:$W$428,9,FALSE)),"",VLOOKUP(AA48,$K$394:$W$428,9,FALSE))</f>
        <v/>
      </c>
      <c r="AB49" s="165" t="str">
        <f t="shared" si="111"/>
        <v/>
      </c>
      <c r="AC49" s="165" t="str">
        <f t="shared" si="111"/>
        <v/>
      </c>
      <c r="AD49" s="95" t="str">
        <f t="shared" si="111"/>
        <v/>
      </c>
      <c r="AE49" s="297"/>
      <c r="AF49" s="298"/>
      <c r="AG49" s="299"/>
      <c r="AH49" s="97"/>
      <c r="AI49" s="71"/>
    </row>
    <row r="50" spans="1:35" ht="15" hidden="1" customHeight="1" outlineLevel="1">
      <c r="A50" s="221"/>
      <c r="B50" s="216" t="s">
        <v>23</v>
      </c>
      <c r="C50" s="39"/>
      <c r="D50" s="37"/>
      <c r="E50" s="37"/>
      <c r="F50" s="37"/>
      <c r="G50" s="37"/>
      <c r="H50" s="37"/>
      <c r="I50" s="38"/>
      <c r="J50" s="39"/>
      <c r="K50" s="37"/>
      <c r="L50" s="37"/>
      <c r="M50" s="37"/>
      <c r="N50" s="37"/>
      <c r="O50" s="211"/>
      <c r="P50" s="38"/>
      <c r="Q50" s="39"/>
      <c r="R50" s="211"/>
      <c r="S50" s="211"/>
      <c r="T50" s="211"/>
      <c r="U50" s="37"/>
      <c r="V50" s="37"/>
      <c r="W50" s="38"/>
      <c r="X50" s="39"/>
      <c r="Y50" s="164"/>
      <c r="Z50" s="164"/>
      <c r="AA50" s="164"/>
      <c r="AB50" s="164"/>
      <c r="AC50" s="164"/>
      <c r="AD50" s="38"/>
      <c r="AE50" s="297"/>
      <c r="AF50" s="298"/>
      <c r="AG50" s="299"/>
      <c r="AH50" s="93"/>
      <c r="AI50" s="71">
        <f>COUNTA($C50:$AD50)</f>
        <v>0</v>
      </c>
    </row>
    <row r="51" spans="1:35" ht="15" hidden="1" customHeight="1" outlineLevel="1">
      <c r="A51" s="223"/>
      <c r="B51" s="294"/>
      <c r="C51" s="42"/>
      <c r="D51" s="40" t="str">
        <f t="shared" ref="D51:I51" si="112">IF(ISERROR(VLOOKUP(D50,$K$394:$W$428,9,FALSE)),"",VLOOKUP(D50,$K$394:$W$428,9,FALSE))</f>
        <v/>
      </c>
      <c r="E51" s="40" t="str">
        <f t="shared" si="112"/>
        <v/>
      </c>
      <c r="F51" s="40" t="str">
        <f t="shared" si="112"/>
        <v/>
      </c>
      <c r="G51" s="40" t="str">
        <f t="shared" si="112"/>
        <v/>
      </c>
      <c r="H51" s="40" t="str">
        <f t="shared" si="112"/>
        <v/>
      </c>
      <c r="I51" s="41" t="str">
        <f t="shared" si="112"/>
        <v/>
      </c>
      <c r="J51" s="42"/>
      <c r="K51" s="40" t="str">
        <f t="shared" ref="K51:N51" si="113">IF(ISERROR(VLOOKUP(K50,$K$394:$W$428,9,FALSE)),"",VLOOKUP(K50,$K$394:$W$428,9,FALSE))</f>
        <v/>
      </c>
      <c r="L51" s="40" t="str">
        <f t="shared" si="113"/>
        <v/>
      </c>
      <c r="M51" s="40" t="str">
        <f t="shared" si="113"/>
        <v/>
      </c>
      <c r="N51" s="40" t="str">
        <f t="shared" si="113"/>
        <v/>
      </c>
      <c r="O51" s="294"/>
      <c r="P51" s="41" t="str">
        <f t="shared" ref="P51" si="114">IF(ISERROR(VLOOKUP(P50,$K$394:$W$428,9,FALSE)),"",VLOOKUP(P50,$K$394:$W$428,9,FALSE))</f>
        <v/>
      </c>
      <c r="Q51" s="42"/>
      <c r="R51" s="294"/>
      <c r="S51" s="294"/>
      <c r="T51" s="294"/>
      <c r="U51" s="40" t="str">
        <f t="shared" ref="U51:W51" si="115">IF(ISERROR(VLOOKUP(U50,$K$394:$W$428,9,FALSE)),"",VLOOKUP(U50,$K$394:$W$428,9,FALSE))</f>
        <v/>
      </c>
      <c r="V51" s="40" t="str">
        <f t="shared" si="115"/>
        <v/>
      </c>
      <c r="W51" s="41" t="str">
        <f t="shared" si="115"/>
        <v/>
      </c>
      <c r="X51" s="42"/>
      <c r="Y51" s="166" t="str">
        <f t="shared" ref="Y51:AD51" si="116">IF(ISERROR(VLOOKUP(Y50,$K$394:$W$428,9,FALSE)),"",VLOOKUP(Y50,$K$394:$W$428,9,FALSE))</f>
        <v/>
      </c>
      <c r="Z51" s="166" t="str">
        <f t="shared" si="116"/>
        <v/>
      </c>
      <c r="AA51" s="166" t="str">
        <f t="shared" si="116"/>
        <v/>
      </c>
      <c r="AB51" s="166" t="str">
        <f t="shared" si="116"/>
        <v/>
      </c>
      <c r="AC51" s="166" t="str">
        <f t="shared" si="116"/>
        <v/>
      </c>
      <c r="AD51" s="41" t="str">
        <f t="shared" si="116"/>
        <v/>
      </c>
      <c r="AE51" s="297"/>
      <c r="AF51" s="298"/>
      <c r="AG51" s="299"/>
      <c r="AH51" s="97"/>
      <c r="AI51" s="71"/>
    </row>
    <row r="52" spans="1:35" ht="15" hidden="1" customHeight="1" outlineLevel="1">
      <c r="A52" s="221" t="s">
        <v>24</v>
      </c>
      <c r="B52" s="216" t="s">
        <v>19</v>
      </c>
      <c r="C52" s="39"/>
      <c r="D52" s="141" t="s">
        <v>29</v>
      </c>
      <c r="E52" s="143" t="s">
        <v>30</v>
      </c>
      <c r="F52" s="150" t="s">
        <v>31</v>
      </c>
      <c r="G52" s="143" t="s">
        <v>30</v>
      </c>
      <c r="H52" s="37"/>
      <c r="I52" s="38"/>
      <c r="J52" s="39"/>
      <c r="K52" s="150" t="s">
        <v>31</v>
      </c>
      <c r="L52" s="143" t="s">
        <v>30</v>
      </c>
      <c r="M52" s="150" t="s">
        <v>31</v>
      </c>
      <c r="N52" s="143" t="s">
        <v>30</v>
      </c>
      <c r="O52" s="211"/>
      <c r="P52" s="38"/>
      <c r="Q52" s="39"/>
      <c r="R52" s="211"/>
      <c r="S52" s="211"/>
      <c r="T52" s="211"/>
      <c r="U52" s="143" t="s">
        <v>30</v>
      </c>
      <c r="V52" s="143" t="s">
        <v>30</v>
      </c>
      <c r="W52" s="38"/>
      <c r="X52" s="39"/>
      <c r="Y52" s="167"/>
      <c r="Z52" s="168"/>
      <c r="AA52" s="167"/>
      <c r="AB52" s="168"/>
      <c r="AC52" s="164"/>
      <c r="AD52" s="38"/>
      <c r="AE52" s="297"/>
      <c r="AF52" s="298"/>
      <c r="AG52" s="299"/>
      <c r="AH52" s="93"/>
      <c r="AI52" s="71">
        <f>COUNTA($C52:$AD52)</f>
        <v>10</v>
      </c>
    </row>
    <row r="53" spans="1:35" ht="15" hidden="1" customHeight="1" outlineLevel="1">
      <c r="A53" s="221"/>
      <c r="B53" s="293"/>
      <c r="C53" s="96"/>
      <c r="D53" s="142">
        <f t="shared" ref="D53:I53" si="117">IF(ISERROR(VLOOKUP(D52,$K$394:$W$428,9,FALSE)),"",VLOOKUP(D52,$K$394:$W$428,9,FALSE))</f>
        <v>101716</v>
      </c>
      <c r="E53" s="94">
        <f t="shared" si="117"/>
        <v>96378</v>
      </c>
      <c r="F53" s="94">
        <f t="shared" si="117"/>
        <v>101706</v>
      </c>
      <c r="G53" s="94">
        <f t="shared" ref="G53" si="118">IF(ISERROR(VLOOKUP(G52,$K$394:$W$428,9,FALSE)),"",VLOOKUP(G52,$K$394:$W$428,9,FALSE))</f>
        <v>96378</v>
      </c>
      <c r="H53" s="94" t="str">
        <f t="shared" si="117"/>
        <v/>
      </c>
      <c r="I53" s="95" t="str">
        <f t="shared" si="117"/>
        <v/>
      </c>
      <c r="J53" s="96"/>
      <c r="K53" s="94">
        <f t="shared" ref="K53:L53" si="119">IF(ISERROR(VLOOKUP(K52,$K$394:$W$428,9,FALSE)),"",VLOOKUP(K52,$K$394:$W$428,9,FALSE))</f>
        <v>101706</v>
      </c>
      <c r="L53" s="94">
        <f t="shared" si="119"/>
        <v>96378</v>
      </c>
      <c r="M53" s="94">
        <f t="shared" ref="M53:N53" si="120">IF(ISERROR(VLOOKUP(M52,$K$394:$W$428,9,FALSE)),"",VLOOKUP(M52,$K$394:$W$428,9,FALSE))</f>
        <v>101706</v>
      </c>
      <c r="N53" s="94">
        <f t="shared" si="120"/>
        <v>96378</v>
      </c>
      <c r="O53" s="294"/>
      <c r="P53" s="95" t="str">
        <f t="shared" ref="P53" si="121">IF(ISERROR(VLOOKUP(P52,$K$394:$W$428,9,FALSE)),"",VLOOKUP(P52,$K$394:$W$428,9,FALSE))</f>
        <v/>
      </c>
      <c r="Q53" s="96"/>
      <c r="R53" s="294"/>
      <c r="S53" s="294"/>
      <c r="T53" s="294"/>
      <c r="U53" s="94">
        <f t="shared" ref="U53:V53" si="122">IF(ISERROR(VLOOKUP(U52,$K$394:$W$428,9,FALSE)),"",VLOOKUP(U52,$K$394:$W$428,9,FALSE))</f>
        <v>96378</v>
      </c>
      <c r="V53" s="94">
        <f t="shared" si="122"/>
        <v>96378</v>
      </c>
      <c r="W53" s="95" t="str">
        <f t="shared" ref="W53" si="123">IF(ISERROR(VLOOKUP(W52,$K$394:$W$428,9,FALSE)),"",VLOOKUP(W52,$K$394:$W$428,9,FALSE))</f>
        <v/>
      </c>
      <c r="X53" s="96"/>
      <c r="Y53" s="165"/>
      <c r="Z53" s="165"/>
      <c r="AA53" s="165"/>
      <c r="AB53" s="165"/>
      <c r="AC53" s="165" t="str">
        <f t="shared" ref="AC53:AD53" si="124">IF(ISERROR(VLOOKUP(AC52,$K$394:$W$428,9,FALSE)),"",VLOOKUP(AC52,$K$394:$W$428,9,FALSE))</f>
        <v/>
      </c>
      <c r="AD53" s="95" t="str">
        <f t="shared" si="124"/>
        <v/>
      </c>
      <c r="AE53" s="297"/>
      <c r="AF53" s="298"/>
      <c r="AG53" s="299"/>
      <c r="AH53" s="97"/>
      <c r="AI53" s="71"/>
    </row>
    <row r="54" spans="1:35" ht="15" hidden="1" customHeight="1" outlineLevel="1">
      <c r="A54" s="221"/>
      <c r="B54" s="216" t="s">
        <v>20</v>
      </c>
      <c r="C54" s="39"/>
      <c r="D54" s="141" t="s">
        <v>29</v>
      </c>
      <c r="E54" s="143" t="s">
        <v>30</v>
      </c>
      <c r="F54" s="150" t="s">
        <v>31</v>
      </c>
      <c r="G54" s="143" t="s">
        <v>30</v>
      </c>
      <c r="H54" s="37"/>
      <c r="I54" s="38"/>
      <c r="J54" s="39"/>
      <c r="K54" s="150" t="s">
        <v>31</v>
      </c>
      <c r="L54" s="143" t="s">
        <v>30</v>
      </c>
      <c r="M54" s="150" t="s">
        <v>31</v>
      </c>
      <c r="N54" s="143" t="s">
        <v>30</v>
      </c>
      <c r="O54" s="211"/>
      <c r="P54" s="38"/>
      <c r="Q54" s="39"/>
      <c r="R54" s="211"/>
      <c r="S54" s="211"/>
      <c r="T54" s="211"/>
      <c r="U54" s="143" t="s">
        <v>30</v>
      </c>
      <c r="V54" s="143" t="s">
        <v>30</v>
      </c>
      <c r="W54" s="38"/>
      <c r="X54" s="39"/>
      <c r="Y54" s="167"/>
      <c r="Z54" s="168"/>
      <c r="AA54" s="167"/>
      <c r="AB54" s="168"/>
      <c r="AC54" s="164"/>
      <c r="AD54" s="38"/>
      <c r="AE54" s="297"/>
      <c r="AF54" s="298"/>
      <c r="AG54" s="299"/>
      <c r="AH54" s="93"/>
      <c r="AI54" s="71">
        <f>COUNTA($C54:$AD54)</f>
        <v>10</v>
      </c>
    </row>
    <row r="55" spans="1:35" ht="15" hidden="1" customHeight="1" outlineLevel="1">
      <c r="A55" s="221"/>
      <c r="B55" s="294"/>
      <c r="C55" s="42"/>
      <c r="D55" s="142">
        <f t="shared" ref="D55:E55" si="125">IF(ISERROR(VLOOKUP(D54,$K$394:$W$428,9,FALSE)),"",VLOOKUP(D54,$K$394:$W$428,9,FALSE))</f>
        <v>101716</v>
      </c>
      <c r="E55" s="94">
        <f t="shared" si="125"/>
        <v>96378</v>
      </c>
      <c r="F55" s="94">
        <f t="shared" ref="F55:I55" si="126">IF(ISERROR(VLOOKUP(F54,$K$394:$W$428,9,FALSE)),"",VLOOKUP(F54,$K$394:$W$428,9,FALSE))</f>
        <v>101706</v>
      </c>
      <c r="G55" s="94">
        <f t="shared" si="126"/>
        <v>96378</v>
      </c>
      <c r="H55" s="40" t="str">
        <f t="shared" si="126"/>
        <v/>
      </c>
      <c r="I55" s="41" t="str">
        <f t="shared" si="126"/>
        <v/>
      </c>
      <c r="J55" s="42"/>
      <c r="K55" s="94">
        <f t="shared" ref="K55:L55" si="127">IF(ISERROR(VLOOKUP(K54,$K$394:$W$428,9,FALSE)),"",VLOOKUP(K54,$K$394:$W$428,9,FALSE))</f>
        <v>101706</v>
      </c>
      <c r="L55" s="94">
        <f t="shared" si="127"/>
        <v>96378</v>
      </c>
      <c r="M55" s="94">
        <f t="shared" ref="M55:N55" si="128">IF(ISERROR(VLOOKUP(M54,$K$394:$W$428,9,FALSE)),"",VLOOKUP(M54,$K$394:$W$428,9,FALSE))</f>
        <v>101706</v>
      </c>
      <c r="N55" s="94">
        <f t="shared" si="128"/>
        <v>96378</v>
      </c>
      <c r="O55" s="294"/>
      <c r="P55" s="41" t="str">
        <f t="shared" ref="P55" si="129">IF(ISERROR(VLOOKUP(P54,$K$394:$W$428,9,FALSE)),"",VLOOKUP(P54,$K$394:$W$428,9,FALSE))</f>
        <v/>
      </c>
      <c r="Q55" s="42"/>
      <c r="R55" s="294"/>
      <c r="S55" s="294"/>
      <c r="T55" s="294"/>
      <c r="U55" s="94">
        <f t="shared" ref="U55:V55" si="130">IF(ISERROR(VLOOKUP(U54,$K$394:$W$428,9,FALSE)),"",VLOOKUP(U54,$K$394:$W$428,9,FALSE))</f>
        <v>96378</v>
      </c>
      <c r="V55" s="94">
        <f t="shared" si="130"/>
        <v>96378</v>
      </c>
      <c r="W55" s="41" t="str">
        <f t="shared" ref="W55" si="131">IF(ISERROR(VLOOKUP(W54,$K$394:$W$428,9,FALSE)),"",VLOOKUP(W54,$K$394:$W$428,9,FALSE))</f>
        <v/>
      </c>
      <c r="X55" s="42"/>
      <c r="Y55" s="165"/>
      <c r="Z55" s="165"/>
      <c r="AA55" s="165"/>
      <c r="AB55" s="165"/>
      <c r="AC55" s="166" t="str">
        <f t="shared" ref="AC55:AD55" si="132">IF(ISERROR(VLOOKUP(AC54,$K$394:$W$428,9,FALSE)),"",VLOOKUP(AC54,$K$394:$W$428,9,FALSE))</f>
        <v/>
      </c>
      <c r="AD55" s="41" t="str">
        <f t="shared" si="132"/>
        <v/>
      </c>
      <c r="AE55" s="297"/>
      <c r="AF55" s="298"/>
      <c r="AG55" s="299"/>
      <c r="AH55" s="97"/>
      <c r="AI55" s="71"/>
    </row>
    <row r="56" spans="1:35" ht="15" hidden="1" customHeight="1" outlineLevel="1">
      <c r="A56" s="221"/>
      <c r="B56" s="216" t="s">
        <v>21</v>
      </c>
      <c r="C56" s="39"/>
      <c r="D56" s="141" t="s">
        <v>29</v>
      </c>
      <c r="E56" s="143" t="s">
        <v>30</v>
      </c>
      <c r="F56" s="150" t="s">
        <v>31</v>
      </c>
      <c r="G56" s="143" t="s">
        <v>30</v>
      </c>
      <c r="H56" s="37"/>
      <c r="I56" s="38"/>
      <c r="J56" s="39"/>
      <c r="K56" s="150" t="s">
        <v>31</v>
      </c>
      <c r="L56" s="143" t="s">
        <v>30</v>
      </c>
      <c r="M56" s="150" t="s">
        <v>31</v>
      </c>
      <c r="N56" s="143" t="s">
        <v>30</v>
      </c>
      <c r="O56" s="211"/>
      <c r="P56" s="38"/>
      <c r="Q56" s="39"/>
      <c r="R56" s="211"/>
      <c r="S56" s="211"/>
      <c r="T56" s="211"/>
      <c r="U56" s="143" t="s">
        <v>30</v>
      </c>
      <c r="V56" s="143" t="s">
        <v>30</v>
      </c>
      <c r="W56" s="38"/>
      <c r="X56" s="39"/>
      <c r="Y56" s="167"/>
      <c r="Z56" s="168"/>
      <c r="AA56" s="167"/>
      <c r="AB56" s="168"/>
      <c r="AC56" s="164"/>
      <c r="AD56" s="38"/>
      <c r="AE56" s="297"/>
      <c r="AF56" s="298"/>
      <c r="AG56" s="299"/>
      <c r="AH56" s="93"/>
      <c r="AI56" s="71">
        <f>COUNTA($C56:$AD56)</f>
        <v>10</v>
      </c>
    </row>
    <row r="57" spans="1:35" ht="15" hidden="1" customHeight="1" outlineLevel="1">
      <c r="A57" s="221"/>
      <c r="B57" s="294"/>
      <c r="C57" s="96"/>
      <c r="D57" s="142">
        <f t="shared" ref="D57:E57" si="133">IF(ISERROR(VLOOKUP(D56,$K$394:$W$428,9,FALSE)),"",VLOOKUP(D56,$K$394:$W$428,9,FALSE))</f>
        <v>101716</v>
      </c>
      <c r="E57" s="94">
        <f t="shared" si="133"/>
        <v>96378</v>
      </c>
      <c r="F57" s="94">
        <f t="shared" ref="F57:I57" si="134">IF(ISERROR(VLOOKUP(F56,$K$394:$W$428,9,FALSE)),"",VLOOKUP(F56,$K$394:$W$428,9,FALSE))</f>
        <v>101706</v>
      </c>
      <c r="G57" s="94">
        <f t="shared" si="134"/>
        <v>96378</v>
      </c>
      <c r="H57" s="94" t="str">
        <f t="shared" si="134"/>
        <v/>
      </c>
      <c r="I57" s="95" t="str">
        <f t="shared" si="134"/>
        <v/>
      </c>
      <c r="J57" s="96"/>
      <c r="K57" s="94">
        <f t="shared" ref="K57:L57" si="135">IF(ISERROR(VLOOKUP(K56,$K$394:$W$428,9,FALSE)),"",VLOOKUP(K56,$K$394:$W$428,9,FALSE))</f>
        <v>101706</v>
      </c>
      <c r="L57" s="94">
        <f t="shared" si="135"/>
        <v>96378</v>
      </c>
      <c r="M57" s="94">
        <f t="shared" ref="M57:N57" si="136">IF(ISERROR(VLOOKUP(M56,$K$394:$W$428,9,FALSE)),"",VLOOKUP(M56,$K$394:$W$428,9,FALSE))</f>
        <v>101706</v>
      </c>
      <c r="N57" s="94">
        <f t="shared" si="136"/>
        <v>96378</v>
      </c>
      <c r="O57" s="294"/>
      <c r="P57" s="95" t="str">
        <f t="shared" ref="P57" si="137">IF(ISERROR(VLOOKUP(P56,$K$394:$W$428,9,FALSE)),"",VLOOKUP(P56,$K$394:$W$428,9,FALSE))</f>
        <v/>
      </c>
      <c r="Q57" s="96"/>
      <c r="R57" s="294"/>
      <c r="S57" s="294"/>
      <c r="T57" s="294"/>
      <c r="U57" s="94">
        <f t="shared" ref="U57:V57" si="138">IF(ISERROR(VLOOKUP(U56,$K$394:$W$428,9,FALSE)),"",VLOOKUP(U56,$K$394:$W$428,9,FALSE))</f>
        <v>96378</v>
      </c>
      <c r="V57" s="94">
        <f t="shared" si="138"/>
        <v>96378</v>
      </c>
      <c r="W57" s="95" t="str">
        <f t="shared" ref="W57" si="139">IF(ISERROR(VLOOKUP(W56,$K$394:$W$428,9,FALSE)),"",VLOOKUP(W56,$K$394:$W$428,9,FALSE))</f>
        <v/>
      </c>
      <c r="X57" s="96"/>
      <c r="Y57" s="165"/>
      <c r="Z57" s="165"/>
      <c r="AA57" s="165"/>
      <c r="AB57" s="165"/>
      <c r="AC57" s="165" t="str">
        <f t="shared" ref="AC57:AD57" si="140">IF(ISERROR(VLOOKUP(AC56,$K$394:$W$428,9,FALSE)),"",VLOOKUP(AC56,$K$394:$W$428,9,FALSE))</f>
        <v/>
      </c>
      <c r="AD57" s="95" t="str">
        <f t="shared" si="140"/>
        <v/>
      </c>
      <c r="AE57" s="297"/>
      <c r="AF57" s="298"/>
      <c r="AG57" s="299"/>
      <c r="AH57" s="97"/>
      <c r="AI57" s="71"/>
    </row>
    <row r="58" spans="1:35" ht="15" hidden="1" customHeight="1" outlineLevel="1">
      <c r="A58" s="221"/>
      <c r="B58" s="216" t="s">
        <v>22</v>
      </c>
      <c r="C58" s="39"/>
      <c r="D58" s="141" t="s">
        <v>29</v>
      </c>
      <c r="E58" s="143" t="s">
        <v>30</v>
      </c>
      <c r="F58" s="150" t="s">
        <v>31</v>
      </c>
      <c r="G58" s="143" t="s">
        <v>30</v>
      </c>
      <c r="H58" s="37"/>
      <c r="I58" s="38"/>
      <c r="J58" s="39"/>
      <c r="K58" s="150" t="s">
        <v>31</v>
      </c>
      <c r="L58" s="143" t="s">
        <v>30</v>
      </c>
      <c r="M58" s="150" t="s">
        <v>31</v>
      </c>
      <c r="N58" s="143" t="s">
        <v>30</v>
      </c>
      <c r="O58" s="211"/>
      <c r="P58" s="38"/>
      <c r="Q58" s="39"/>
      <c r="R58" s="211"/>
      <c r="S58" s="211"/>
      <c r="T58" s="211"/>
      <c r="U58" s="143" t="s">
        <v>30</v>
      </c>
      <c r="V58" s="143" t="s">
        <v>30</v>
      </c>
      <c r="W58" s="38"/>
      <c r="X58" s="39"/>
      <c r="Y58" s="167"/>
      <c r="Z58" s="168"/>
      <c r="AA58" s="167"/>
      <c r="AB58" s="168"/>
      <c r="AC58" s="164"/>
      <c r="AD58" s="38"/>
      <c r="AE58" s="297"/>
      <c r="AF58" s="298"/>
      <c r="AG58" s="299"/>
      <c r="AH58" s="93"/>
      <c r="AI58" s="71">
        <f>COUNTA($C58:$AD58)</f>
        <v>10</v>
      </c>
    </row>
    <row r="59" spans="1:35" ht="15" hidden="1" customHeight="1" outlineLevel="1">
      <c r="A59" s="221"/>
      <c r="B59" s="294"/>
      <c r="C59" s="96"/>
      <c r="D59" s="142">
        <f t="shared" ref="D59:E59" si="141">IF(ISERROR(VLOOKUP(D58,$K$394:$W$428,9,FALSE)),"",VLOOKUP(D58,$K$394:$W$428,9,FALSE))</f>
        <v>101716</v>
      </c>
      <c r="E59" s="94">
        <f t="shared" si="141"/>
        <v>96378</v>
      </c>
      <c r="F59" s="94">
        <f t="shared" ref="F59:I59" si="142">IF(ISERROR(VLOOKUP(F58,$K$394:$W$428,9,FALSE)),"",VLOOKUP(F58,$K$394:$W$428,9,FALSE))</f>
        <v>101706</v>
      </c>
      <c r="G59" s="94">
        <f t="shared" si="142"/>
        <v>96378</v>
      </c>
      <c r="H59" s="94" t="str">
        <f t="shared" si="142"/>
        <v/>
      </c>
      <c r="I59" s="95" t="str">
        <f t="shared" si="142"/>
        <v/>
      </c>
      <c r="J59" s="96"/>
      <c r="K59" s="94">
        <f t="shared" ref="K59:L59" si="143">IF(ISERROR(VLOOKUP(K58,$K$394:$W$428,9,FALSE)),"",VLOOKUP(K58,$K$394:$W$428,9,FALSE))</f>
        <v>101706</v>
      </c>
      <c r="L59" s="94">
        <f t="shared" si="143"/>
        <v>96378</v>
      </c>
      <c r="M59" s="94">
        <f t="shared" ref="M59:N59" si="144">IF(ISERROR(VLOOKUP(M58,$K$394:$W$428,9,FALSE)),"",VLOOKUP(M58,$K$394:$W$428,9,FALSE))</f>
        <v>101706</v>
      </c>
      <c r="N59" s="94">
        <f t="shared" si="144"/>
        <v>96378</v>
      </c>
      <c r="O59" s="294"/>
      <c r="P59" s="95" t="str">
        <f t="shared" ref="P59" si="145">IF(ISERROR(VLOOKUP(P58,$K$394:$W$428,9,FALSE)),"",VLOOKUP(P58,$K$394:$W$428,9,FALSE))</f>
        <v/>
      </c>
      <c r="Q59" s="96"/>
      <c r="R59" s="294"/>
      <c r="S59" s="294"/>
      <c r="T59" s="294"/>
      <c r="U59" s="94">
        <f t="shared" ref="U59:V59" si="146">IF(ISERROR(VLOOKUP(U58,$K$394:$W$428,9,FALSE)),"",VLOOKUP(U58,$K$394:$W$428,9,FALSE))</f>
        <v>96378</v>
      </c>
      <c r="V59" s="94">
        <f t="shared" si="146"/>
        <v>96378</v>
      </c>
      <c r="W59" s="95" t="str">
        <f t="shared" ref="W59" si="147">IF(ISERROR(VLOOKUP(W58,$K$394:$W$428,9,FALSE)),"",VLOOKUP(W58,$K$394:$W$428,9,FALSE))</f>
        <v/>
      </c>
      <c r="X59" s="96"/>
      <c r="Y59" s="165" t="str">
        <f t="shared" ref="Y59:Z59" si="148">IF(ISERROR(VLOOKUP(Y58,$K$394:$W$428,9,FALSE)),"",VLOOKUP(Y58,$K$394:$W$428,9,FALSE))</f>
        <v/>
      </c>
      <c r="Z59" s="165" t="str">
        <f t="shared" si="148"/>
        <v/>
      </c>
      <c r="AA59" s="165" t="str">
        <f t="shared" ref="AA59:AD59" si="149">IF(ISERROR(VLOOKUP(AA58,$K$394:$W$428,9,FALSE)),"",VLOOKUP(AA58,$K$394:$W$428,9,FALSE))</f>
        <v/>
      </c>
      <c r="AB59" s="165" t="str">
        <f t="shared" si="149"/>
        <v/>
      </c>
      <c r="AC59" s="165" t="str">
        <f t="shared" si="149"/>
        <v/>
      </c>
      <c r="AD59" s="95" t="str">
        <f t="shared" si="149"/>
        <v/>
      </c>
      <c r="AE59" s="297"/>
      <c r="AF59" s="298"/>
      <c r="AG59" s="299"/>
      <c r="AH59" s="97"/>
      <c r="AI59" s="71"/>
    </row>
    <row r="60" spans="1:35" ht="15" hidden="1" customHeight="1" outlineLevel="1">
      <c r="A60" s="221"/>
      <c r="B60" s="216" t="s">
        <v>23</v>
      </c>
      <c r="C60" s="39"/>
      <c r="D60" s="37"/>
      <c r="E60" s="37"/>
      <c r="F60" s="37"/>
      <c r="G60" s="37"/>
      <c r="H60" s="37"/>
      <c r="I60" s="38"/>
      <c r="J60" s="39"/>
      <c r="K60" s="37"/>
      <c r="L60" s="37"/>
      <c r="M60" s="37"/>
      <c r="N60" s="37"/>
      <c r="O60" s="211"/>
      <c r="P60" s="38"/>
      <c r="Q60" s="39"/>
      <c r="R60" s="211"/>
      <c r="S60" s="211"/>
      <c r="T60" s="211"/>
      <c r="U60" s="148"/>
      <c r="V60" s="148"/>
      <c r="W60" s="38"/>
      <c r="X60" s="39"/>
      <c r="Y60" s="164"/>
      <c r="Z60" s="164"/>
      <c r="AA60" s="164"/>
      <c r="AB60" s="164"/>
      <c r="AC60" s="169"/>
      <c r="AD60" s="38"/>
      <c r="AE60" s="297"/>
      <c r="AF60" s="298"/>
      <c r="AG60" s="299"/>
      <c r="AH60" s="93"/>
      <c r="AI60" s="71">
        <f>COUNTA($C60:$AD60)</f>
        <v>0</v>
      </c>
    </row>
    <row r="61" spans="1:35" ht="15" hidden="1" customHeight="1" outlineLevel="1">
      <c r="A61" s="223"/>
      <c r="B61" s="294"/>
      <c r="C61" s="42"/>
      <c r="D61" s="40" t="str">
        <f t="shared" ref="D61:I61" si="150">IF(ISERROR(VLOOKUP(D60,$K$394:$W$428,9,FALSE)),"",VLOOKUP(D60,$K$394:$W$428,9,FALSE))</f>
        <v/>
      </c>
      <c r="E61" s="40" t="str">
        <f t="shared" si="150"/>
        <v/>
      </c>
      <c r="F61" s="40" t="str">
        <f t="shared" si="150"/>
        <v/>
      </c>
      <c r="G61" s="40" t="str">
        <f t="shared" si="150"/>
        <v/>
      </c>
      <c r="H61" s="40" t="str">
        <f t="shared" si="150"/>
        <v/>
      </c>
      <c r="I61" s="41" t="str">
        <f t="shared" si="150"/>
        <v/>
      </c>
      <c r="J61" s="42"/>
      <c r="K61" s="40" t="str">
        <f t="shared" ref="K61:N61" si="151">IF(ISERROR(VLOOKUP(K60,$K$394:$W$428,9,FALSE)),"",VLOOKUP(K60,$K$394:$W$428,9,FALSE))</f>
        <v/>
      </c>
      <c r="L61" s="40" t="str">
        <f t="shared" si="151"/>
        <v/>
      </c>
      <c r="M61" s="40" t="str">
        <f t="shared" si="151"/>
        <v/>
      </c>
      <c r="N61" s="40" t="str">
        <f t="shared" si="151"/>
        <v/>
      </c>
      <c r="O61" s="294"/>
      <c r="P61" s="41" t="str">
        <f t="shared" ref="P61" si="152">IF(ISERROR(VLOOKUP(P60,$K$394:$W$428,9,FALSE)),"",VLOOKUP(P60,$K$394:$W$428,9,FALSE))</f>
        <v/>
      </c>
      <c r="Q61" s="42"/>
      <c r="R61" s="294"/>
      <c r="S61" s="294"/>
      <c r="T61" s="294"/>
      <c r="U61" s="40" t="str">
        <f t="shared" ref="U61:V61" si="153">IF(ISERROR(VLOOKUP(U60,$K$394:$W$428,9,FALSE)),"",VLOOKUP(U60,$K$394:$W$428,9,FALSE))</f>
        <v/>
      </c>
      <c r="V61" s="40" t="str">
        <f t="shared" si="153"/>
        <v/>
      </c>
      <c r="W61" s="41" t="str">
        <f t="shared" ref="W61" si="154">IF(ISERROR(VLOOKUP(W60,$K$394:$W$428,9,FALSE)),"",VLOOKUP(W60,$K$394:$W$428,9,FALSE))</f>
        <v/>
      </c>
      <c r="X61" s="42"/>
      <c r="Y61" s="166" t="str">
        <f t="shared" ref="Y61:AD61" si="155">IF(ISERROR(VLOOKUP(Y60,$K$394:$W$428,9,FALSE)),"",VLOOKUP(Y60,$K$394:$W$428,9,FALSE))</f>
        <v/>
      </c>
      <c r="Z61" s="166" t="str">
        <f t="shared" si="155"/>
        <v/>
      </c>
      <c r="AA61" s="166" t="str">
        <f t="shared" si="155"/>
        <v/>
      </c>
      <c r="AB61" s="166" t="str">
        <f t="shared" si="155"/>
        <v/>
      </c>
      <c r="AC61" s="166" t="str">
        <f t="shared" si="155"/>
        <v/>
      </c>
      <c r="AD61" s="41" t="str">
        <f t="shared" si="155"/>
        <v/>
      </c>
      <c r="AE61" s="297"/>
      <c r="AF61" s="298"/>
      <c r="AG61" s="299"/>
      <c r="AH61" s="97"/>
      <c r="AI61" s="71"/>
    </row>
    <row r="62" spans="1:35" ht="15" hidden="1" customHeight="1" outlineLevel="1">
      <c r="A62" s="221" t="s">
        <v>25</v>
      </c>
      <c r="B62" s="215" t="s">
        <v>19</v>
      </c>
      <c r="C62" s="39"/>
      <c r="D62" s="37"/>
      <c r="E62" s="37"/>
      <c r="F62" s="37"/>
      <c r="G62" s="37"/>
      <c r="H62" s="148" t="s">
        <v>32</v>
      </c>
      <c r="I62" s="38"/>
      <c r="J62" s="39"/>
      <c r="K62" s="37"/>
      <c r="L62" s="37"/>
      <c r="M62" s="37"/>
      <c r="N62" s="37"/>
      <c r="O62" s="211"/>
      <c r="P62" s="38"/>
      <c r="Q62" s="39"/>
      <c r="R62" s="211"/>
      <c r="S62" s="211"/>
      <c r="T62" s="211"/>
      <c r="U62" s="148" t="s">
        <v>32</v>
      </c>
      <c r="V62" s="148" t="s">
        <v>32</v>
      </c>
      <c r="W62" s="38"/>
      <c r="X62" s="39"/>
      <c r="Y62" s="164"/>
      <c r="Z62" s="164"/>
      <c r="AA62" s="164"/>
      <c r="AB62" s="164"/>
      <c r="AC62" s="169"/>
      <c r="AD62" s="38"/>
      <c r="AE62" s="297"/>
      <c r="AF62" s="298"/>
      <c r="AG62" s="299"/>
      <c r="AH62" s="93"/>
      <c r="AI62" s="71">
        <f>COUNTA($C62:$AD62)</f>
        <v>3</v>
      </c>
    </row>
    <row r="63" spans="1:35" ht="15" hidden="1" customHeight="1" outlineLevel="1">
      <c r="A63" s="293"/>
      <c r="B63" s="293"/>
      <c r="C63" s="42"/>
      <c r="D63" s="40" t="str">
        <f t="shared" ref="D63:I63" si="156">IF(ISERROR(VLOOKUP(D62,$K$394:$W$428,9,FALSE)),"",VLOOKUP(D62,$K$394:$W$428,9,FALSE))</f>
        <v/>
      </c>
      <c r="E63" s="40" t="str">
        <f t="shared" si="156"/>
        <v/>
      </c>
      <c r="F63" s="40" t="str">
        <f t="shared" si="156"/>
        <v/>
      </c>
      <c r="G63" s="40" t="str">
        <f t="shared" si="156"/>
        <v/>
      </c>
      <c r="H63" s="40">
        <f t="shared" si="156"/>
        <v>96379</v>
      </c>
      <c r="I63" s="41" t="str">
        <f t="shared" si="156"/>
        <v/>
      </c>
      <c r="J63" s="42"/>
      <c r="K63" s="40" t="str">
        <f t="shared" ref="K63:N63" si="157">IF(ISERROR(VLOOKUP(K62,$K$394:$W$428,9,FALSE)),"",VLOOKUP(K62,$K$394:$W$428,9,FALSE))</f>
        <v/>
      </c>
      <c r="L63" s="40" t="str">
        <f t="shared" si="157"/>
        <v/>
      </c>
      <c r="M63" s="40" t="str">
        <f t="shared" si="157"/>
        <v/>
      </c>
      <c r="N63" s="40" t="str">
        <f t="shared" si="157"/>
        <v/>
      </c>
      <c r="O63" s="294"/>
      <c r="P63" s="41" t="str">
        <f t="shared" ref="P63" si="158">IF(ISERROR(VLOOKUP(P62,$K$394:$W$428,9,FALSE)),"",VLOOKUP(P62,$K$394:$W$428,9,FALSE))</f>
        <v/>
      </c>
      <c r="Q63" s="42"/>
      <c r="R63" s="294"/>
      <c r="S63" s="294"/>
      <c r="T63" s="294"/>
      <c r="U63" s="40">
        <f t="shared" ref="U63:V63" si="159">IF(ISERROR(VLOOKUP(U62,$K$394:$W$428,9,FALSE)),"",VLOOKUP(U62,$K$394:$W$428,9,FALSE))</f>
        <v>96379</v>
      </c>
      <c r="V63" s="40">
        <f t="shared" si="159"/>
        <v>96379</v>
      </c>
      <c r="W63" s="41" t="str">
        <f t="shared" ref="W63" si="160">IF(ISERROR(VLOOKUP(W62,$K$394:$W$428,9,FALSE)),"",VLOOKUP(W62,$K$394:$W$428,9,FALSE))</f>
        <v/>
      </c>
      <c r="X63" s="42"/>
      <c r="Y63" s="166" t="str">
        <f t="shared" ref="Y63:AD63" si="161">IF(ISERROR(VLOOKUP(Y62,$K$394:$W$428,9,FALSE)),"",VLOOKUP(Y62,$K$394:$W$428,9,FALSE))</f>
        <v/>
      </c>
      <c r="Z63" s="166" t="str">
        <f t="shared" si="161"/>
        <v/>
      </c>
      <c r="AA63" s="166" t="str">
        <f t="shared" si="161"/>
        <v/>
      </c>
      <c r="AB63" s="166" t="str">
        <f t="shared" si="161"/>
        <v/>
      </c>
      <c r="AC63" s="166"/>
      <c r="AD63" s="41" t="str">
        <f t="shared" si="161"/>
        <v/>
      </c>
      <c r="AE63" s="297"/>
      <c r="AF63" s="298"/>
      <c r="AG63" s="299"/>
      <c r="AH63" s="97"/>
      <c r="AI63" s="71"/>
    </row>
    <row r="64" spans="1:35" ht="15" hidden="1" customHeight="1" outlineLevel="1">
      <c r="A64" s="293"/>
      <c r="B64" s="216" t="s">
        <v>20</v>
      </c>
      <c r="C64" s="39"/>
      <c r="D64" s="37"/>
      <c r="E64" s="37"/>
      <c r="F64" s="37"/>
      <c r="G64" s="37"/>
      <c r="H64" s="148" t="s">
        <v>32</v>
      </c>
      <c r="I64" s="38"/>
      <c r="J64" s="39"/>
      <c r="K64" s="37"/>
      <c r="L64" s="37"/>
      <c r="M64" s="37"/>
      <c r="N64" s="37"/>
      <c r="O64" s="211"/>
      <c r="P64" s="38"/>
      <c r="Q64" s="39"/>
      <c r="R64" s="211"/>
      <c r="S64" s="211"/>
      <c r="T64" s="211"/>
      <c r="U64" s="148" t="s">
        <v>32</v>
      </c>
      <c r="V64" s="148" t="s">
        <v>32</v>
      </c>
      <c r="W64" s="38"/>
      <c r="X64" s="39"/>
      <c r="Y64" s="164"/>
      <c r="Z64" s="164"/>
      <c r="AA64" s="164"/>
      <c r="AB64" s="164"/>
      <c r="AC64" s="169"/>
      <c r="AD64" s="38"/>
      <c r="AE64" s="297"/>
      <c r="AF64" s="298"/>
      <c r="AG64" s="299"/>
      <c r="AH64" s="93"/>
      <c r="AI64" s="71">
        <f>COUNTA($C64:$AD64)</f>
        <v>3</v>
      </c>
    </row>
    <row r="65" spans="1:35" ht="15" hidden="1" customHeight="1" outlineLevel="1">
      <c r="A65" s="293"/>
      <c r="B65" s="294"/>
      <c r="C65" s="96"/>
      <c r="D65" s="94" t="str">
        <f t="shared" ref="D65:I65" si="162">IF(ISERROR(VLOOKUP(D64,$K$394:$W$428,9,FALSE)),"",VLOOKUP(D64,$K$394:$W$428,9,FALSE))</f>
        <v/>
      </c>
      <c r="E65" s="94" t="str">
        <f t="shared" si="162"/>
        <v/>
      </c>
      <c r="F65" s="94" t="str">
        <f t="shared" si="162"/>
        <v/>
      </c>
      <c r="G65" s="94" t="str">
        <f t="shared" si="162"/>
        <v/>
      </c>
      <c r="H65" s="40">
        <f t="shared" si="162"/>
        <v>96379</v>
      </c>
      <c r="I65" s="95" t="str">
        <f t="shared" si="162"/>
        <v/>
      </c>
      <c r="J65" s="96"/>
      <c r="K65" s="94" t="str">
        <f t="shared" ref="K65:N65" si="163">IF(ISERROR(VLOOKUP(K64,$K$394:$W$428,9,FALSE)),"",VLOOKUP(K64,$K$394:$W$428,9,FALSE))</f>
        <v/>
      </c>
      <c r="L65" s="94" t="str">
        <f t="shared" si="163"/>
        <v/>
      </c>
      <c r="M65" s="94" t="str">
        <f t="shared" si="163"/>
        <v/>
      </c>
      <c r="N65" s="94" t="str">
        <f t="shared" si="163"/>
        <v/>
      </c>
      <c r="O65" s="294"/>
      <c r="P65" s="95" t="str">
        <f t="shared" ref="P65" si="164">IF(ISERROR(VLOOKUP(P64,$K$394:$W$428,9,FALSE)),"",VLOOKUP(P64,$K$394:$W$428,9,FALSE))</f>
        <v/>
      </c>
      <c r="Q65" s="96"/>
      <c r="R65" s="294"/>
      <c r="S65" s="294"/>
      <c r="T65" s="294"/>
      <c r="U65" s="40">
        <f t="shared" ref="U65:V65" si="165">IF(ISERROR(VLOOKUP(U64,$K$394:$W$428,9,FALSE)),"",VLOOKUP(U64,$K$394:$W$428,9,FALSE))</f>
        <v>96379</v>
      </c>
      <c r="V65" s="40">
        <f t="shared" si="165"/>
        <v>96379</v>
      </c>
      <c r="W65" s="95" t="str">
        <f t="shared" ref="W65" si="166">IF(ISERROR(VLOOKUP(W64,$K$394:$W$428,9,FALSE)),"",VLOOKUP(W64,$K$394:$W$428,9,FALSE))</f>
        <v/>
      </c>
      <c r="X65" s="96"/>
      <c r="Y65" s="165" t="str">
        <f t="shared" ref="Y65:AD65" si="167">IF(ISERROR(VLOOKUP(Y64,$K$394:$W$428,9,FALSE)),"",VLOOKUP(Y64,$K$394:$W$428,9,FALSE))</f>
        <v/>
      </c>
      <c r="Z65" s="165" t="str">
        <f t="shared" si="167"/>
        <v/>
      </c>
      <c r="AA65" s="165" t="str">
        <f t="shared" si="167"/>
        <v/>
      </c>
      <c r="AB65" s="165" t="str">
        <f t="shared" si="167"/>
        <v/>
      </c>
      <c r="AC65" s="166"/>
      <c r="AD65" s="95" t="str">
        <f t="shared" si="167"/>
        <v/>
      </c>
      <c r="AE65" s="297"/>
      <c r="AF65" s="298"/>
      <c r="AG65" s="299"/>
      <c r="AH65" s="97"/>
      <c r="AI65" s="71"/>
    </row>
    <row r="66" spans="1:35" ht="15" hidden="1" customHeight="1" outlineLevel="1">
      <c r="A66" s="293"/>
      <c r="B66" s="216" t="s">
        <v>21</v>
      </c>
      <c r="C66" s="39"/>
      <c r="D66" s="37"/>
      <c r="E66" s="37"/>
      <c r="F66" s="37"/>
      <c r="G66" s="37"/>
      <c r="H66" s="148" t="s">
        <v>32</v>
      </c>
      <c r="I66" s="38"/>
      <c r="J66" s="39"/>
      <c r="K66" s="37"/>
      <c r="L66" s="37"/>
      <c r="M66" s="37"/>
      <c r="N66" s="37"/>
      <c r="O66" s="211"/>
      <c r="P66" s="38"/>
      <c r="Q66" s="39"/>
      <c r="R66" s="211"/>
      <c r="S66" s="211"/>
      <c r="T66" s="211"/>
      <c r="U66" s="148" t="s">
        <v>32</v>
      </c>
      <c r="V66" s="148" t="s">
        <v>32</v>
      </c>
      <c r="W66" s="38"/>
      <c r="X66" s="39"/>
      <c r="Y66" s="164"/>
      <c r="Z66" s="164"/>
      <c r="AA66" s="164"/>
      <c r="AB66" s="164"/>
      <c r="AC66" s="169"/>
      <c r="AD66" s="38"/>
      <c r="AE66" s="297"/>
      <c r="AF66" s="298"/>
      <c r="AG66" s="299"/>
      <c r="AH66" s="93"/>
      <c r="AI66" s="71">
        <f>COUNTA($C66:$AD66)</f>
        <v>3</v>
      </c>
    </row>
    <row r="67" spans="1:35" ht="15" hidden="1" customHeight="1" outlineLevel="1">
      <c r="A67" s="293"/>
      <c r="B67" s="294"/>
      <c r="C67" s="42"/>
      <c r="D67" s="40" t="str">
        <f t="shared" ref="D67:I67" si="168">IF(ISERROR(VLOOKUP(D66,$K$394:$W$428,9,FALSE)),"",VLOOKUP(D66,$K$394:$W$428,9,FALSE))</f>
        <v/>
      </c>
      <c r="E67" s="40" t="str">
        <f t="shared" si="168"/>
        <v/>
      </c>
      <c r="F67" s="40" t="str">
        <f t="shared" si="168"/>
        <v/>
      </c>
      <c r="G67" s="40" t="str">
        <f t="shared" si="168"/>
        <v/>
      </c>
      <c r="H67" s="40">
        <f t="shared" si="168"/>
        <v>96379</v>
      </c>
      <c r="I67" s="41" t="str">
        <f t="shared" si="168"/>
        <v/>
      </c>
      <c r="J67" s="42"/>
      <c r="K67" s="40" t="str">
        <f t="shared" ref="K67:N67" si="169">IF(ISERROR(VLOOKUP(K66,$K$394:$W$428,9,FALSE)),"",VLOOKUP(K66,$K$394:$W$428,9,FALSE))</f>
        <v/>
      </c>
      <c r="L67" s="40" t="str">
        <f t="shared" si="169"/>
        <v/>
      </c>
      <c r="M67" s="40" t="str">
        <f t="shared" si="169"/>
        <v/>
      </c>
      <c r="N67" s="40" t="str">
        <f t="shared" si="169"/>
        <v/>
      </c>
      <c r="O67" s="294"/>
      <c r="P67" s="41" t="str">
        <f t="shared" ref="P67" si="170">IF(ISERROR(VLOOKUP(P66,$K$394:$W$428,9,FALSE)),"",VLOOKUP(P66,$K$394:$W$428,9,FALSE))</f>
        <v/>
      </c>
      <c r="Q67" s="42"/>
      <c r="R67" s="294"/>
      <c r="S67" s="294"/>
      <c r="T67" s="294"/>
      <c r="U67" s="40">
        <f t="shared" ref="U67:V67" si="171">IF(ISERROR(VLOOKUP(U66,$K$394:$W$428,9,FALSE)),"",VLOOKUP(U66,$K$394:$W$428,9,FALSE))</f>
        <v>96379</v>
      </c>
      <c r="V67" s="40">
        <f t="shared" si="171"/>
        <v>96379</v>
      </c>
      <c r="W67" s="41" t="str">
        <f t="shared" ref="W67" si="172">IF(ISERROR(VLOOKUP(W66,$K$394:$W$428,9,FALSE)),"",VLOOKUP(W66,$K$394:$W$428,9,FALSE))</f>
        <v/>
      </c>
      <c r="X67" s="42"/>
      <c r="Y67" s="166" t="str">
        <f t="shared" ref="Y67:AD67" si="173">IF(ISERROR(VLOOKUP(Y66,$K$394:$W$428,9,FALSE)),"",VLOOKUP(Y66,$K$394:$W$428,9,FALSE))</f>
        <v/>
      </c>
      <c r="Z67" s="166" t="str">
        <f t="shared" si="173"/>
        <v/>
      </c>
      <c r="AA67" s="166" t="str">
        <f t="shared" si="173"/>
        <v/>
      </c>
      <c r="AB67" s="166" t="str">
        <f t="shared" si="173"/>
        <v/>
      </c>
      <c r="AC67" s="166" t="str">
        <f t="shared" si="173"/>
        <v/>
      </c>
      <c r="AD67" s="41" t="str">
        <f t="shared" si="173"/>
        <v/>
      </c>
      <c r="AE67" s="297"/>
      <c r="AF67" s="298"/>
      <c r="AG67" s="299"/>
      <c r="AH67" s="97"/>
      <c r="AI67" s="71"/>
    </row>
    <row r="68" spans="1:35" ht="15" hidden="1" customHeight="1" outlineLevel="1">
      <c r="A68" s="293"/>
      <c r="B68" s="215" t="s">
        <v>22</v>
      </c>
      <c r="C68" s="100"/>
      <c r="D68" s="98"/>
      <c r="E68" s="98"/>
      <c r="F68" s="98"/>
      <c r="G68" s="98"/>
      <c r="H68" s="98"/>
      <c r="I68" s="99"/>
      <c r="J68" s="100"/>
      <c r="K68" s="98"/>
      <c r="L68" s="98"/>
      <c r="M68" s="98"/>
      <c r="N68" s="98"/>
      <c r="O68" s="211"/>
      <c r="P68" s="99"/>
      <c r="Q68" s="100"/>
      <c r="R68" s="211"/>
      <c r="S68" s="211"/>
      <c r="T68" s="211"/>
      <c r="U68" s="98"/>
      <c r="V68" s="98"/>
      <c r="W68" s="99"/>
      <c r="X68" s="100"/>
      <c r="Y68" s="170"/>
      <c r="Z68" s="170"/>
      <c r="AA68" s="170"/>
      <c r="AB68" s="170"/>
      <c r="AC68" s="170"/>
      <c r="AD68" s="99"/>
      <c r="AE68" s="297"/>
      <c r="AF68" s="298"/>
      <c r="AG68" s="299"/>
      <c r="AH68" s="93"/>
      <c r="AI68" s="71">
        <f>COUNTA($C68:$AD68)</f>
        <v>0</v>
      </c>
    </row>
    <row r="69" spans="1:35" ht="15" hidden="1" customHeight="1" outlineLevel="1">
      <c r="A69" s="295"/>
      <c r="B69" s="295"/>
      <c r="C69" s="45"/>
      <c r="D69" s="43" t="str">
        <f t="shared" ref="D69:I69" si="174">IF(ISERROR(VLOOKUP(D68,$K$394:$W$428,9,FALSE)),"",VLOOKUP(D68,$K$394:$W$428,9,FALSE))</f>
        <v/>
      </c>
      <c r="E69" s="43" t="str">
        <f t="shared" si="174"/>
        <v/>
      </c>
      <c r="F69" s="43" t="str">
        <f t="shared" si="174"/>
        <v/>
      </c>
      <c r="G69" s="43" t="str">
        <f t="shared" si="174"/>
        <v/>
      </c>
      <c r="H69" s="43" t="str">
        <f t="shared" si="174"/>
        <v/>
      </c>
      <c r="I69" s="44" t="str">
        <f t="shared" si="174"/>
        <v/>
      </c>
      <c r="J69" s="45"/>
      <c r="K69" s="43" t="str">
        <f t="shared" ref="K69:N69" si="175">IF(ISERROR(VLOOKUP(K68,$K$394:$W$428,9,FALSE)),"",VLOOKUP(K68,$K$394:$W$428,9,FALSE))</f>
        <v/>
      </c>
      <c r="L69" s="43" t="str">
        <f t="shared" si="175"/>
        <v/>
      </c>
      <c r="M69" s="43" t="str">
        <f t="shared" si="175"/>
        <v/>
      </c>
      <c r="N69" s="43" t="str">
        <f t="shared" si="175"/>
        <v/>
      </c>
      <c r="O69" s="295"/>
      <c r="P69" s="44" t="str">
        <f t="shared" ref="P69" si="176">IF(ISERROR(VLOOKUP(P68,$K$394:$W$428,9,FALSE)),"",VLOOKUP(P68,$K$394:$W$428,9,FALSE))</f>
        <v/>
      </c>
      <c r="Q69" s="45"/>
      <c r="R69" s="295"/>
      <c r="S69" s="295"/>
      <c r="T69" s="295"/>
      <c r="U69" s="43" t="str">
        <f t="shared" ref="U69:W69" si="177">IF(ISERROR(VLOOKUP(U68,$K$394:$W$428,9,FALSE)),"",VLOOKUP(U68,$K$394:$W$428,9,FALSE))</f>
        <v/>
      </c>
      <c r="V69" s="43" t="str">
        <f t="shared" si="177"/>
        <v/>
      </c>
      <c r="W69" s="44" t="str">
        <f t="shared" si="177"/>
        <v/>
      </c>
      <c r="X69" s="45"/>
      <c r="Y69" s="171" t="str">
        <f t="shared" ref="Y69:AD69" si="178">IF(ISERROR(VLOOKUP(Y68,$K$394:$W$428,9,FALSE)),"",VLOOKUP(Y68,$K$394:$W$428,9,FALSE))</f>
        <v/>
      </c>
      <c r="Z69" s="171" t="str">
        <f t="shared" si="178"/>
        <v/>
      </c>
      <c r="AA69" s="171" t="str">
        <f t="shared" si="178"/>
        <v/>
      </c>
      <c r="AB69" s="171" t="str">
        <f t="shared" si="178"/>
        <v/>
      </c>
      <c r="AC69" s="171" t="str">
        <f t="shared" si="178"/>
        <v/>
      </c>
      <c r="AD69" s="44" t="str">
        <f t="shared" si="178"/>
        <v/>
      </c>
      <c r="AE69" s="291"/>
      <c r="AF69" s="300"/>
      <c r="AG69" s="292"/>
      <c r="AH69" s="97"/>
      <c r="AI69" s="71"/>
    </row>
    <row r="70" spans="1:35" ht="18.75" hidden="1" customHeight="1" collapsed="1">
      <c r="A70" s="46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249" t="s">
        <v>33</v>
      </c>
      <c r="Z70" s="249"/>
      <c r="AA70" s="249"/>
      <c r="AB70" s="249"/>
      <c r="AC70" s="249"/>
      <c r="AD70" s="1"/>
      <c r="AE70" s="1"/>
      <c r="AF70" s="1"/>
      <c r="AG70" s="1"/>
      <c r="AH70" s="21"/>
      <c r="AI70" s="70"/>
    </row>
    <row r="71" spans="1:35" ht="23.25" hidden="1" customHeight="1" outlineLevel="1">
      <c r="A71" s="218">
        <f>A39+28</f>
        <v>46082</v>
      </c>
      <c r="B71" s="219"/>
      <c r="C71" s="219"/>
      <c r="D71" s="219"/>
      <c r="E71" s="219"/>
      <c r="F71" s="219"/>
      <c r="G71" s="219"/>
      <c r="H71" s="219"/>
      <c r="I71" s="219"/>
      <c r="J71" s="219"/>
      <c r="K71" s="219"/>
      <c r="L71" s="219"/>
      <c r="M71" s="220"/>
      <c r="N71" s="213" t="s">
        <v>14</v>
      </c>
      <c r="O71" s="214"/>
      <c r="P71" s="214"/>
      <c r="Q71" s="214"/>
      <c r="R71" s="68">
        <v>21</v>
      </c>
      <c r="S71" s="212" t="s">
        <v>15</v>
      </c>
      <c r="T71" s="212"/>
      <c r="U71" s="212"/>
      <c r="V71" s="212"/>
      <c r="W71" s="69">
        <f>SUM(AI74:AI101)</f>
        <v>139</v>
      </c>
      <c r="X71" s="212" t="s">
        <v>16</v>
      </c>
      <c r="Y71" s="212"/>
      <c r="Z71" s="212"/>
      <c r="AA71" s="212"/>
      <c r="AB71" s="69">
        <f>IF($M$2="Mensalista",R71*8,IF($M$2="Horista",90,IF($M$2="Intermitente",(ROUNDDOWN((R71*8*0.909),0)),"")))</f>
        <v>168</v>
      </c>
      <c r="AC71" s="212" t="s">
        <v>17</v>
      </c>
      <c r="AD71" s="245"/>
      <c r="AE71" s="245"/>
      <c r="AF71" s="246">
        <f>IF($M$2="","",IF($M$2="RSA","",W71/AB71))</f>
        <v>0.82738095238095233</v>
      </c>
      <c r="AG71" s="289"/>
      <c r="AH71" s="101"/>
      <c r="AI71" s="72"/>
    </row>
    <row r="72" spans="1:35" ht="15" hidden="1" customHeight="1" outlineLevel="1">
      <c r="A72" s="217"/>
      <c r="B72" s="290"/>
      <c r="C72" s="34">
        <f>A71</f>
        <v>46082</v>
      </c>
      <c r="D72" s="32">
        <f t="shared" ref="D72:AG72" si="179">C72+1</f>
        <v>46083</v>
      </c>
      <c r="E72" s="32">
        <f t="shared" si="179"/>
        <v>46084</v>
      </c>
      <c r="F72" s="32">
        <f t="shared" si="179"/>
        <v>46085</v>
      </c>
      <c r="G72" s="32">
        <f t="shared" si="179"/>
        <v>46086</v>
      </c>
      <c r="H72" s="32">
        <f t="shared" si="179"/>
        <v>46087</v>
      </c>
      <c r="I72" s="33">
        <f t="shared" si="179"/>
        <v>46088</v>
      </c>
      <c r="J72" s="34">
        <f t="shared" si="179"/>
        <v>46089</v>
      </c>
      <c r="K72" s="32">
        <f t="shared" si="179"/>
        <v>46090</v>
      </c>
      <c r="L72" s="32">
        <f t="shared" si="179"/>
        <v>46091</v>
      </c>
      <c r="M72" s="32">
        <f t="shared" si="179"/>
        <v>46092</v>
      </c>
      <c r="N72" s="32">
        <f t="shared" si="179"/>
        <v>46093</v>
      </c>
      <c r="O72" s="32">
        <f t="shared" si="179"/>
        <v>46094</v>
      </c>
      <c r="P72" s="33">
        <f t="shared" si="179"/>
        <v>46095</v>
      </c>
      <c r="Q72" s="34">
        <f t="shared" si="179"/>
        <v>46096</v>
      </c>
      <c r="R72" s="32">
        <f t="shared" si="179"/>
        <v>46097</v>
      </c>
      <c r="S72" s="32">
        <f t="shared" si="179"/>
        <v>46098</v>
      </c>
      <c r="T72" s="32">
        <f t="shared" si="179"/>
        <v>46099</v>
      </c>
      <c r="U72" s="32">
        <f t="shared" si="179"/>
        <v>46100</v>
      </c>
      <c r="V72" s="32">
        <f t="shared" si="179"/>
        <v>46101</v>
      </c>
      <c r="W72" s="33">
        <f t="shared" si="179"/>
        <v>46102</v>
      </c>
      <c r="X72" s="34">
        <f t="shared" si="179"/>
        <v>46103</v>
      </c>
      <c r="Y72" s="32">
        <f t="shared" si="179"/>
        <v>46104</v>
      </c>
      <c r="Z72" s="32">
        <f t="shared" si="179"/>
        <v>46105</v>
      </c>
      <c r="AA72" s="32">
        <f t="shared" si="179"/>
        <v>46106</v>
      </c>
      <c r="AB72" s="32">
        <f t="shared" si="179"/>
        <v>46107</v>
      </c>
      <c r="AC72" s="32">
        <f t="shared" si="179"/>
        <v>46108</v>
      </c>
      <c r="AD72" s="33">
        <f t="shared" si="179"/>
        <v>46109</v>
      </c>
      <c r="AE72" s="34">
        <f t="shared" si="179"/>
        <v>46110</v>
      </c>
      <c r="AF72" s="32">
        <f t="shared" si="179"/>
        <v>46111</v>
      </c>
      <c r="AG72" s="32">
        <f t="shared" si="179"/>
        <v>46112</v>
      </c>
      <c r="AH72" s="90"/>
      <c r="AI72" s="73"/>
    </row>
    <row r="73" spans="1:35" ht="15.75" hidden="1" customHeight="1" outlineLevel="1">
      <c r="A73" s="291"/>
      <c r="B73" s="292"/>
      <c r="C73" s="36">
        <f>A71</f>
        <v>46082</v>
      </c>
      <c r="D73" s="91">
        <f t="shared" ref="D73:AG73" si="180">C73+1</f>
        <v>46083</v>
      </c>
      <c r="E73" s="91">
        <f t="shared" si="180"/>
        <v>46084</v>
      </c>
      <c r="F73" s="91">
        <f t="shared" si="180"/>
        <v>46085</v>
      </c>
      <c r="G73" s="91">
        <f t="shared" si="180"/>
        <v>46086</v>
      </c>
      <c r="H73" s="91">
        <f t="shared" si="180"/>
        <v>46087</v>
      </c>
      <c r="I73" s="35">
        <f t="shared" si="180"/>
        <v>46088</v>
      </c>
      <c r="J73" s="36">
        <f t="shared" si="180"/>
        <v>46089</v>
      </c>
      <c r="K73" s="91">
        <f t="shared" si="180"/>
        <v>46090</v>
      </c>
      <c r="L73" s="91">
        <f t="shared" si="180"/>
        <v>46091</v>
      </c>
      <c r="M73" s="91">
        <f t="shared" si="180"/>
        <v>46092</v>
      </c>
      <c r="N73" s="91">
        <f t="shared" si="180"/>
        <v>46093</v>
      </c>
      <c r="O73" s="91">
        <f t="shared" si="180"/>
        <v>46094</v>
      </c>
      <c r="P73" s="35">
        <f t="shared" si="180"/>
        <v>46095</v>
      </c>
      <c r="Q73" s="36">
        <f t="shared" si="180"/>
        <v>46096</v>
      </c>
      <c r="R73" s="91">
        <f t="shared" si="180"/>
        <v>46097</v>
      </c>
      <c r="S73" s="91">
        <f t="shared" si="180"/>
        <v>46098</v>
      </c>
      <c r="T73" s="91">
        <f t="shared" si="180"/>
        <v>46099</v>
      </c>
      <c r="U73" s="91">
        <f t="shared" si="180"/>
        <v>46100</v>
      </c>
      <c r="V73" s="91">
        <f t="shared" si="180"/>
        <v>46101</v>
      </c>
      <c r="W73" s="35">
        <f t="shared" si="180"/>
        <v>46102</v>
      </c>
      <c r="X73" s="36">
        <f t="shared" si="180"/>
        <v>46103</v>
      </c>
      <c r="Y73" s="91">
        <f t="shared" si="180"/>
        <v>46104</v>
      </c>
      <c r="Z73" s="91">
        <f t="shared" si="180"/>
        <v>46105</v>
      </c>
      <c r="AA73" s="91">
        <f t="shared" si="180"/>
        <v>46106</v>
      </c>
      <c r="AB73" s="91">
        <f t="shared" si="180"/>
        <v>46107</v>
      </c>
      <c r="AC73" s="91">
        <f t="shared" si="180"/>
        <v>46108</v>
      </c>
      <c r="AD73" s="35">
        <f t="shared" si="180"/>
        <v>46109</v>
      </c>
      <c r="AE73" s="36">
        <f t="shared" si="180"/>
        <v>46110</v>
      </c>
      <c r="AF73" s="91">
        <f t="shared" si="180"/>
        <v>46111</v>
      </c>
      <c r="AG73" s="91">
        <f t="shared" si="180"/>
        <v>46112</v>
      </c>
      <c r="AH73" s="92"/>
      <c r="AI73" s="72"/>
    </row>
    <row r="74" spans="1:35" ht="15" hidden="1" customHeight="1" outlineLevel="1">
      <c r="A74" s="222" t="s">
        <v>18</v>
      </c>
      <c r="B74" s="215" t="s">
        <v>19</v>
      </c>
      <c r="C74" s="39"/>
      <c r="D74" s="37" t="s">
        <v>28</v>
      </c>
      <c r="E74" s="37"/>
      <c r="F74" s="37" t="s">
        <v>28</v>
      </c>
      <c r="G74" s="37"/>
      <c r="H74" s="144"/>
      <c r="I74" s="38"/>
      <c r="J74" s="39"/>
      <c r="K74" s="37" t="s">
        <v>28</v>
      </c>
      <c r="L74" s="37"/>
      <c r="M74" s="37" t="s">
        <v>28</v>
      </c>
      <c r="N74" s="37"/>
      <c r="O74" s="144"/>
      <c r="P74" s="38"/>
      <c r="Q74" s="39"/>
      <c r="R74" s="102" t="s">
        <v>34</v>
      </c>
      <c r="S74" s="37" t="s">
        <v>28</v>
      </c>
      <c r="T74" s="37" t="s">
        <v>28</v>
      </c>
      <c r="U74" s="37"/>
      <c r="V74" s="144"/>
      <c r="W74" s="38"/>
      <c r="X74" s="39"/>
      <c r="Y74" s="37" t="s">
        <v>28</v>
      </c>
      <c r="Z74" s="37"/>
      <c r="AA74" s="37"/>
      <c r="AB74" s="144"/>
      <c r="AC74" s="37"/>
      <c r="AD74" s="38"/>
      <c r="AE74" s="39"/>
      <c r="AF74" s="37" t="s">
        <v>28</v>
      </c>
      <c r="AG74" s="37"/>
      <c r="AH74" s="93"/>
      <c r="AI74" s="73">
        <f>COUNTA($C74:$AG74)</f>
        <v>9</v>
      </c>
    </row>
    <row r="75" spans="1:35" ht="15" hidden="1" customHeight="1" outlineLevel="1">
      <c r="A75" s="221"/>
      <c r="B75" s="293"/>
      <c r="C75" s="96"/>
      <c r="D75" s="94">
        <f t="shared" ref="D75:E75" si="181">IF(ISERROR(VLOOKUP(D74,$K$394:$W$428,9,FALSE)),"",VLOOKUP(D74,$K$394:$W$428,9,FALSE))</f>
        <v>93745</v>
      </c>
      <c r="E75" s="94" t="str">
        <f t="shared" si="181"/>
        <v/>
      </c>
      <c r="F75" s="94">
        <f t="shared" ref="F75:I75" si="182">IF(ISERROR(VLOOKUP(F74,$K$394:$W$428,9,FALSE)),"",VLOOKUP(F74,$K$394:$W$428,9,FALSE))</f>
        <v>93745</v>
      </c>
      <c r="G75" s="94" t="str">
        <f t="shared" si="182"/>
        <v/>
      </c>
      <c r="H75" s="145" t="str">
        <f t="shared" si="182"/>
        <v/>
      </c>
      <c r="I75" s="95" t="str">
        <f t="shared" si="182"/>
        <v/>
      </c>
      <c r="J75" s="96"/>
      <c r="K75" s="94">
        <f t="shared" ref="K75:L75" si="183">IF(ISERROR(VLOOKUP(K74,$K$394:$W$428,9,FALSE)),"",VLOOKUP(K74,$K$394:$W$428,9,FALSE))</f>
        <v>93745</v>
      </c>
      <c r="L75" s="94" t="str">
        <f t="shared" si="183"/>
        <v/>
      </c>
      <c r="M75" s="94">
        <f t="shared" ref="M75:P75" si="184">IF(ISERROR(VLOOKUP(M74,$K$394:$W$428,9,FALSE)),"",VLOOKUP(M74,$K$394:$W$428,9,FALSE))</f>
        <v>93745</v>
      </c>
      <c r="N75" s="94" t="str">
        <f t="shared" si="184"/>
        <v/>
      </c>
      <c r="O75" s="145" t="str">
        <f t="shared" si="184"/>
        <v/>
      </c>
      <c r="P75" s="95" t="str">
        <f t="shared" si="184"/>
        <v/>
      </c>
      <c r="Q75" s="96"/>
      <c r="R75" s="158">
        <f t="shared" ref="R75" si="185">IF(ISERROR(VLOOKUP(R74,$K$394:$W$428,9,FALSE)),"",VLOOKUP(R74,$K$394:$W$428,9,FALSE))</f>
        <v>93745</v>
      </c>
      <c r="S75" s="94">
        <f t="shared" ref="S75" si="186">IF(ISERROR(VLOOKUP(S74,$K$394:$W$428,9,FALSE)),"",VLOOKUP(S74,$K$394:$W$428,9,FALSE))</f>
        <v>93745</v>
      </c>
      <c r="T75" s="94">
        <f t="shared" ref="T75:W75" si="187">IF(ISERROR(VLOOKUP(T74,$K$394:$W$428,9,FALSE)),"",VLOOKUP(T74,$K$394:$W$428,9,FALSE))</f>
        <v>93745</v>
      </c>
      <c r="U75" s="94" t="str">
        <f t="shared" si="187"/>
        <v/>
      </c>
      <c r="V75" s="145" t="str">
        <f t="shared" si="187"/>
        <v/>
      </c>
      <c r="W75" s="95" t="str">
        <f t="shared" si="187"/>
        <v/>
      </c>
      <c r="X75" s="96"/>
      <c r="Y75" s="94">
        <f t="shared" ref="Y75:Z75" si="188">IF(ISERROR(VLOOKUP(Y74,$K$394:$W$428,9,FALSE)),"",VLOOKUP(Y74,$K$394:$W$428,9,FALSE))</f>
        <v>93745</v>
      </c>
      <c r="Z75" s="94" t="str">
        <f t="shared" si="188"/>
        <v/>
      </c>
      <c r="AA75" s="94" t="str">
        <f t="shared" ref="AA75:AC75" si="189">IF(ISERROR(VLOOKUP(AA74,$K$394:$W$428,9,FALSE)),"",VLOOKUP(AA74,$K$394:$W$428,9,FALSE))</f>
        <v/>
      </c>
      <c r="AB75" s="145"/>
      <c r="AC75" s="94" t="str">
        <f t="shared" si="189"/>
        <v/>
      </c>
      <c r="AD75" s="95" t="str">
        <f t="shared" ref="AD75" si="190">IF(ISERROR(VLOOKUP(AD74,$K$394:$W$428,9,FALSE)),"",VLOOKUP(AD74,$K$394:$W$428,9,FALSE))</f>
        <v/>
      </c>
      <c r="AE75" s="96"/>
      <c r="AF75" s="94">
        <f t="shared" ref="AF75:AG75" si="191">IF(ISERROR(VLOOKUP(AF74,$K$394:$W$428,9,FALSE)),"",VLOOKUP(AF74,$K$394:$W$428,9,FALSE))</f>
        <v>93745</v>
      </c>
      <c r="AG75" s="94" t="str">
        <f t="shared" si="191"/>
        <v/>
      </c>
      <c r="AH75" s="97"/>
      <c r="AI75" s="73"/>
    </row>
    <row r="76" spans="1:35" ht="15" hidden="1" customHeight="1" outlineLevel="1">
      <c r="A76" s="221"/>
      <c r="B76" s="216" t="s">
        <v>20</v>
      </c>
      <c r="C76" s="39"/>
      <c r="D76" s="37" t="s">
        <v>28</v>
      </c>
      <c r="E76" s="37"/>
      <c r="F76" s="37" t="s">
        <v>28</v>
      </c>
      <c r="G76" s="37"/>
      <c r="H76" s="144"/>
      <c r="I76" s="38"/>
      <c r="J76" s="39"/>
      <c r="K76" s="37" t="s">
        <v>28</v>
      </c>
      <c r="L76" s="37"/>
      <c r="M76" s="37" t="s">
        <v>28</v>
      </c>
      <c r="N76" s="37"/>
      <c r="O76" s="144"/>
      <c r="P76" s="38"/>
      <c r="Q76" s="39"/>
      <c r="R76" s="102" t="s">
        <v>34</v>
      </c>
      <c r="S76" s="37" t="s">
        <v>28</v>
      </c>
      <c r="T76" s="37" t="s">
        <v>28</v>
      </c>
      <c r="U76" s="37"/>
      <c r="V76" s="144"/>
      <c r="W76" s="38"/>
      <c r="X76" s="39"/>
      <c r="Y76" s="37" t="s">
        <v>28</v>
      </c>
      <c r="Z76" s="37"/>
      <c r="AA76" s="37"/>
      <c r="AB76" s="144"/>
      <c r="AC76" s="37"/>
      <c r="AD76" s="38"/>
      <c r="AE76" s="39"/>
      <c r="AF76" s="37" t="s">
        <v>28</v>
      </c>
      <c r="AG76" s="37"/>
      <c r="AH76" s="93"/>
      <c r="AI76" s="73">
        <f>COUNTA($C76:$AG76)</f>
        <v>9</v>
      </c>
    </row>
    <row r="77" spans="1:35" ht="15" hidden="1" customHeight="1" outlineLevel="1">
      <c r="A77" s="221"/>
      <c r="B77" s="294"/>
      <c r="C77" s="96"/>
      <c r="D77" s="94">
        <f t="shared" ref="D77:E77" si="192">IF(ISERROR(VLOOKUP(D76,$K$394:$W$428,9,FALSE)),"",VLOOKUP(D76,$K$394:$W$428,9,FALSE))</f>
        <v>93745</v>
      </c>
      <c r="E77" s="94" t="str">
        <f t="shared" si="192"/>
        <v/>
      </c>
      <c r="F77" s="94">
        <f t="shared" ref="F77:I77" si="193">IF(ISERROR(VLOOKUP(F76,$K$394:$W$428,9,FALSE)),"",VLOOKUP(F76,$K$394:$W$428,9,FALSE))</f>
        <v>93745</v>
      </c>
      <c r="G77" s="94" t="str">
        <f t="shared" si="193"/>
        <v/>
      </c>
      <c r="H77" s="145" t="str">
        <f t="shared" si="193"/>
        <v/>
      </c>
      <c r="I77" s="95" t="str">
        <f t="shared" si="193"/>
        <v/>
      </c>
      <c r="J77" s="96"/>
      <c r="K77" s="94">
        <f t="shared" ref="K77:L77" si="194">IF(ISERROR(VLOOKUP(K76,$K$394:$W$428,9,FALSE)),"",VLOOKUP(K76,$K$394:$W$428,9,FALSE))</f>
        <v>93745</v>
      </c>
      <c r="L77" s="94" t="str">
        <f t="shared" si="194"/>
        <v/>
      </c>
      <c r="M77" s="94">
        <f t="shared" ref="M77:P77" si="195">IF(ISERROR(VLOOKUP(M76,$K$394:$W$428,9,FALSE)),"",VLOOKUP(M76,$K$394:$W$428,9,FALSE))</f>
        <v>93745</v>
      </c>
      <c r="N77" s="94" t="str">
        <f t="shared" si="195"/>
        <v/>
      </c>
      <c r="O77" s="145" t="str">
        <f t="shared" si="195"/>
        <v/>
      </c>
      <c r="P77" s="95" t="str">
        <f t="shared" si="195"/>
        <v/>
      </c>
      <c r="Q77" s="96"/>
      <c r="R77" s="158">
        <f t="shared" ref="R77" si="196">IF(ISERROR(VLOOKUP(R76,$K$394:$W$428,9,FALSE)),"",VLOOKUP(R76,$K$394:$W$428,9,FALSE))</f>
        <v>93745</v>
      </c>
      <c r="S77" s="94">
        <f t="shared" ref="S77" si="197">IF(ISERROR(VLOOKUP(S76,$K$394:$W$428,9,FALSE)),"",VLOOKUP(S76,$K$394:$W$428,9,FALSE))</f>
        <v>93745</v>
      </c>
      <c r="T77" s="94">
        <f t="shared" ref="T77:W77" si="198">IF(ISERROR(VLOOKUP(T76,$K$394:$W$428,9,FALSE)),"",VLOOKUP(T76,$K$394:$W$428,9,FALSE))</f>
        <v>93745</v>
      </c>
      <c r="U77" s="94" t="str">
        <f t="shared" si="198"/>
        <v/>
      </c>
      <c r="V77" s="145" t="str">
        <f t="shared" si="198"/>
        <v/>
      </c>
      <c r="W77" s="95" t="str">
        <f t="shared" si="198"/>
        <v/>
      </c>
      <c r="X77" s="96"/>
      <c r="Y77" s="94">
        <f t="shared" ref="Y77:Z77" si="199">IF(ISERROR(VLOOKUP(Y76,$K$394:$W$428,9,FALSE)),"",VLOOKUP(Y76,$K$394:$W$428,9,FALSE))</f>
        <v>93745</v>
      </c>
      <c r="Z77" s="94" t="str">
        <f t="shared" si="199"/>
        <v/>
      </c>
      <c r="AA77" s="94" t="str">
        <f t="shared" ref="AA77:AC77" si="200">IF(ISERROR(VLOOKUP(AA76,$K$394:$W$428,9,FALSE)),"",VLOOKUP(AA76,$K$394:$W$428,9,FALSE))</f>
        <v/>
      </c>
      <c r="AB77" s="145"/>
      <c r="AC77" s="94" t="str">
        <f t="shared" si="200"/>
        <v/>
      </c>
      <c r="AD77" s="95" t="str">
        <f t="shared" ref="AD77" si="201">IF(ISERROR(VLOOKUP(AD76,$K$394:$W$428,9,FALSE)),"",VLOOKUP(AD76,$K$394:$W$428,9,FALSE))</f>
        <v/>
      </c>
      <c r="AE77" s="96"/>
      <c r="AF77" s="94">
        <f t="shared" ref="AF77:AG77" si="202">IF(ISERROR(VLOOKUP(AF76,$K$394:$W$428,9,FALSE)),"",VLOOKUP(AF76,$K$394:$W$428,9,FALSE))</f>
        <v>93745</v>
      </c>
      <c r="AG77" s="94" t="str">
        <f t="shared" si="202"/>
        <v/>
      </c>
      <c r="AH77" s="97"/>
      <c r="AI77" s="73"/>
    </row>
    <row r="78" spans="1:35" ht="15" hidden="1" customHeight="1" outlineLevel="1">
      <c r="A78" s="221"/>
      <c r="B78" s="216" t="s">
        <v>21</v>
      </c>
      <c r="C78" s="39"/>
      <c r="D78" s="37" t="s">
        <v>28</v>
      </c>
      <c r="E78" s="37"/>
      <c r="F78" s="37" t="s">
        <v>28</v>
      </c>
      <c r="G78" s="37"/>
      <c r="H78" s="144"/>
      <c r="I78" s="38"/>
      <c r="J78" s="39"/>
      <c r="K78" s="37" t="s">
        <v>28</v>
      </c>
      <c r="L78" s="37"/>
      <c r="M78" s="37" t="s">
        <v>28</v>
      </c>
      <c r="N78" s="37"/>
      <c r="O78" s="144"/>
      <c r="P78" s="38"/>
      <c r="Q78" s="39"/>
      <c r="R78" s="102" t="s">
        <v>34</v>
      </c>
      <c r="S78" s="37" t="s">
        <v>28</v>
      </c>
      <c r="T78" s="37" t="s">
        <v>28</v>
      </c>
      <c r="U78" s="37"/>
      <c r="V78" s="144"/>
      <c r="W78" s="38"/>
      <c r="X78" s="39"/>
      <c r="Y78" s="37" t="s">
        <v>28</v>
      </c>
      <c r="Z78" s="37"/>
      <c r="AA78" s="37"/>
      <c r="AB78" s="144"/>
      <c r="AC78" s="37"/>
      <c r="AD78" s="38"/>
      <c r="AE78" s="39"/>
      <c r="AF78" s="37" t="s">
        <v>28</v>
      </c>
      <c r="AG78" s="37"/>
      <c r="AH78" s="93"/>
      <c r="AI78" s="73">
        <f>COUNTA($C78:$AG78)</f>
        <v>9</v>
      </c>
    </row>
    <row r="79" spans="1:35" ht="15" hidden="1" customHeight="1" outlineLevel="1">
      <c r="A79" s="221"/>
      <c r="B79" s="294"/>
      <c r="C79" s="42"/>
      <c r="D79" s="94">
        <f t="shared" ref="D79:E79" si="203">IF(ISERROR(VLOOKUP(D78,$K$394:$W$428,9,FALSE)),"",VLOOKUP(D78,$K$394:$W$428,9,FALSE))</f>
        <v>93745</v>
      </c>
      <c r="E79" s="40" t="str">
        <f t="shared" si="203"/>
        <v/>
      </c>
      <c r="F79" s="94">
        <f t="shared" ref="F79:I79" si="204">IF(ISERROR(VLOOKUP(F78,$K$394:$W$428,9,FALSE)),"",VLOOKUP(F78,$K$394:$W$428,9,FALSE))</f>
        <v>93745</v>
      </c>
      <c r="G79" s="40" t="str">
        <f t="shared" si="204"/>
        <v/>
      </c>
      <c r="H79" s="149" t="str">
        <f t="shared" si="204"/>
        <v/>
      </c>
      <c r="I79" s="41" t="str">
        <f t="shared" si="204"/>
        <v/>
      </c>
      <c r="J79" s="42"/>
      <c r="K79" s="94">
        <f t="shared" ref="K79:L79" si="205">IF(ISERROR(VLOOKUP(K78,$K$394:$W$428,9,FALSE)),"",VLOOKUP(K78,$K$394:$W$428,9,FALSE))</f>
        <v>93745</v>
      </c>
      <c r="L79" s="40" t="str">
        <f t="shared" si="205"/>
        <v/>
      </c>
      <c r="M79" s="94">
        <f t="shared" ref="M79:P79" si="206">IF(ISERROR(VLOOKUP(M78,$K$394:$W$428,9,FALSE)),"",VLOOKUP(M78,$K$394:$W$428,9,FALSE))</f>
        <v>93745</v>
      </c>
      <c r="N79" s="40" t="str">
        <f t="shared" si="206"/>
        <v/>
      </c>
      <c r="O79" s="149" t="str">
        <f t="shared" si="206"/>
        <v/>
      </c>
      <c r="P79" s="41" t="str">
        <f t="shared" si="206"/>
        <v/>
      </c>
      <c r="Q79" s="42"/>
      <c r="R79" s="103">
        <f t="shared" ref="R79" si="207">IF(ISERROR(VLOOKUP(R78,$K$394:$W$428,9,FALSE)),"",VLOOKUP(R78,$K$394:$W$428,9,FALSE))</f>
        <v>93745</v>
      </c>
      <c r="S79" s="94">
        <f t="shared" ref="S79" si="208">IF(ISERROR(VLOOKUP(S78,$K$394:$W$428,9,FALSE)),"",VLOOKUP(S78,$K$394:$W$428,9,FALSE))</f>
        <v>93745</v>
      </c>
      <c r="T79" s="94">
        <f t="shared" ref="T79:W79" si="209">IF(ISERROR(VLOOKUP(T78,$K$394:$W$428,9,FALSE)),"",VLOOKUP(T78,$K$394:$W$428,9,FALSE))</f>
        <v>93745</v>
      </c>
      <c r="U79" s="40" t="str">
        <f t="shared" si="209"/>
        <v/>
      </c>
      <c r="V79" s="149" t="str">
        <f t="shared" si="209"/>
        <v/>
      </c>
      <c r="W79" s="41" t="str">
        <f t="shared" si="209"/>
        <v/>
      </c>
      <c r="X79" s="42"/>
      <c r="Y79" s="94">
        <f t="shared" ref="Y79:Z79" si="210">IF(ISERROR(VLOOKUP(Y78,$K$394:$W$428,9,FALSE)),"",VLOOKUP(Y78,$K$394:$W$428,9,FALSE))</f>
        <v>93745</v>
      </c>
      <c r="Z79" s="40" t="str">
        <f t="shared" si="210"/>
        <v/>
      </c>
      <c r="AA79" s="40" t="str">
        <f t="shared" ref="AA79:AC79" si="211">IF(ISERROR(VLOOKUP(AA78,$K$394:$W$428,9,FALSE)),"",VLOOKUP(AA78,$K$394:$W$428,9,FALSE))</f>
        <v/>
      </c>
      <c r="AB79" s="145"/>
      <c r="AC79" s="40" t="str">
        <f t="shared" si="211"/>
        <v/>
      </c>
      <c r="AD79" s="41" t="str">
        <f t="shared" ref="AD79" si="212">IF(ISERROR(VLOOKUP(AD78,$K$394:$W$428,9,FALSE)),"",VLOOKUP(AD78,$K$394:$W$428,9,FALSE))</f>
        <v/>
      </c>
      <c r="AE79" s="42"/>
      <c r="AF79" s="94">
        <f t="shared" ref="AF79:AG79" si="213">IF(ISERROR(VLOOKUP(AF78,$K$394:$W$428,9,FALSE)),"",VLOOKUP(AF78,$K$394:$W$428,9,FALSE))</f>
        <v>93745</v>
      </c>
      <c r="AG79" s="40" t="str">
        <f t="shared" si="213"/>
        <v/>
      </c>
      <c r="AH79" s="97"/>
      <c r="AI79" s="73"/>
    </row>
    <row r="80" spans="1:35" ht="15" hidden="1" customHeight="1" outlineLevel="1">
      <c r="A80" s="221"/>
      <c r="B80" s="216" t="s">
        <v>22</v>
      </c>
      <c r="C80" s="39"/>
      <c r="D80" s="37" t="s">
        <v>28</v>
      </c>
      <c r="E80" s="37"/>
      <c r="F80" s="37" t="s">
        <v>28</v>
      </c>
      <c r="G80" s="37"/>
      <c r="H80" s="144"/>
      <c r="I80" s="38"/>
      <c r="J80" s="39"/>
      <c r="K80" s="37" t="s">
        <v>28</v>
      </c>
      <c r="L80" s="37"/>
      <c r="M80" s="37" t="s">
        <v>28</v>
      </c>
      <c r="N80" s="37"/>
      <c r="O80" s="144"/>
      <c r="P80" s="38"/>
      <c r="Q80" s="39"/>
      <c r="R80" s="102" t="s">
        <v>34</v>
      </c>
      <c r="S80" s="37" t="s">
        <v>28</v>
      </c>
      <c r="T80" s="37" t="s">
        <v>28</v>
      </c>
      <c r="U80" s="37"/>
      <c r="V80" s="144"/>
      <c r="W80" s="38"/>
      <c r="X80" s="39"/>
      <c r="Y80" s="37" t="s">
        <v>28</v>
      </c>
      <c r="Z80" s="37"/>
      <c r="AA80" s="37"/>
      <c r="AB80" s="144"/>
      <c r="AC80" s="37"/>
      <c r="AD80" s="38"/>
      <c r="AE80" s="39"/>
      <c r="AF80" s="37" t="s">
        <v>28</v>
      </c>
      <c r="AG80" s="37"/>
      <c r="AH80" s="93"/>
      <c r="AI80" s="73">
        <f>COUNTA($C80:$AG80)</f>
        <v>9</v>
      </c>
    </row>
    <row r="81" spans="1:35" ht="15" hidden="1" customHeight="1" outlineLevel="1">
      <c r="A81" s="221"/>
      <c r="B81" s="294"/>
      <c r="C81" s="96"/>
      <c r="D81" s="94">
        <f t="shared" ref="D81:E81" si="214">IF(ISERROR(VLOOKUP(D80,$K$394:$W$428,9,FALSE)),"",VLOOKUP(D80,$K$394:$W$428,9,FALSE))</f>
        <v>93745</v>
      </c>
      <c r="E81" s="94" t="str">
        <f t="shared" si="214"/>
        <v/>
      </c>
      <c r="F81" s="94">
        <f t="shared" ref="F81:I81" si="215">IF(ISERROR(VLOOKUP(F80,$K$394:$W$428,9,FALSE)),"",VLOOKUP(F80,$K$394:$W$428,9,FALSE))</f>
        <v>93745</v>
      </c>
      <c r="G81" s="94" t="str">
        <f t="shared" si="215"/>
        <v/>
      </c>
      <c r="H81" s="145" t="str">
        <f t="shared" si="215"/>
        <v/>
      </c>
      <c r="I81" s="95" t="str">
        <f t="shared" si="215"/>
        <v/>
      </c>
      <c r="J81" s="96"/>
      <c r="K81" s="94">
        <f t="shared" ref="K81:L81" si="216">IF(ISERROR(VLOOKUP(K80,$K$394:$W$428,9,FALSE)),"",VLOOKUP(K80,$K$394:$W$428,9,FALSE))</f>
        <v>93745</v>
      </c>
      <c r="L81" s="94" t="str">
        <f t="shared" si="216"/>
        <v/>
      </c>
      <c r="M81" s="94">
        <f t="shared" ref="M81:P81" si="217">IF(ISERROR(VLOOKUP(M80,$K$394:$W$428,9,FALSE)),"",VLOOKUP(M80,$K$394:$W$428,9,FALSE))</f>
        <v>93745</v>
      </c>
      <c r="N81" s="94" t="str">
        <f t="shared" si="217"/>
        <v/>
      </c>
      <c r="O81" s="145" t="str">
        <f t="shared" si="217"/>
        <v/>
      </c>
      <c r="P81" s="95" t="str">
        <f t="shared" si="217"/>
        <v/>
      </c>
      <c r="Q81" s="96"/>
      <c r="R81" s="158">
        <f t="shared" ref="R81" si="218">IF(ISERROR(VLOOKUP(R80,$K$394:$W$428,9,FALSE)),"",VLOOKUP(R80,$K$394:$W$428,9,FALSE))</f>
        <v>93745</v>
      </c>
      <c r="S81" s="94">
        <f t="shared" ref="S81" si="219">IF(ISERROR(VLOOKUP(S80,$K$394:$W$428,9,FALSE)),"",VLOOKUP(S80,$K$394:$W$428,9,FALSE))</f>
        <v>93745</v>
      </c>
      <c r="T81" s="94">
        <f t="shared" ref="T81:W81" si="220">IF(ISERROR(VLOOKUP(T80,$K$394:$W$428,9,FALSE)),"",VLOOKUP(T80,$K$394:$W$428,9,FALSE))</f>
        <v>93745</v>
      </c>
      <c r="U81" s="94" t="str">
        <f t="shared" si="220"/>
        <v/>
      </c>
      <c r="V81" s="145" t="str">
        <f t="shared" si="220"/>
        <v/>
      </c>
      <c r="W81" s="95" t="str">
        <f t="shared" si="220"/>
        <v/>
      </c>
      <c r="X81" s="96"/>
      <c r="Y81" s="94">
        <f t="shared" ref="Y81:Z81" si="221">IF(ISERROR(VLOOKUP(Y80,$K$394:$W$428,9,FALSE)),"",VLOOKUP(Y80,$K$394:$W$428,9,FALSE))</f>
        <v>93745</v>
      </c>
      <c r="Z81" s="94" t="str">
        <f t="shared" si="221"/>
        <v/>
      </c>
      <c r="AA81" s="94" t="str">
        <f t="shared" ref="AA81:AC81" si="222">IF(ISERROR(VLOOKUP(AA80,$K$394:$W$428,9,FALSE)),"",VLOOKUP(AA80,$K$394:$W$428,9,FALSE))</f>
        <v/>
      </c>
      <c r="AB81" s="145" t="str">
        <f t="shared" ref="AB81" si="223">IF(ISERROR(VLOOKUP(AB80,$K$394:$W$428,9,FALSE)),"",VLOOKUP(AB80,$K$394:$W$428,9,FALSE))</f>
        <v/>
      </c>
      <c r="AC81" s="94" t="str">
        <f t="shared" si="222"/>
        <v/>
      </c>
      <c r="AD81" s="95" t="str">
        <f t="shared" ref="AD81" si="224">IF(ISERROR(VLOOKUP(AD80,$K$394:$W$428,9,FALSE)),"",VLOOKUP(AD80,$K$394:$W$428,9,FALSE))</f>
        <v/>
      </c>
      <c r="AE81" s="96"/>
      <c r="AF81" s="94">
        <f t="shared" ref="AF81:AG81" si="225">IF(ISERROR(VLOOKUP(AF80,$K$394:$W$428,9,FALSE)),"",VLOOKUP(AF80,$K$394:$W$428,9,FALSE))</f>
        <v>93745</v>
      </c>
      <c r="AG81" s="94" t="str">
        <f t="shared" si="225"/>
        <v/>
      </c>
      <c r="AH81" s="97"/>
      <c r="AI81" s="73"/>
    </row>
    <row r="82" spans="1:35" ht="15" hidden="1" customHeight="1" outlineLevel="1">
      <c r="A82" s="221"/>
      <c r="B82" s="216" t="s">
        <v>23</v>
      </c>
      <c r="C82" s="39"/>
      <c r="D82" s="37"/>
      <c r="E82" s="37"/>
      <c r="F82" s="37"/>
      <c r="G82" s="37"/>
      <c r="H82" s="37"/>
      <c r="I82" s="38"/>
      <c r="J82" s="39"/>
      <c r="K82" s="37"/>
      <c r="L82" s="37"/>
      <c r="M82" s="37"/>
      <c r="N82" s="37"/>
      <c r="O82" s="37"/>
      <c r="P82" s="38"/>
      <c r="Q82" s="39"/>
      <c r="R82" s="37"/>
      <c r="S82" s="94" t="str">
        <f t="shared" ref="S82" si="226">IF(ISERROR(VLOOKUP(S81,$K$394:$W$428,9,FALSE)),"",VLOOKUP(S81,$K$394:$W$428,9,FALSE))</f>
        <v/>
      </c>
      <c r="T82" s="37"/>
      <c r="U82" s="37"/>
      <c r="V82" s="37"/>
      <c r="W82" s="38"/>
      <c r="X82" s="39"/>
      <c r="Y82" s="37"/>
      <c r="Z82" s="37"/>
      <c r="AA82" s="102"/>
      <c r="AB82" s="37"/>
      <c r="AC82" s="37"/>
      <c r="AD82" s="38"/>
      <c r="AE82" s="39"/>
      <c r="AF82" s="37"/>
      <c r="AG82" s="37"/>
      <c r="AH82" s="93"/>
      <c r="AI82" s="73"/>
    </row>
    <row r="83" spans="1:35" ht="15" hidden="1" customHeight="1" outlineLevel="1">
      <c r="A83" s="223"/>
      <c r="B83" s="294"/>
      <c r="C83" s="42"/>
      <c r="D83" s="40" t="str">
        <f t="shared" ref="D83:I83" si="227">IF(ISERROR(VLOOKUP(D82,$K$394:$W$428,9,FALSE)),"",VLOOKUP(D82,$K$394:$W$428,9,FALSE))</f>
        <v/>
      </c>
      <c r="E83" s="40" t="str">
        <f t="shared" si="227"/>
        <v/>
      </c>
      <c r="F83" s="40" t="str">
        <f t="shared" si="227"/>
        <v/>
      </c>
      <c r="G83" s="40" t="str">
        <f t="shared" si="227"/>
        <v/>
      </c>
      <c r="H83" s="40" t="str">
        <f t="shared" si="227"/>
        <v/>
      </c>
      <c r="I83" s="41" t="str">
        <f t="shared" si="227"/>
        <v/>
      </c>
      <c r="J83" s="42"/>
      <c r="K83" s="40" t="str">
        <f t="shared" ref="K83:P83" si="228">IF(ISERROR(VLOOKUP(K82,$K$394:$W$428,9,FALSE)),"",VLOOKUP(K82,$K$394:$W$428,9,FALSE))</f>
        <v/>
      </c>
      <c r="L83" s="40" t="str">
        <f t="shared" si="228"/>
        <v/>
      </c>
      <c r="M83" s="40" t="str">
        <f t="shared" si="228"/>
        <v/>
      </c>
      <c r="N83" s="40" t="str">
        <f t="shared" si="228"/>
        <v/>
      </c>
      <c r="O83" s="40" t="str">
        <f t="shared" si="228"/>
        <v/>
      </c>
      <c r="P83" s="41" t="str">
        <f t="shared" si="228"/>
        <v/>
      </c>
      <c r="Q83" s="42"/>
      <c r="R83" s="40" t="str">
        <f t="shared" ref="R83:W83" si="229">IF(ISERROR(VLOOKUP(R82,$K$394:$W$428,9,FALSE)),"",VLOOKUP(R82,$K$394:$W$428,9,FALSE))</f>
        <v/>
      </c>
      <c r="S83" s="40" t="str">
        <f t="shared" si="229"/>
        <v/>
      </c>
      <c r="T83" s="40" t="str">
        <f t="shared" si="229"/>
        <v/>
      </c>
      <c r="U83" s="40" t="str">
        <f t="shared" si="229"/>
        <v/>
      </c>
      <c r="V83" s="40" t="str">
        <f t="shared" si="229"/>
        <v/>
      </c>
      <c r="W83" s="41" t="str">
        <f t="shared" si="229"/>
        <v/>
      </c>
      <c r="X83" s="42"/>
      <c r="Y83" s="40" t="str">
        <f t="shared" ref="Y83:AD83" si="230">IF(ISERROR(VLOOKUP(Y82,$K$394:$W$428,9,FALSE)),"",VLOOKUP(Y82,$K$394:$W$428,9,FALSE))</f>
        <v/>
      </c>
      <c r="Z83" s="40" t="str">
        <f t="shared" si="230"/>
        <v/>
      </c>
      <c r="AA83" s="103" t="str">
        <f t="shared" si="230"/>
        <v/>
      </c>
      <c r="AB83" s="40" t="str">
        <f t="shared" si="230"/>
        <v/>
      </c>
      <c r="AC83" s="40" t="str">
        <f t="shared" si="230"/>
        <v/>
      </c>
      <c r="AD83" s="41" t="str">
        <f t="shared" si="230"/>
        <v/>
      </c>
      <c r="AE83" s="42"/>
      <c r="AF83" s="40" t="str">
        <f t="shared" ref="AF83:AG83" si="231">IF(ISERROR(VLOOKUP(AF82,$K$394:$W$428,9,FALSE)),"",VLOOKUP(AF82,$K$394:$W$428,9,FALSE))</f>
        <v/>
      </c>
      <c r="AG83" s="40" t="str">
        <f t="shared" si="231"/>
        <v/>
      </c>
      <c r="AH83" s="97"/>
      <c r="AI83" s="73"/>
    </row>
    <row r="84" spans="1:35" ht="15" hidden="1" customHeight="1" outlineLevel="1">
      <c r="A84" s="221" t="s">
        <v>24</v>
      </c>
      <c r="B84" s="216" t="s">
        <v>19</v>
      </c>
      <c r="C84" s="39"/>
      <c r="D84" s="150" t="s">
        <v>31</v>
      </c>
      <c r="E84" s="143" t="s">
        <v>30</v>
      </c>
      <c r="F84" s="150" t="s">
        <v>31</v>
      </c>
      <c r="G84" s="143" t="s">
        <v>30</v>
      </c>
      <c r="H84" s="150" t="s">
        <v>31</v>
      </c>
      <c r="I84" s="38"/>
      <c r="J84" s="39"/>
      <c r="K84" s="150" t="s">
        <v>31</v>
      </c>
      <c r="L84" s="143" t="s">
        <v>30</v>
      </c>
      <c r="M84" s="150" t="s">
        <v>31</v>
      </c>
      <c r="N84" s="143" t="s">
        <v>30</v>
      </c>
      <c r="O84" s="150" t="s">
        <v>31</v>
      </c>
      <c r="P84" s="38"/>
      <c r="Q84" s="39"/>
      <c r="R84" s="150" t="s">
        <v>31</v>
      </c>
      <c r="S84" s="143" t="s">
        <v>30</v>
      </c>
      <c r="T84" s="150" t="s">
        <v>31</v>
      </c>
      <c r="U84" s="143" t="s">
        <v>30</v>
      </c>
      <c r="V84" s="143" t="s">
        <v>30</v>
      </c>
      <c r="W84" s="38"/>
      <c r="X84" s="39"/>
      <c r="Y84" s="150" t="s">
        <v>31</v>
      </c>
      <c r="Z84" s="143" t="s">
        <v>30</v>
      </c>
      <c r="AA84" s="150" t="s">
        <v>31</v>
      </c>
      <c r="AB84" s="143" t="s">
        <v>30</v>
      </c>
      <c r="AC84" s="143" t="s">
        <v>30</v>
      </c>
      <c r="AD84" s="38"/>
      <c r="AE84" s="39"/>
      <c r="AF84" s="150" t="s">
        <v>31</v>
      </c>
      <c r="AG84" s="143" t="s">
        <v>30</v>
      </c>
      <c r="AH84" s="93"/>
      <c r="AI84" s="73">
        <f>COUNTA($C84:$AG84)</f>
        <v>22</v>
      </c>
    </row>
    <row r="85" spans="1:35" ht="15" hidden="1" customHeight="1" outlineLevel="1">
      <c r="A85" s="221"/>
      <c r="B85" s="293"/>
      <c r="C85" s="96"/>
      <c r="D85" s="94">
        <f t="shared" ref="D85:E85" si="232">IF(ISERROR(VLOOKUP(D84,$K$394:$W$428,9,FALSE)),"",VLOOKUP(D84,$K$394:$W$428,9,FALSE))</f>
        <v>101706</v>
      </c>
      <c r="E85" s="94">
        <f t="shared" si="232"/>
        <v>96378</v>
      </c>
      <c r="F85" s="94">
        <f t="shared" ref="F85:I85" si="233">IF(ISERROR(VLOOKUP(F84,$K$394:$W$428,9,FALSE)),"",VLOOKUP(F84,$K$394:$W$428,9,FALSE))</f>
        <v>101706</v>
      </c>
      <c r="G85" s="94">
        <f t="shared" si="233"/>
        <v>96378</v>
      </c>
      <c r="H85" s="94">
        <f t="shared" si="233"/>
        <v>101706</v>
      </c>
      <c r="I85" s="95" t="str">
        <f t="shared" si="233"/>
        <v/>
      </c>
      <c r="J85" s="96"/>
      <c r="K85" s="94">
        <f t="shared" ref="K85:L85" si="234">IF(ISERROR(VLOOKUP(K84,$K$394:$W$428,9,FALSE)),"",VLOOKUP(K84,$K$394:$W$428,9,FALSE))</f>
        <v>101706</v>
      </c>
      <c r="L85" s="94">
        <f t="shared" si="234"/>
        <v>96378</v>
      </c>
      <c r="M85" s="94">
        <f t="shared" ref="M85:P85" si="235">IF(ISERROR(VLOOKUP(M84,$K$394:$W$428,9,FALSE)),"",VLOOKUP(M84,$K$394:$W$428,9,FALSE))</f>
        <v>101706</v>
      </c>
      <c r="N85" s="94">
        <f t="shared" si="235"/>
        <v>96378</v>
      </c>
      <c r="O85" s="94">
        <f t="shared" si="235"/>
        <v>101706</v>
      </c>
      <c r="P85" s="95" t="str">
        <f t="shared" si="235"/>
        <v/>
      </c>
      <c r="Q85" s="96"/>
      <c r="R85" s="94">
        <f t="shared" ref="R85:S85" si="236">IF(ISERROR(VLOOKUP(R84,$K$394:$W$428,9,FALSE)),"",VLOOKUP(R84,$K$394:$W$428,9,FALSE))</f>
        <v>101706</v>
      </c>
      <c r="S85" s="94">
        <f t="shared" si="236"/>
        <v>96378</v>
      </c>
      <c r="T85" s="94">
        <f t="shared" ref="T85:W85" si="237">IF(ISERROR(VLOOKUP(T84,$K$394:$W$428,9,FALSE)),"",VLOOKUP(T84,$K$394:$W$428,9,FALSE))</f>
        <v>101706</v>
      </c>
      <c r="U85" s="94">
        <f t="shared" si="237"/>
        <v>96378</v>
      </c>
      <c r="V85" s="94">
        <f t="shared" si="237"/>
        <v>96378</v>
      </c>
      <c r="W85" s="95" t="str">
        <f t="shared" si="237"/>
        <v/>
      </c>
      <c r="X85" s="96"/>
      <c r="Y85" s="94">
        <f t="shared" ref="Y85:Z85" si="238">IF(ISERROR(VLOOKUP(Y84,$K$394:$W$428,9,FALSE)),"",VLOOKUP(Y84,$K$394:$W$428,9,FALSE))</f>
        <v>101706</v>
      </c>
      <c r="Z85" s="94">
        <f t="shared" si="238"/>
        <v>96378</v>
      </c>
      <c r="AA85" s="94">
        <f t="shared" ref="AA85:AD85" si="239">IF(ISERROR(VLOOKUP(AA84,$K$394:$W$428,9,FALSE)),"",VLOOKUP(AA84,$K$394:$W$428,9,FALSE))</f>
        <v>101706</v>
      </c>
      <c r="AB85" s="94">
        <f t="shared" si="239"/>
        <v>96378</v>
      </c>
      <c r="AC85" s="94">
        <f t="shared" si="239"/>
        <v>96378</v>
      </c>
      <c r="AD85" s="95" t="str">
        <f t="shared" si="239"/>
        <v/>
      </c>
      <c r="AE85" s="96"/>
      <c r="AF85" s="94">
        <f t="shared" ref="AF85:AG85" si="240">IF(ISERROR(VLOOKUP(AF84,$K$394:$W$428,9,FALSE)),"",VLOOKUP(AF84,$K$394:$W$428,9,FALSE))</f>
        <v>101706</v>
      </c>
      <c r="AG85" s="94">
        <f t="shared" si="240"/>
        <v>96378</v>
      </c>
      <c r="AH85" s="97"/>
      <c r="AI85" s="73"/>
    </row>
    <row r="86" spans="1:35" ht="15" hidden="1" customHeight="1" outlineLevel="1">
      <c r="A86" s="221"/>
      <c r="B86" s="216" t="s">
        <v>20</v>
      </c>
      <c r="C86" s="39"/>
      <c r="D86" s="150" t="s">
        <v>31</v>
      </c>
      <c r="E86" s="143" t="s">
        <v>30</v>
      </c>
      <c r="F86" s="150" t="s">
        <v>31</v>
      </c>
      <c r="G86" s="143" t="s">
        <v>30</v>
      </c>
      <c r="H86" s="150" t="s">
        <v>31</v>
      </c>
      <c r="I86" s="38"/>
      <c r="J86" s="39"/>
      <c r="K86" s="150" t="s">
        <v>31</v>
      </c>
      <c r="L86" s="143" t="s">
        <v>30</v>
      </c>
      <c r="M86" s="150" t="s">
        <v>31</v>
      </c>
      <c r="N86" s="143" t="s">
        <v>30</v>
      </c>
      <c r="O86" s="150" t="s">
        <v>31</v>
      </c>
      <c r="P86" s="38"/>
      <c r="Q86" s="39"/>
      <c r="R86" s="150" t="s">
        <v>31</v>
      </c>
      <c r="S86" s="143" t="s">
        <v>30</v>
      </c>
      <c r="T86" s="150" t="s">
        <v>31</v>
      </c>
      <c r="U86" s="143" t="s">
        <v>30</v>
      </c>
      <c r="V86" s="143" t="s">
        <v>30</v>
      </c>
      <c r="W86" s="38"/>
      <c r="X86" s="39"/>
      <c r="Y86" s="150" t="s">
        <v>31</v>
      </c>
      <c r="Z86" s="143" t="s">
        <v>30</v>
      </c>
      <c r="AA86" s="150" t="s">
        <v>31</v>
      </c>
      <c r="AB86" s="143" t="s">
        <v>30</v>
      </c>
      <c r="AC86" s="143" t="s">
        <v>30</v>
      </c>
      <c r="AD86" s="38"/>
      <c r="AE86" s="39"/>
      <c r="AF86" s="150" t="s">
        <v>31</v>
      </c>
      <c r="AG86" s="143" t="s">
        <v>30</v>
      </c>
      <c r="AH86" s="93"/>
      <c r="AI86" s="73">
        <f>COUNTA($C86:$AG86)</f>
        <v>22</v>
      </c>
    </row>
    <row r="87" spans="1:35" ht="15" hidden="1" customHeight="1" outlineLevel="1">
      <c r="A87" s="221"/>
      <c r="B87" s="294"/>
      <c r="C87" s="42"/>
      <c r="D87" s="94">
        <f t="shared" ref="D87:E87" si="241">IF(ISERROR(VLOOKUP(D86,$K$394:$W$428,9,FALSE)),"",VLOOKUP(D86,$K$394:$W$428,9,FALSE))</f>
        <v>101706</v>
      </c>
      <c r="E87" s="94">
        <f t="shared" si="241"/>
        <v>96378</v>
      </c>
      <c r="F87" s="94">
        <f t="shared" ref="F87:I87" si="242">IF(ISERROR(VLOOKUP(F86,$K$394:$W$428,9,FALSE)),"",VLOOKUP(F86,$K$394:$W$428,9,FALSE))</f>
        <v>101706</v>
      </c>
      <c r="G87" s="94">
        <f t="shared" si="242"/>
        <v>96378</v>
      </c>
      <c r="H87" s="94">
        <f t="shared" si="242"/>
        <v>101706</v>
      </c>
      <c r="I87" s="41" t="str">
        <f t="shared" si="242"/>
        <v/>
      </c>
      <c r="J87" s="42"/>
      <c r="K87" s="94">
        <f t="shared" ref="K87:L87" si="243">IF(ISERROR(VLOOKUP(K86,$K$394:$W$428,9,FALSE)),"",VLOOKUP(K86,$K$394:$W$428,9,FALSE))</f>
        <v>101706</v>
      </c>
      <c r="L87" s="94">
        <f t="shared" si="243"/>
        <v>96378</v>
      </c>
      <c r="M87" s="94">
        <f t="shared" ref="M87:P87" si="244">IF(ISERROR(VLOOKUP(M86,$K$394:$W$428,9,FALSE)),"",VLOOKUP(M86,$K$394:$W$428,9,FALSE))</f>
        <v>101706</v>
      </c>
      <c r="N87" s="94">
        <f t="shared" si="244"/>
        <v>96378</v>
      </c>
      <c r="O87" s="94">
        <f t="shared" si="244"/>
        <v>101706</v>
      </c>
      <c r="P87" s="41" t="str">
        <f t="shared" si="244"/>
        <v/>
      </c>
      <c r="Q87" s="42"/>
      <c r="R87" s="94">
        <f t="shared" ref="R87:S87" si="245">IF(ISERROR(VLOOKUP(R86,$K$394:$W$428,9,FALSE)),"",VLOOKUP(R86,$K$394:$W$428,9,FALSE))</f>
        <v>101706</v>
      </c>
      <c r="S87" s="94">
        <f t="shared" si="245"/>
        <v>96378</v>
      </c>
      <c r="T87" s="94">
        <f t="shared" ref="T87:W87" si="246">IF(ISERROR(VLOOKUP(T86,$K$394:$W$428,9,FALSE)),"",VLOOKUP(T86,$K$394:$W$428,9,FALSE))</f>
        <v>101706</v>
      </c>
      <c r="U87" s="94">
        <f t="shared" si="246"/>
        <v>96378</v>
      </c>
      <c r="V87" s="94">
        <f t="shared" si="246"/>
        <v>96378</v>
      </c>
      <c r="W87" s="41" t="str">
        <f t="shared" si="246"/>
        <v/>
      </c>
      <c r="X87" s="42"/>
      <c r="Y87" s="94">
        <f t="shared" ref="Y87:Z87" si="247">IF(ISERROR(VLOOKUP(Y86,$K$394:$W$428,9,FALSE)),"",VLOOKUP(Y86,$K$394:$W$428,9,FALSE))</f>
        <v>101706</v>
      </c>
      <c r="Z87" s="94">
        <f t="shared" si="247"/>
        <v>96378</v>
      </c>
      <c r="AA87" s="94">
        <f t="shared" ref="AA87:AD87" si="248">IF(ISERROR(VLOOKUP(AA86,$K$394:$W$428,9,FALSE)),"",VLOOKUP(AA86,$K$394:$W$428,9,FALSE))</f>
        <v>101706</v>
      </c>
      <c r="AB87" s="94">
        <f t="shared" si="248"/>
        <v>96378</v>
      </c>
      <c r="AC87" s="94">
        <f t="shared" si="248"/>
        <v>96378</v>
      </c>
      <c r="AD87" s="41" t="str">
        <f t="shared" si="248"/>
        <v/>
      </c>
      <c r="AE87" s="42"/>
      <c r="AF87" s="94">
        <f t="shared" ref="AF87:AG87" si="249">IF(ISERROR(VLOOKUP(AF86,$K$394:$W$428,9,FALSE)),"",VLOOKUP(AF86,$K$394:$W$428,9,FALSE))</f>
        <v>101706</v>
      </c>
      <c r="AG87" s="94">
        <f t="shared" si="249"/>
        <v>96378</v>
      </c>
      <c r="AH87" s="97"/>
      <c r="AI87" s="73"/>
    </row>
    <row r="88" spans="1:35" ht="15" hidden="1" customHeight="1" outlineLevel="1">
      <c r="A88" s="221"/>
      <c r="B88" s="216" t="s">
        <v>21</v>
      </c>
      <c r="C88" s="39"/>
      <c r="D88" s="150" t="s">
        <v>31</v>
      </c>
      <c r="E88" s="143" t="s">
        <v>30</v>
      </c>
      <c r="F88" s="150" t="s">
        <v>31</v>
      </c>
      <c r="G88" s="143" t="s">
        <v>30</v>
      </c>
      <c r="H88" s="150" t="s">
        <v>31</v>
      </c>
      <c r="I88" s="38"/>
      <c r="J88" s="39"/>
      <c r="K88" s="150" t="s">
        <v>31</v>
      </c>
      <c r="L88" s="143" t="s">
        <v>30</v>
      </c>
      <c r="M88" s="150" t="s">
        <v>31</v>
      </c>
      <c r="N88" s="143" t="s">
        <v>30</v>
      </c>
      <c r="O88" s="150" t="s">
        <v>31</v>
      </c>
      <c r="P88" s="38"/>
      <c r="Q88" s="39"/>
      <c r="R88" s="150" t="s">
        <v>31</v>
      </c>
      <c r="S88" s="143" t="s">
        <v>30</v>
      </c>
      <c r="T88" s="150" t="s">
        <v>31</v>
      </c>
      <c r="U88" s="143" t="s">
        <v>30</v>
      </c>
      <c r="V88" s="143" t="s">
        <v>30</v>
      </c>
      <c r="W88" s="38"/>
      <c r="X88" s="39"/>
      <c r="Y88" s="150" t="s">
        <v>31</v>
      </c>
      <c r="Z88" s="143" t="s">
        <v>30</v>
      </c>
      <c r="AA88" s="150" t="s">
        <v>31</v>
      </c>
      <c r="AB88" s="143" t="s">
        <v>30</v>
      </c>
      <c r="AC88" s="143" t="s">
        <v>30</v>
      </c>
      <c r="AD88" s="38"/>
      <c r="AE88" s="39"/>
      <c r="AF88" s="150" t="s">
        <v>31</v>
      </c>
      <c r="AG88" s="143" t="s">
        <v>30</v>
      </c>
      <c r="AH88" s="93"/>
      <c r="AI88" s="73">
        <f>COUNTA($C88:$AG88)</f>
        <v>22</v>
      </c>
    </row>
    <row r="89" spans="1:35" ht="15" hidden="1" customHeight="1" outlineLevel="1">
      <c r="A89" s="221"/>
      <c r="B89" s="294"/>
      <c r="C89" s="96"/>
      <c r="D89" s="94">
        <f t="shared" ref="D89:E89" si="250">IF(ISERROR(VLOOKUP(D88,$K$394:$W$428,9,FALSE)),"",VLOOKUP(D88,$K$394:$W$428,9,FALSE))</f>
        <v>101706</v>
      </c>
      <c r="E89" s="94">
        <f t="shared" si="250"/>
        <v>96378</v>
      </c>
      <c r="F89" s="94">
        <f t="shared" ref="F89:I89" si="251">IF(ISERROR(VLOOKUP(F88,$K$394:$W$428,9,FALSE)),"",VLOOKUP(F88,$K$394:$W$428,9,FALSE))</f>
        <v>101706</v>
      </c>
      <c r="G89" s="94">
        <f t="shared" si="251"/>
        <v>96378</v>
      </c>
      <c r="H89" s="94">
        <f t="shared" si="251"/>
        <v>101706</v>
      </c>
      <c r="I89" s="95" t="str">
        <f t="shared" si="251"/>
        <v/>
      </c>
      <c r="J89" s="96"/>
      <c r="K89" s="94">
        <f t="shared" ref="K89:L89" si="252">IF(ISERROR(VLOOKUP(K88,$K$394:$W$428,9,FALSE)),"",VLOOKUP(K88,$K$394:$W$428,9,FALSE))</f>
        <v>101706</v>
      </c>
      <c r="L89" s="94">
        <f t="shared" si="252"/>
        <v>96378</v>
      </c>
      <c r="M89" s="94">
        <f t="shared" ref="M89:P89" si="253">IF(ISERROR(VLOOKUP(M88,$K$394:$W$428,9,FALSE)),"",VLOOKUP(M88,$K$394:$W$428,9,FALSE))</f>
        <v>101706</v>
      </c>
      <c r="N89" s="94">
        <f t="shared" si="253"/>
        <v>96378</v>
      </c>
      <c r="O89" s="94">
        <f t="shared" si="253"/>
        <v>101706</v>
      </c>
      <c r="P89" s="95" t="str">
        <f t="shared" si="253"/>
        <v/>
      </c>
      <c r="Q89" s="96"/>
      <c r="R89" s="94">
        <f t="shared" ref="R89:S89" si="254">IF(ISERROR(VLOOKUP(R88,$K$394:$W$428,9,FALSE)),"",VLOOKUP(R88,$K$394:$W$428,9,FALSE))</f>
        <v>101706</v>
      </c>
      <c r="S89" s="94">
        <f t="shared" si="254"/>
        <v>96378</v>
      </c>
      <c r="T89" s="94">
        <f t="shared" ref="T89:W89" si="255">IF(ISERROR(VLOOKUP(T88,$K$394:$W$428,9,FALSE)),"",VLOOKUP(T88,$K$394:$W$428,9,FALSE))</f>
        <v>101706</v>
      </c>
      <c r="U89" s="94">
        <f t="shared" si="255"/>
        <v>96378</v>
      </c>
      <c r="V89" s="94">
        <f t="shared" si="255"/>
        <v>96378</v>
      </c>
      <c r="W89" s="95" t="str">
        <f t="shared" si="255"/>
        <v/>
      </c>
      <c r="X89" s="96"/>
      <c r="Y89" s="94">
        <f t="shared" ref="Y89:Z89" si="256">IF(ISERROR(VLOOKUP(Y88,$K$394:$W$428,9,FALSE)),"",VLOOKUP(Y88,$K$394:$W$428,9,FALSE))</f>
        <v>101706</v>
      </c>
      <c r="Z89" s="94">
        <f t="shared" si="256"/>
        <v>96378</v>
      </c>
      <c r="AA89" s="94">
        <f t="shared" ref="AA89:AD89" si="257">IF(ISERROR(VLOOKUP(AA88,$K$394:$W$428,9,FALSE)),"",VLOOKUP(AA88,$K$394:$W$428,9,FALSE))</f>
        <v>101706</v>
      </c>
      <c r="AB89" s="94">
        <f t="shared" si="257"/>
        <v>96378</v>
      </c>
      <c r="AC89" s="94">
        <f t="shared" si="257"/>
        <v>96378</v>
      </c>
      <c r="AD89" s="95" t="str">
        <f t="shared" si="257"/>
        <v/>
      </c>
      <c r="AE89" s="96"/>
      <c r="AF89" s="94">
        <f t="shared" ref="AF89:AG89" si="258">IF(ISERROR(VLOOKUP(AF88,$K$394:$W$428,9,FALSE)),"",VLOOKUP(AF88,$K$394:$W$428,9,FALSE))</f>
        <v>101706</v>
      </c>
      <c r="AG89" s="94">
        <f t="shared" si="258"/>
        <v>96378</v>
      </c>
      <c r="AH89" s="97"/>
      <c r="AI89" s="73"/>
    </row>
    <row r="90" spans="1:35" ht="15" hidden="1" customHeight="1" outlineLevel="1">
      <c r="A90" s="221"/>
      <c r="B90" s="216" t="s">
        <v>22</v>
      </c>
      <c r="C90" s="39"/>
      <c r="D90" s="150" t="s">
        <v>31</v>
      </c>
      <c r="E90" s="143" t="s">
        <v>30</v>
      </c>
      <c r="F90" s="150" t="s">
        <v>31</v>
      </c>
      <c r="G90" s="143" t="s">
        <v>30</v>
      </c>
      <c r="H90" s="150" t="s">
        <v>31</v>
      </c>
      <c r="I90" s="38"/>
      <c r="J90" s="39"/>
      <c r="K90" s="150" t="s">
        <v>31</v>
      </c>
      <c r="L90" s="143" t="s">
        <v>30</v>
      </c>
      <c r="M90" s="150" t="s">
        <v>31</v>
      </c>
      <c r="N90" s="143" t="s">
        <v>30</v>
      </c>
      <c r="O90" s="150" t="s">
        <v>31</v>
      </c>
      <c r="P90" s="38"/>
      <c r="Q90" s="39"/>
      <c r="R90" s="150" t="s">
        <v>31</v>
      </c>
      <c r="S90" s="143" t="s">
        <v>30</v>
      </c>
      <c r="T90" s="150" t="s">
        <v>31</v>
      </c>
      <c r="U90" s="143" t="s">
        <v>30</v>
      </c>
      <c r="V90" s="143" t="s">
        <v>30</v>
      </c>
      <c r="W90" s="38"/>
      <c r="X90" s="39"/>
      <c r="Y90" s="150" t="s">
        <v>31</v>
      </c>
      <c r="Z90" s="143" t="s">
        <v>30</v>
      </c>
      <c r="AA90" s="150" t="s">
        <v>31</v>
      </c>
      <c r="AB90" s="143" t="s">
        <v>30</v>
      </c>
      <c r="AC90" s="143" t="s">
        <v>30</v>
      </c>
      <c r="AD90" s="38"/>
      <c r="AE90" s="39"/>
      <c r="AF90" s="150" t="s">
        <v>31</v>
      </c>
      <c r="AG90" s="143" t="s">
        <v>30</v>
      </c>
      <c r="AH90" s="93"/>
      <c r="AI90" s="73">
        <f>COUNTA($C90:$AG90)</f>
        <v>22</v>
      </c>
    </row>
    <row r="91" spans="1:35" ht="15" hidden="1" customHeight="1" outlineLevel="1">
      <c r="A91" s="221"/>
      <c r="B91" s="294"/>
      <c r="C91" s="96"/>
      <c r="D91" s="94">
        <f t="shared" ref="D91:E91" si="259">IF(ISERROR(VLOOKUP(D90,$K$394:$W$428,9,FALSE)),"",VLOOKUP(D90,$K$394:$W$428,9,FALSE))</f>
        <v>101706</v>
      </c>
      <c r="E91" s="94">
        <f t="shared" si="259"/>
        <v>96378</v>
      </c>
      <c r="F91" s="94">
        <f t="shared" ref="F91:I91" si="260">IF(ISERROR(VLOOKUP(F90,$K$394:$W$428,9,FALSE)),"",VLOOKUP(F90,$K$394:$W$428,9,FALSE))</f>
        <v>101706</v>
      </c>
      <c r="G91" s="94">
        <f t="shared" si="260"/>
        <v>96378</v>
      </c>
      <c r="H91" s="94">
        <f t="shared" si="260"/>
        <v>101706</v>
      </c>
      <c r="I91" s="95" t="str">
        <f t="shared" si="260"/>
        <v/>
      </c>
      <c r="J91" s="96"/>
      <c r="K91" s="94">
        <f t="shared" ref="K91:L91" si="261">IF(ISERROR(VLOOKUP(K90,$K$394:$W$428,9,FALSE)),"",VLOOKUP(K90,$K$394:$W$428,9,FALSE))</f>
        <v>101706</v>
      </c>
      <c r="L91" s="94">
        <f t="shared" si="261"/>
        <v>96378</v>
      </c>
      <c r="M91" s="94">
        <f t="shared" ref="M91:P91" si="262">IF(ISERROR(VLOOKUP(M90,$K$394:$W$428,9,FALSE)),"",VLOOKUP(M90,$K$394:$W$428,9,FALSE))</f>
        <v>101706</v>
      </c>
      <c r="N91" s="94">
        <f t="shared" si="262"/>
        <v>96378</v>
      </c>
      <c r="O91" s="94">
        <f t="shared" si="262"/>
        <v>101706</v>
      </c>
      <c r="P91" s="95" t="str">
        <f t="shared" si="262"/>
        <v/>
      </c>
      <c r="Q91" s="96"/>
      <c r="R91" s="94">
        <f t="shared" ref="R91:S91" si="263">IF(ISERROR(VLOOKUP(R90,$K$394:$W$428,9,FALSE)),"",VLOOKUP(R90,$K$394:$W$428,9,FALSE))</f>
        <v>101706</v>
      </c>
      <c r="S91" s="94">
        <f t="shared" si="263"/>
        <v>96378</v>
      </c>
      <c r="T91" s="94">
        <f t="shared" ref="T91:W91" si="264">IF(ISERROR(VLOOKUP(T90,$K$394:$W$428,9,FALSE)),"",VLOOKUP(T90,$K$394:$W$428,9,FALSE))</f>
        <v>101706</v>
      </c>
      <c r="U91" s="94">
        <f t="shared" si="264"/>
        <v>96378</v>
      </c>
      <c r="V91" s="94">
        <f t="shared" si="264"/>
        <v>96378</v>
      </c>
      <c r="W91" s="95" t="str">
        <f t="shared" si="264"/>
        <v/>
      </c>
      <c r="X91" s="96"/>
      <c r="Y91" s="94">
        <f t="shared" ref="Y91:Z91" si="265">IF(ISERROR(VLOOKUP(Y90,$K$394:$W$428,9,FALSE)),"",VLOOKUP(Y90,$K$394:$W$428,9,FALSE))</f>
        <v>101706</v>
      </c>
      <c r="Z91" s="94">
        <f t="shared" si="265"/>
        <v>96378</v>
      </c>
      <c r="AA91" s="94">
        <f t="shared" ref="AA91:AD91" si="266">IF(ISERROR(VLOOKUP(AA90,$K$394:$W$428,9,FALSE)),"",VLOOKUP(AA90,$K$394:$W$428,9,FALSE))</f>
        <v>101706</v>
      </c>
      <c r="AB91" s="94">
        <f t="shared" si="266"/>
        <v>96378</v>
      </c>
      <c r="AC91" s="94">
        <f t="shared" si="266"/>
        <v>96378</v>
      </c>
      <c r="AD91" s="95" t="str">
        <f t="shared" si="266"/>
        <v/>
      </c>
      <c r="AE91" s="96"/>
      <c r="AF91" s="94">
        <f t="shared" ref="AF91:AG91" si="267">IF(ISERROR(VLOOKUP(AF90,$K$394:$W$428,9,FALSE)),"",VLOOKUP(AF90,$K$394:$W$428,9,FALSE))</f>
        <v>101706</v>
      </c>
      <c r="AG91" s="94">
        <f t="shared" si="267"/>
        <v>96378</v>
      </c>
      <c r="AH91" s="97"/>
      <c r="AI91" s="73"/>
    </row>
    <row r="92" spans="1:35" ht="15" hidden="1" customHeight="1" outlineLevel="1">
      <c r="A92" s="221"/>
      <c r="B92" s="216" t="s">
        <v>23</v>
      </c>
      <c r="C92" s="39"/>
      <c r="D92" s="37"/>
      <c r="E92" s="37"/>
      <c r="F92" s="37"/>
      <c r="G92" s="37"/>
      <c r="H92" s="148"/>
      <c r="I92" s="38"/>
      <c r="J92" s="39"/>
      <c r="K92" s="37"/>
      <c r="L92" s="37"/>
      <c r="M92" s="37"/>
      <c r="N92" s="37"/>
      <c r="O92" s="148"/>
      <c r="P92" s="38"/>
      <c r="Q92" s="39"/>
      <c r="R92" s="37"/>
      <c r="S92" s="37"/>
      <c r="T92" s="37"/>
      <c r="U92" s="37"/>
      <c r="V92" s="148"/>
      <c r="W92" s="38"/>
      <c r="X92" s="39"/>
      <c r="Y92" s="37"/>
      <c r="Z92" s="37"/>
      <c r="AA92" s="102"/>
      <c r="AB92" s="37"/>
      <c r="AC92" s="37"/>
      <c r="AD92" s="38"/>
      <c r="AE92" s="39"/>
      <c r="AF92" s="37"/>
      <c r="AG92" s="37"/>
      <c r="AH92" s="93"/>
      <c r="AI92" s="73">
        <f>COUNTA($C92:$AG92)</f>
        <v>0</v>
      </c>
    </row>
    <row r="93" spans="1:35" ht="15" hidden="1" customHeight="1" outlineLevel="1">
      <c r="A93" s="223"/>
      <c r="B93" s="294"/>
      <c r="C93" s="42"/>
      <c r="D93" s="40" t="str">
        <f t="shared" ref="D93:I93" si="268">IF(ISERROR(VLOOKUP(D92,$K$394:$W$428,9,FALSE)),"",VLOOKUP(D92,$K$394:$W$428,9,FALSE))</f>
        <v/>
      </c>
      <c r="E93" s="40" t="str">
        <f t="shared" si="268"/>
        <v/>
      </c>
      <c r="F93" s="40" t="str">
        <f t="shared" si="268"/>
        <v/>
      </c>
      <c r="G93" s="40" t="str">
        <f t="shared" si="268"/>
        <v/>
      </c>
      <c r="H93" s="40" t="str">
        <f t="shared" si="268"/>
        <v/>
      </c>
      <c r="I93" s="41" t="str">
        <f t="shared" si="268"/>
        <v/>
      </c>
      <c r="J93" s="42"/>
      <c r="K93" s="40" t="str">
        <f t="shared" ref="K93:P93" si="269">IF(ISERROR(VLOOKUP(K92,$K$394:$W$428,9,FALSE)),"",VLOOKUP(K92,$K$394:$W$428,9,FALSE))</f>
        <v/>
      </c>
      <c r="L93" s="40" t="str">
        <f t="shared" si="269"/>
        <v/>
      </c>
      <c r="M93" s="40" t="str">
        <f t="shared" si="269"/>
        <v/>
      </c>
      <c r="N93" s="40" t="str">
        <f t="shared" si="269"/>
        <v/>
      </c>
      <c r="O93" s="40" t="str">
        <f t="shared" si="269"/>
        <v/>
      </c>
      <c r="P93" s="41" t="str">
        <f t="shared" si="269"/>
        <v/>
      </c>
      <c r="Q93" s="42"/>
      <c r="R93" s="40" t="str">
        <f t="shared" ref="R93:W93" si="270">IF(ISERROR(VLOOKUP(R92,$K$394:$W$428,9,FALSE)),"",VLOOKUP(R92,$K$394:$W$428,9,FALSE))</f>
        <v/>
      </c>
      <c r="S93" s="40" t="str">
        <f t="shared" si="270"/>
        <v/>
      </c>
      <c r="T93" s="40" t="str">
        <f t="shared" si="270"/>
        <v/>
      </c>
      <c r="U93" s="40" t="str">
        <f t="shared" si="270"/>
        <v/>
      </c>
      <c r="V93" s="40" t="str">
        <f t="shared" si="270"/>
        <v/>
      </c>
      <c r="W93" s="41" t="str">
        <f t="shared" si="270"/>
        <v/>
      </c>
      <c r="X93" s="42"/>
      <c r="Y93" s="40" t="str">
        <f t="shared" ref="Y93:AD93" si="271">IF(ISERROR(VLOOKUP(Y92,$K$394:$W$428,9,FALSE)),"",VLOOKUP(Y92,$K$394:$W$428,9,FALSE))</f>
        <v/>
      </c>
      <c r="Z93" s="40" t="str">
        <f t="shared" si="271"/>
        <v/>
      </c>
      <c r="AA93" s="103" t="str">
        <f t="shared" si="271"/>
        <v/>
      </c>
      <c r="AB93" s="40" t="str">
        <f t="shared" si="271"/>
        <v/>
      </c>
      <c r="AC93" s="40" t="str">
        <f t="shared" si="271"/>
        <v/>
      </c>
      <c r="AD93" s="41" t="str">
        <f t="shared" si="271"/>
        <v/>
      </c>
      <c r="AE93" s="42"/>
      <c r="AF93" s="40" t="str">
        <f t="shared" ref="AF93:AG93" si="272">IF(ISERROR(VLOOKUP(AF92,$K$394:$W$428,9,FALSE)),"",VLOOKUP(AF92,$K$394:$W$428,9,FALSE))</f>
        <v/>
      </c>
      <c r="AG93" s="40" t="str">
        <f t="shared" si="272"/>
        <v/>
      </c>
      <c r="AH93" s="97"/>
      <c r="AI93" s="73"/>
    </row>
    <row r="94" spans="1:35" ht="15" hidden="1" customHeight="1" outlineLevel="1">
      <c r="A94" s="221" t="s">
        <v>25</v>
      </c>
      <c r="B94" s="215" t="s">
        <v>19</v>
      </c>
      <c r="C94" s="39"/>
      <c r="D94" s="37"/>
      <c r="E94" s="37"/>
      <c r="F94" s="37"/>
      <c r="G94" s="37"/>
      <c r="H94" s="148" t="s">
        <v>32</v>
      </c>
      <c r="I94" s="38"/>
      <c r="J94" s="39"/>
      <c r="K94" s="37"/>
      <c r="L94" s="37"/>
      <c r="M94" s="37"/>
      <c r="N94" s="37"/>
      <c r="O94" s="148" t="s">
        <v>32</v>
      </c>
      <c r="P94" s="38"/>
      <c r="Q94" s="39"/>
      <c r="R94" s="37"/>
      <c r="S94" s="37"/>
      <c r="T94" s="37"/>
      <c r="U94" s="146"/>
      <c r="V94" s="148" t="s">
        <v>32</v>
      </c>
      <c r="W94" s="38"/>
      <c r="X94" s="39"/>
      <c r="Y94" s="37"/>
      <c r="Z94" s="37"/>
      <c r="AA94" s="104"/>
      <c r="AB94" s="148" t="s">
        <v>32</v>
      </c>
      <c r="AC94" s="148" t="s">
        <v>32</v>
      </c>
      <c r="AD94" s="38"/>
      <c r="AE94" s="39"/>
      <c r="AF94" s="37"/>
      <c r="AG94" s="37"/>
      <c r="AH94" s="93"/>
      <c r="AI94" s="73">
        <f>COUNTA($C94:$AG94)</f>
        <v>5</v>
      </c>
    </row>
    <row r="95" spans="1:35" ht="15" hidden="1" customHeight="1" outlineLevel="1">
      <c r="A95" s="293"/>
      <c r="B95" s="293"/>
      <c r="C95" s="42"/>
      <c r="D95" s="40" t="str">
        <f t="shared" ref="D95:I95" si="273">IF(ISERROR(VLOOKUP(D94,$K$394:$W$428,9,FALSE)),"",VLOOKUP(D94,$K$394:$W$428,9,FALSE))</f>
        <v/>
      </c>
      <c r="E95" s="40" t="str">
        <f t="shared" si="273"/>
        <v/>
      </c>
      <c r="F95" s="40" t="str">
        <f t="shared" si="273"/>
        <v/>
      </c>
      <c r="G95" s="40" t="str">
        <f t="shared" si="273"/>
        <v/>
      </c>
      <c r="H95" s="40">
        <f t="shared" si="273"/>
        <v>96379</v>
      </c>
      <c r="I95" s="41" t="str">
        <f t="shared" si="273"/>
        <v/>
      </c>
      <c r="J95" s="42"/>
      <c r="K95" s="40" t="str">
        <f t="shared" ref="K95:P95" si="274">IF(ISERROR(VLOOKUP(K94,$K$394:$W$428,9,FALSE)),"",VLOOKUP(K94,$K$394:$W$428,9,FALSE))</f>
        <v/>
      </c>
      <c r="L95" s="40" t="str">
        <f t="shared" si="274"/>
        <v/>
      </c>
      <c r="M95" s="40" t="str">
        <f t="shared" si="274"/>
        <v/>
      </c>
      <c r="N95" s="40" t="str">
        <f t="shared" si="274"/>
        <v/>
      </c>
      <c r="O95" s="40">
        <f t="shared" si="274"/>
        <v>96379</v>
      </c>
      <c r="P95" s="41" t="str">
        <f t="shared" si="274"/>
        <v/>
      </c>
      <c r="Q95" s="42"/>
      <c r="R95" s="40" t="str">
        <f t="shared" ref="R95:W95" si="275">IF(ISERROR(VLOOKUP(R94,$K$394:$W$428,9,FALSE)),"",VLOOKUP(R94,$K$394:$W$428,9,FALSE))</f>
        <v/>
      </c>
      <c r="S95" s="40" t="str">
        <f t="shared" si="275"/>
        <v/>
      </c>
      <c r="T95" s="40" t="str">
        <f t="shared" si="275"/>
        <v/>
      </c>
      <c r="U95" s="147" t="str">
        <f t="shared" si="275"/>
        <v/>
      </c>
      <c r="V95" s="40">
        <f t="shared" si="275"/>
        <v>96379</v>
      </c>
      <c r="W95" s="41" t="str">
        <f t="shared" si="275"/>
        <v/>
      </c>
      <c r="X95" s="42"/>
      <c r="Y95" s="40" t="str">
        <f t="shared" ref="Y95:AD95" si="276">IF(ISERROR(VLOOKUP(Y94,$K$394:$W$428,9,FALSE)),"",VLOOKUP(Y94,$K$394:$W$428,9,FALSE))</f>
        <v/>
      </c>
      <c r="Z95" s="40" t="str">
        <f t="shared" si="276"/>
        <v/>
      </c>
      <c r="AA95" s="105" t="str">
        <f t="shared" si="276"/>
        <v/>
      </c>
      <c r="AB95" s="40">
        <f t="shared" ref="AB95" si="277">IF(ISERROR(VLOOKUP(AB94,$K$394:$W$428,9,FALSE)),"",VLOOKUP(AB94,$K$394:$W$428,9,FALSE))</f>
        <v>96379</v>
      </c>
      <c r="AC95" s="40">
        <f t="shared" si="276"/>
        <v>96379</v>
      </c>
      <c r="AD95" s="41" t="str">
        <f t="shared" si="276"/>
        <v/>
      </c>
      <c r="AE95" s="42"/>
      <c r="AF95" s="40" t="str">
        <f t="shared" ref="AF95:AG95" si="278">IF(ISERROR(VLOOKUP(AF94,$K$394:$W$428,9,FALSE)),"",VLOOKUP(AF94,$K$394:$W$428,9,FALSE))</f>
        <v/>
      </c>
      <c r="AG95" s="40" t="str">
        <f t="shared" si="278"/>
        <v/>
      </c>
      <c r="AH95" s="97"/>
      <c r="AI95" s="73"/>
    </row>
    <row r="96" spans="1:35" ht="15" hidden="1" customHeight="1" outlineLevel="1">
      <c r="A96" s="293"/>
      <c r="B96" s="216" t="s">
        <v>20</v>
      </c>
      <c r="C96" s="39"/>
      <c r="D96" s="37"/>
      <c r="E96" s="37"/>
      <c r="F96" s="37"/>
      <c r="G96" s="37"/>
      <c r="H96" s="148" t="s">
        <v>32</v>
      </c>
      <c r="I96" s="38"/>
      <c r="J96" s="39"/>
      <c r="K96" s="37"/>
      <c r="L96" s="37"/>
      <c r="M96" s="37"/>
      <c r="N96" s="37"/>
      <c r="O96" s="148" t="s">
        <v>32</v>
      </c>
      <c r="P96" s="38"/>
      <c r="Q96" s="39"/>
      <c r="R96" s="37"/>
      <c r="S96" s="37"/>
      <c r="T96" s="37"/>
      <c r="U96" s="146"/>
      <c r="V96" s="148" t="s">
        <v>32</v>
      </c>
      <c r="W96" s="38"/>
      <c r="X96" s="39"/>
      <c r="Y96" s="37"/>
      <c r="Z96" s="37"/>
      <c r="AA96" s="104"/>
      <c r="AB96" s="148" t="s">
        <v>32</v>
      </c>
      <c r="AC96" s="148" t="s">
        <v>32</v>
      </c>
      <c r="AD96" s="38"/>
      <c r="AE96" s="39"/>
      <c r="AF96" s="37"/>
      <c r="AG96" s="37"/>
      <c r="AH96" s="93"/>
      <c r="AI96" s="73">
        <f>COUNTA($C96:$AG96)</f>
        <v>5</v>
      </c>
    </row>
    <row r="97" spans="1:35" ht="15" hidden="1" customHeight="1" outlineLevel="1">
      <c r="A97" s="293"/>
      <c r="B97" s="294"/>
      <c r="C97" s="96"/>
      <c r="D97" s="94" t="str">
        <f t="shared" ref="D97:I97" si="279">IF(ISERROR(VLOOKUP(D96,$K$394:$W$428,9,FALSE)),"",VLOOKUP(D96,$K$394:$W$428,9,FALSE))</f>
        <v/>
      </c>
      <c r="E97" s="94" t="str">
        <f t="shared" si="279"/>
        <v/>
      </c>
      <c r="F97" s="94" t="str">
        <f t="shared" si="279"/>
        <v/>
      </c>
      <c r="G97" s="94" t="str">
        <f t="shared" si="279"/>
        <v/>
      </c>
      <c r="H97" s="40">
        <f t="shared" si="279"/>
        <v>96379</v>
      </c>
      <c r="I97" s="95" t="str">
        <f t="shared" si="279"/>
        <v/>
      </c>
      <c r="J97" s="96"/>
      <c r="K97" s="94" t="str">
        <f t="shared" ref="K97:P97" si="280">IF(ISERROR(VLOOKUP(K96,$K$394:$W$428,9,FALSE)),"",VLOOKUP(K96,$K$394:$W$428,9,FALSE))</f>
        <v/>
      </c>
      <c r="L97" s="94" t="str">
        <f t="shared" si="280"/>
        <v/>
      </c>
      <c r="M97" s="94" t="str">
        <f t="shared" si="280"/>
        <v/>
      </c>
      <c r="N97" s="94" t="str">
        <f t="shared" si="280"/>
        <v/>
      </c>
      <c r="O97" s="40">
        <f t="shared" si="280"/>
        <v>96379</v>
      </c>
      <c r="P97" s="95" t="str">
        <f t="shared" si="280"/>
        <v/>
      </c>
      <c r="Q97" s="96"/>
      <c r="R97" s="94" t="str">
        <f t="shared" ref="R97:W97" si="281">IF(ISERROR(VLOOKUP(R96,$K$394:$W$428,9,FALSE)),"",VLOOKUP(R96,$K$394:$W$428,9,FALSE))</f>
        <v/>
      </c>
      <c r="S97" s="94" t="str">
        <f t="shared" si="281"/>
        <v/>
      </c>
      <c r="T97" s="94" t="str">
        <f t="shared" si="281"/>
        <v/>
      </c>
      <c r="U97" s="151" t="str">
        <f t="shared" si="281"/>
        <v/>
      </c>
      <c r="V97" s="40">
        <f t="shared" si="281"/>
        <v>96379</v>
      </c>
      <c r="W97" s="95" t="str">
        <f t="shared" si="281"/>
        <v/>
      </c>
      <c r="X97" s="96"/>
      <c r="Y97" s="94" t="str">
        <f t="shared" ref="Y97:AD97" si="282">IF(ISERROR(VLOOKUP(Y96,$K$394:$W$428,9,FALSE)),"",VLOOKUP(Y96,$K$394:$W$428,9,FALSE))</f>
        <v/>
      </c>
      <c r="Z97" s="94" t="str">
        <f t="shared" si="282"/>
        <v/>
      </c>
      <c r="AA97" s="106" t="str">
        <f t="shared" si="282"/>
        <v/>
      </c>
      <c r="AB97" s="40">
        <f t="shared" ref="AB97" si="283">IF(ISERROR(VLOOKUP(AB96,$K$394:$W$428,9,FALSE)),"",VLOOKUP(AB96,$K$394:$W$428,9,FALSE))</f>
        <v>96379</v>
      </c>
      <c r="AC97" s="40">
        <f t="shared" si="282"/>
        <v>96379</v>
      </c>
      <c r="AD97" s="95" t="str">
        <f t="shared" si="282"/>
        <v/>
      </c>
      <c r="AE97" s="96"/>
      <c r="AF97" s="94" t="str">
        <f t="shared" ref="AF97:AG97" si="284">IF(ISERROR(VLOOKUP(AF96,$K$394:$W$428,9,FALSE)),"",VLOOKUP(AF96,$K$394:$W$428,9,FALSE))</f>
        <v/>
      </c>
      <c r="AG97" s="94" t="str">
        <f t="shared" si="284"/>
        <v/>
      </c>
      <c r="AH97" s="97"/>
      <c r="AI97" s="73"/>
    </row>
    <row r="98" spans="1:35" ht="15" hidden="1" customHeight="1" outlineLevel="1">
      <c r="A98" s="293"/>
      <c r="B98" s="216" t="s">
        <v>21</v>
      </c>
      <c r="C98" s="39"/>
      <c r="D98" s="37"/>
      <c r="E98" s="37"/>
      <c r="F98" s="37"/>
      <c r="G98" s="37"/>
      <c r="H98" s="148" t="s">
        <v>32</v>
      </c>
      <c r="I98" s="38"/>
      <c r="J98" s="39"/>
      <c r="K98" s="37"/>
      <c r="L98" s="37"/>
      <c r="M98" s="37"/>
      <c r="N98" s="37"/>
      <c r="O98" s="148" t="s">
        <v>32</v>
      </c>
      <c r="P98" s="38"/>
      <c r="Q98" s="39"/>
      <c r="R98" s="37"/>
      <c r="S98" s="37"/>
      <c r="T98" s="37"/>
      <c r="U98" s="146"/>
      <c r="V98" s="148" t="s">
        <v>32</v>
      </c>
      <c r="W98" s="38"/>
      <c r="X98" s="39"/>
      <c r="Y98" s="37"/>
      <c r="Z98" s="37"/>
      <c r="AA98" s="104"/>
      <c r="AB98" s="148" t="s">
        <v>32</v>
      </c>
      <c r="AC98" s="148" t="s">
        <v>32</v>
      </c>
      <c r="AD98" s="38"/>
      <c r="AE98" s="39"/>
      <c r="AF98" s="37"/>
      <c r="AG98" s="37"/>
      <c r="AH98" s="93"/>
      <c r="AI98" s="73">
        <f>COUNTA($C98:$AG98)</f>
        <v>5</v>
      </c>
    </row>
    <row r="99" spans="1:35" ht="15" hidden="1" customHeight="1" outlineLevel="1">
      <c r="A99" s="293"/>
      <c r="B99" s="294"/>
      <c r="C99" s="42"/>
      <c r="D99" s="40" t="str">
        <f t="shared" ref="D99:I99" si="285">IF(ISERROR(VLOOKUP(D98,$K$394:$W$428,9,FALSE)),"",VLOOKUP(D98,$K$394:$W$428,9,FALSE))</f>
        <v/>
      </c>
      <c r="E99" s="40" t="str">
        <f t="shared" si="285"/>
        <v/>
      </c>
      <c r="F99" s="40" t="str">
        <f t="shared" si="285"/>
        <v/>
      </c>
      <c r="G99" s="40" t="str">
        <f t="shared" si="285"/>
        <v/>
      </c>
      <c r="H99" s="40">
        <f t="shared" si="285"/>
        <v>96379</v>
      </c>
      <c r="I99" s="41" t="str">
        <f t="shared" si="285"/>
        <v/>
      </c>
      <c r="J99" s="42"/>
      <c r="K99" s="40" t="str">
        <f t="shared" ref="K99:P99" si="286">IF(ISERROR(VLOOKUP(K98,$K$394:$W$428,9,FALSE)),"",VLOOKUP(K98,$K$394:$W$428,9,FALSE))</f>
        <v/>
      </c>
      <c r="L99" s="40" t="str">
        <f t="shared" si="286"/>
        <v/>
      </c>
      <c r="M99" s="40" t="str">
        <f t="shared" si="286"/>
        <v/>
      </c>
      <c r="N99" s="40" t="str">
        <f t="shared" si="286"/>
        <v/>
      </c>
      <c r="O99" s="40">
        <f t="shared" si="286"/>
        <v>96379</v>
      </c>
      <c r="P99" s="41" t="str">
        <f t="shared" si="286"/>
        <v/>
      </c>
      <c r="Q99" s="42"/>
      <c r="R99" s="40" t="str">
        <f t="shared" ref="R99:W99" si="287">IF(ISERROR(VLOOKUP(R98,$K$394:$W$428,9,FALSE)),"",VLOOKUP(R98,$K$394:$W$428,9,FALSE))</f>
        <v/>
      </c>
      <c r="S99" s="40" t="str">
        <f t="shared" si="287"/>
        <v/>
      </c>
      <c r="T99" s="40" t="str">
        <f t="shared" si="287"/>
        <v/>
      </c>
      <c r="U99" s="147" t="str">
        <f t="shared" si="287"/>
        <v/>
      </c>
      <c r="V99" s="40">
        <f t="shared" si="287"/>
        <v>96379</v>
      </c>
      <c r="W99" s="41" t="str">
        <f t="shared" si="287"/>
        <v/>
      </c>
      <c r="X99" s="42"/>
      <c r="Y99" s="40" t="str">
        <f t="shared" ref="Y99:AD99" si="288">IF(ISERROR(VLOOKUP(Y98,$K$394:$W$428,9,FALSE)),"",VLOOKUP(Y98,$K$394:$W$428,9,FALSE))</f>
        <v/>
      </c>
      <c r="Z99" s="40" t="str">
        <f t="shared" si="288"/>
        <v/>
      </c>
      <c r="AA99" s="105" t="str">
        <f t="shared" si="288"/>
        <v/>
      </c>
      <c r="AB99" s="40">
        <f t="shared" ref="AB99" si="289">IF(ISERROR(VLOOKUP(AB98,$K$394:$W$428,9,FALSE)),"",VLOOKUP(AB98,$K$394:$W$428,9,FALSE))</f>
        <v>96379</v>
      </c>
      <c r="AC99" s="40">
        <f t="shared" si="288"/>
        <v>96379</v>
      </c>
      <c r="AD99" s="41" t="str">
        <f t="shared" si="288"/>
        <v/>
      </c>
      <c r="AE99" s="42"/>
      <c r="AF99" s="40" t="str">
        <f t="shared" ref="AF99:AG99" si="290">IF(ISERROR(VLOOKUP(AF98,$K$394:$W$428,9,FALSE)),"",VLOOKUP(AF98,$K$394:$W$428,9,FALSE))</f>
        <v/>
      </c>
      <c r="AG99" s="40" t="str">
        <f t="shared" si="290"/>
        <v/>
      </c>
      <c r="AH99" s="97"/>
      <c r="AI99" s="73"/>
    </row>
    <row r="100" spans="1:35" ht="15" hidden="1" customHeight="1" outlineLevel="1">
      <c r="A100" s="293"/>
      <c r="B100" s="215" t="s">
        <v>22</v>
      </c>
      <c r="C100" s="100"/>
      <c r="D100" s="98"/>
      <c r="E100" s="98"/>
      <c r="F100" s="98"/>
      <c r="G100" s="98"/>
      <c r="H100" s="98"/>
      <c r="I100" s="99"/>
      <c r="J100" s="100"/>
      <c r="K100" s="98"/>
      <c r="L100" s="98"/>
      <c r="M100" s="98"/>
      <c r="N100" s="98"/>
      <c r="O100" s="98"/>
      <c r="P100" s="99"/>
      <c r="Q100" s="100"/>
      <c r="R100" s="98"/>
      <c r="S100" s="98"/>
      <c r="T100" s="98"/>
      <c r="U100" s="98"/>
      <c r="V100" s="98"/>
      <c r="W100" s="99"/>
      <c r="X100" s="100"/>
      <c r="Y100" s="98"/>
      <c r="Z100" s="98"/>
      <c r="AA100" s="107"/>
      <c r="AB100" s="98"/>
      <c r="AC100" s="98"/>
      <c r="AD100" s="99"/>
      <c r="AE100" s="100"/>
      <c r="AF100" s="98"/>
      <c r="AG100" s="98"/>
      <c r="AH100" s="93"/>
      <c r="AI100" s="73">
        <f>COUNTA($C100:$AG100)</f>
        <v>0</v>
      </c>
    </row>
    <row r="101" spans="1:35" ht="15" hidden="1" customHeight="1" outlineLevel="1">
      <c r="A101" s="295"/>
      <c r="B101" s="295"/>
      <c r="C101" s="45"/>
      <c r="D101" s="43" t="str">
        <f t="shared" ref="D101:I101" si="291">IF(ISERROR(VLOOKUP(D100,$K$394:$W$428,9,FALSE)),"",VLOOKUP(D100,$K$394:$W$428,9,FALSE))</f>
        <v/>
      </c>
      <c r="E101" s="43" t="str">
        <f t="shared" si="291"/>
        <v/>
      </c>
      <c r="F101" s="43" t="str">
        <f t="shared" si="291"/>
        <v/>
      </c>
      <c r="G101" s="43" t="str">
        <f t="shared" si="291"/>
        <v/>
      </c>
      <c r="H101" s="43" t="str">
        <f t="shared" si="291"/>
        <v/>
      </c>
      <c r="I101" s="44" t="str">
        <f t="shared" si="291"/>
        <v/>
      </c>
      <c r="J101" s="45"/>
      <c r="K101" s="43" t="str">
        <f t="shared" ref="K101:P101" si="292">IF(ISERROR(VLOOKUP(K100,$K$394:$W$428,9,FALSE)),"",VLOOKUP(K100,$K$394:$W$428,9,FALSE))</f>
        <v/>
      </c>
      <c r="L101" s="43" t="str">
        <f t="shared" si="292"/>
        <v/>
      </c>
      <c r="M101" s="43" t="str">
        <f t="shared" si="292"/>
        <v/>
      </c>
      <c r="N101" s="43" t="str">
        <f t="shared" si="292"/>
        <v/>
      </c>
      <c r="O101" s="43" t="str">
        <f t="shared" si="292"/>
        <v/>
      </c>
      <c r="P101" s="44" t="str">
        <f t="shared" si="292"/>
        <v/>
      </c>
      <c r="Q101" s="45"/>
      <c r="R101" s="43" t="str">
        <f t="shared" ref="R101:W101" si="293">IF(ISERROR(VLOOKUP(R100,$K$394:$W$428,9,FALSE)),"",VLOOKUP(R100,$K$394:$W$428,9,FALSE))</f>
        <v/>
      </c>
      <c r="S101" s="43" t="str">
        <f t="shared" si="293"/>
        <v/>
      </c>
      <c r="T101" s="43" t="str">
        <f t="shared" si="293"/>
        <v/>
      </c>
      <c r="U101" s="43" t="str">
        <f t="shared" si="293"/>
        <v/>
      </c>
      <c r="V101" s="43" t="str">
        <f t="shared" si="293"/>
        <v/>
      </c>
      <c r="W101" s="44" t="str">
        <f t="shared" si="293"/>
        <v/>
      </c>
      <c r="X101" s="45"/>
      <c r="Y101" s="43" t="str">
        <f t="shared" ref="Y101:AD101" si="294">IF(ISERROR(VLOOKUP(Y100,$K$394:$W$428,9,FALSE)),"",VLOOKUP(Y100,$K$394:$W$428,9,FALSE))</f>
        <v/>
      </c>
      <c r="Z101" s="43" t="str">
        <f t="shared" si="294"/>
        <v/>
      </c>
      <c r="AA101" s="108" t="str">
        <f t="shared" si="294"/>
        <v/>
      </c>
      <c r="AB101" s="43" t="str">
        <f t="shared" si="294"/>
        <v/>
      </c>
      <c r="AC101" s="43" t="str">
        <f t="shared" si="294"/>
        <v/>
      </c>
      <c r="AD101" s="44" t="str">
        <f t="shared" si="294"/>
        <v/>
      </c>
      <c r="AE101" s="45"/>
      <c r="AF101" s="43" t="str">
        <f t="shared" ref="AF101:AG101" si="295">IF(ISERROR(VLOOKUP(AF100,$K$394:$W$428,9,FALSE)),"",VLOOKUP(AF100,$K$394:$W$428,9,FALSE))</f>
        <v/>
      </c>
      <c r="AG101" s="43" t="str">
        <f t="shared" si="295"/>
        <v/>
      </c>
      <c r="AH101" s="97"/>
      <c r="AI101" s="73"/>
    </row>
    <row r="102" spans="1:35" ht="15" hidden="1" customHeight="1" collapsed="1">
      <c r="A102" s="46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21"/>
      <c r="AI102" s="70"/>
    </row>
    <row r="103" spans="1:35" ht="23.25" hidden="1" customHeight="1" outlineLevel="1">
      <c r="A103" s="218">
        <f>A71+31</f>
        <v>46113</v>
      </c>
      <c r="B103" s="219"/>
      <c r="C103" s="219"/>
      <c r="D103" s="219"/>
      <c r="E103" s="219"/>
      <c r="F103" s="219"/>
      <c r="G103" s="219"/>
      <c r="H103" s="219"/>
      <c r="I103" s="219"/>
      <c r="J103" s="219"/>
      <c r="K103" s="219"/>
      <c r="L103" s="219"/>
      <c r="M103" s="220"/>
      <c r="N103" s="213" t="s">
        <v>14</v>
      </c>
      <c r="O103" s="214"/>
      <c r="P103" s="214"/>
      <c r="Q103" s="214"/>
      <c r="R103" s="68">
        <v>20</v>
      </c>
      <c r="S103" s="212" t="s">
        <v>15</v>
      </c>
      <c r="T103" s="212"/>
      <c r="U103" s="212"/>
      <c r="V103" s="212"/>
      <c r="W103" s="69">
        <f>SUM(AI106:AI133)</f>
        <v>116</v>
      </c>
      <c r="X103" s="212" t="s">
        <v>16</v>
      </c>
      <c r="Y103" s="212"/>
      <c r="Z103" s="212"/>
      <c r="AA103" s="212"/>
      <c r="AB103" s="69">
        <f>IF($M$2="Mensalista",R103*8,IF($M$2="Horista",90,IF($M$2="Intermitente",(ROUNDDOWN((R103*8*0.909),0)),"")))</f>
        <v>160</v>
      </c>
      <c r="AC103" s="212" t="s">
        <v>17</v>
      </c>
      <c r="AD103" s="245"/>
      <c r="AE103" s="245"/>
      <c r="AF103" s="246">
        <f>IF($M$2="","",IF($M$2="RSA","",W103/AB103))</f>
        <v>0.72499999999999998</v>
      </c>
      <c r="AG103" s="289"/>
      <c r="AH103" s="101"/>
      <c r="AI103" s="70"/>
    </row>
    <row r="104" spans="1:35" ht="15" hidden="1" customHeight="1" outlineLevel="1">
      <c r="A104" s="217"/>
      <c r="B104" s="290"/>
      <c r="C104" s="47">
        <f>A103</f>
        <v>46113</v>
      </c>
      <c r="D104" s="47">
        <f t="shared" ref="D104:AF104" si="296">C104+1</f>
        <v>46114</v>
      </c>
      <c r="E104" s="32">
        <f t="shared" si="296"/>
        <v>46115</v>
      </c>
      <c r="F104" s="33">
        <f t="shared" si="296"/>
        <v>46116</v>
      </c>
      <c r="G104" s="34">
        <f t="shared" si="296"/>
        <v>46117</v>
      </c>
      <c r="H104" s="32">
        <f t="shared" si="296"/>
        <v>46118</v>
      </c>
      <c r="I104" s="32">
        <f t="shared" si="296"/>
        <v>46119</v>
      </c>
      <c r="J104" s="32">
        <f t="shared" si="296"/>
        <v>46120</v>
      </c>
      <c r="K104" s="32">
        <f t="shared" si="296"/>
        <v>46121</v>
      </c>
      <c r="L104" s="32">
        <f t="shared" si="296"/>
        <v>46122</v>
      </c>
      <c r="M104" s="33">
        <f t="shared" si="296"/>
        <v>46123</v>
      </c>
      <c r="N104" s="34">
        <f t="shared" si="296"/>
        <v>46124</v>
      </c>
      <c r="O104" s="32">
        <f t="shared" si="296"/>
        <v>46125</v>
      </c>
      <c r="P104" s="32">
        <f t="shared" si="296"/>
        <v>46126</v>
      </c>
      <c r="Q104" s="32">
        <f t="shared" si="296"/>
        <v>46127</v>
      </c>
      <c r="R104" s="32">
        <f t="shared" si="296"/>
        <v>46128</v>
      </c>
      <c r="S104" s="32">
        <f t="shared" si="296"/>
        <v>46129</v>
      </c>
      <c r="T104" s="33">
        <f t="shared" si="296"/>
        <v>46130</v>
      </c>
      <c r="U104" s="34">
        <f t="shared" si="296"/>
        <v>46131</v>
      </c>
      <c r="V104" s="32">
        <f t="shared" si="296"/>
        <v>46132</v>
      </c>
      <c r="W104" s="32">
        <f t="shared" si="296"/>
        <v>46133</v>
      </c>
      <c r="X104" s="32">
        <f t="shared" si="296"/>
        <v>46134</v>
      </c>
      <c r="Y104" s="32">
        <f t="shared" si="296"/>
        <v>46135</v>
      </c>
      <c r="Z104" s="32">
        <f t="shared" si="296"/>
        <v>46136</v>
      </c>
      <c r="AA104" s="33">
        <f t="shared" si="296"/>
        <v>46137</v>
      </c>
      <c r="AB104" s="34">
        <f t="shared" si="296"/>
        <v>46138</v>
      </c>
      <c r="AC104" s="32">
        <f t="shared" si="296"/>
        <v>46139</v>
      </c>
      <c r="AD104" s="32">
        <f t="shared" si="296"/>
        <v>46140</v>
      </c>
      <c r="AE104" s="32">
        <f t="shared" si="296"/>
        <v>46141</v>
      </c>
      <c r="AF104" s="32">
        <f t="shared" si="296"/>
        <v>46142</v>
      </c>
      <c r="AG104" s="247"/>
      <c r="AH104" s="90"/>
      <c r="AI104" s="71"/>
    </row>
    <row r="105" spans="1:35" ht="15.75" hidden="1" customHeight="1" outlineLevel="1">
      <c r="A105" s="291"/>
      <c r="B105" s="292"/>
      <c r="C105" s="48">
        <f>A103</f>
        <v>46113</v>
      </c>
      <c r="D105" s="48">
        <f t="shared" ref="D105:AF105" si="297">C105+1</f>
        <v>46114</v>
      </c>
      <c r="E105" s="91">
        <f t="shared" si="297"/>
        <v>46115</v>
      </c>
      <c r="F105" s="35">
        <f t="shared" si="297"/>
        <v>46116</v>
      </c>
      <c r="G105" s="36">
        <f t="shared" si="297"/>
        <v>46117</v>
      </c>
      <c r="H105" s="91">
        <f t="shared" si="297"/>
        <v>46118</v>
      </c>
      <c r="I105" s="91">
        <f t="shared" si="297"/>
        <v>46119</v>
      </c>
      <c r="J105" s="91">
        <f t="shared" si="297"/>
        <v>46120</v>
      </c>
      <c r="K105" s="91">
        <f t="shared" si="297"/>
        <v>46121</v>
      </c>
      <c r="L105" s="91">
        <f t="shared" si="297"/>
        <v>46122</v>
      </c>
      <c r="M105" s="35">
        <f t="shared" si="297"/>
        <v>46123</v>
      </c>
      <c r="N105" s="36">
        <f t="shared" si="297"/>
        <v>46124</v>
      </c>
      <c r="O105" s="91">
        <f t="shared" si="297"/>
        <v>46125</v>
      </c>
      <c r="P105" s="91">
        <f t="shared" si="297"/>
        <v>46126</v>
      </c>
      <c r="Q105" s="91">
        <f t="shared" si="297"/>
        <v>46127</v>
      </c>
      <c r="R105" s="91">
        <f t="shared" si="297"/>
        <v>46128</v>
      </c>
      <c r="S105" s="91">
        <f t="shared" si="297"/>
        <v>46129</v>
      </c>
      <c r="T105" s="35">
        <f t="shared" si="297"/>
        <v>46130</v>
      </c>
      <c r="U105" s="36">
        <f t="shared" si="297"/>
        <v>46131</v>
      </c>
      <c r="V105" s="91">
        <f t="shared" si="297"/>
        <v>46132</v>
      </c>
      <c r="W105" s="91">
        <f t="shared" si="297"/>
        <v>46133</v>
      </c>
      <c r="X105" s="91">
        <f t="shared" si="297"/>
        <v>46134</v>
      </c>
      <c r="Y105" s="91">
        <f t="shared" si="297"/>
        <v>46135</v>
      </c>
      <c r="Z105" s="91">
        <f t="shared" si="297"/>
        <v>46136</v>
      </c>
      <c r="AA105" s="35">
        <f t="shared" si="297"/>
        <v>46137</v>
      </c>
      <c r="AB105" s="36">
        <f t="shared" si="297"/>
        <v>46138</v>
      </c>
      <c r="AC105" s="91">
        <f t="shared" si="297"/>
        <v>46139</v>
      </c>
      <c r="AD105" s="91">
        <f t="shared" si="297"/>
        <v>46140</v>
      </c>
      <c r="AE105" s="91">
        <f t="shared" si="297"/>
        <v>46141</v>
      </c>
      <c r="AF105" s="91">
        <f t="shared" si="297"/>
        <v>46142</v>
      </c>
      <c r="AG105" s="299"/>
      <c r="AH105" s="92"/>
      <c r="AI105" s="70"/>
    </row>
    <row r="106" spans="1:35" ht="15" hidden="1" customHeight="1" outlineLevel="1">
      <c r="A106" s="222" t="s">
        <v>18</v>
      </c>
      <c r="B106" s="215" t="s">
        <v>19</v>
      </c>
      <c r="C106" s="37" t="s">
        <v>28</v>
      </c>
      <c r="D106" s="211"/>
      <c r="E106" s="211"/>
      <c r="F106" s="38"/>
      <c r="G106" s="39"/>
      <c r="H106" s="37" t="s">
        <v>28</v>
      </c>
      <c r="I106" s="37"/>
      <c r="J106" s="37" t="s">
        <v>28</v>
      </c>
      <c r="K106" s="37" t="s">
        <v>28</v>
      </c>
      <c r="L106" s="146"/>
      <c r="M106" s="38"/>
      <c r="N106" s="39"/>
      <c r="O106" s="37" t="s">
        <v>28</v>
      </c>
      <c r="P106" s="37"/>
      <c r="Q106" s="37" t="s">
        <v>28</v>
      </c>
      <c r="R106" s="102"/>
      <c r="S106" s="144"/>
      <c r="T106" s="38"/>
      <c r="U106" s="39"/>
      <c r="V106" s="37"/>
      <c r="W106" s="211"/>
      <c r="X106" s="148" t="s">
        <v>35</v>
      </c>
      <c r="Y106" s="144"/>
      <c r="Z106" s="144"/>
      <c r="AA106" s="38"/>
      <c r="AB106" s="39"/>
      <c r="AC106" s="148" t="s">
        <v>35</v>
      </c>
      <c r="AD106" s="37"/>
      <c r="AE106" s="148" t="s">
        <v>35</v>
      </c>
      <c r="AF106" s="144"/>
      <c r="AG106" s="299"/>
      <c r="AH106" s="93"/>
      <c r="AI106" s="71">
        <f>COUNTA($C106:$AF106)</f>
        <v>9</v>
      </c>
    </row>
    <row r="107" spans="1:35" ht="15" hidden="1" customHeight="1" outlineLevel="1">
      <c r="A107" s="221"/>
      <c r="B107" s="293"/>
      <c r="C107" s="94">
        <f t="shared" ref="C107" si="298">IF(ISERROR(VLOOKUP(C106,$K$394:$W$428,9,FALSE)),"",VLOOKUP(C106,$K$394:$W$428,9,FALSE))</f>
        <v>93745</v>
      </c>
      <c r="D107" s="294"/>
      <c r="E107" s="294"/>
      <c r="F107" s="95" t="str">
        <f t="shared" ref="F107" si="299">IF(ISERROR(VLOOKUP(F106,$K$394:$W$428,9,FALSE)),"",VLOOKUP(F106,$K$394:$W$428,9,FALSE))</f>
        <v/>
      </c>
      <c r="G107" s="96"/>
      <c r="H107" s="94">
        <f t="shared" ref="H107:I107" si="300">IF(ISERROR(VLOOKUP(H106,$K$394:$W$428,9,FALSE)),"",VLOOKUP(H106,$K$394:$W$428,9,FALSE))</f>
        <v>93745</v>
      </c>
      <c r="I107" s="94" t="str">
        <f t="shared" si="300"/>
        <v/>
      </c>
      <c r="J107" s="94">
        <f t="shared" ref="J107:M107" si="301">IF(ISERROR(VLOOKUP(J106,$K$394:$W$428,9,FALSE)),"",VLOOKUP(J106,$K$394:$W$428,9,FALSE))</f>
        <v>93745</v>
      </c>
      <c r="K107" s="94">
        <f t="shared" ref="K107" si="302">IF(ISERROR(VLOOKUP(K106,$K$394:$W$428,9,FALSE)),"",VLOOKUP(K106,$K$394:$W$428,9,FALSE))</f>
        <v>93745</v>
      </c>
      <c r="L107" s="151" t="str">
        <f t="shared" si="301"/>
        <v/>
      </c>
      <c r="M107" s="95" t="str">
        <f t="shared" si="301"/>
        <v/>
      </c>
      <c r="N107" s="96"/>
      <c r="O107" s="94">
        <f t="shared" ref="O107:Q107" si="303">IF(ISERROR(VLOOKUP(O106,$K$394:$W$428,9,FALSE)),"",VLOOKUP(O106,$K$394:$W$428,9,FALSE))</f>
        <v>93745</v>
      </c>
      <c r="P107" s="94" t="str">
        <f t="shared" si="303"/>
        <v/>
      </c>
      <c r="Q107" s="94">
        <f t="shared" si="303"/>
        <v>93745</v>
      </c>
      <c r="R107" s="158" t="str">
        <f t="shared" ref="R107:T107" si="304">IF(ISERROR(VLOOKUP(R106,$K$394:$W$428,9,FALSE)),"",VLOOKUP(R106,$K$394:$W$428,9,FALSE))</f>
        <v/>
      </c>
      <c r="S107" s="145" t="str">
        <f t="shared" si="304"/>
        <v/>
      </c>
      <c r="T107" s="95" t="str">
        <f t="shared" si="304"/>
        <v/>
      </c>
      <c r="U107" s="96"/>
      <c r="V107" s="94" t="str">
        <f>IF(ISERROR(VLOOKUP(V106,$K$394:$W$428,9,FALSE)),"",VLOOKUP(V106,$K$394:$W$428,9,FALSE))</f>
        <v/>
      </c>
      <c r="W107" s="294"/>
      <c r="X107" s="94">
        <f t="shared" ref="X107" si="305">IF(ISERROR(VLOOKUP(X106,$K$394:$W$428,9,FALSE)),"",VLOOKUP(X106,$K$394:$W$428,9,FALSE))</f>
        <v>93745</v>
      </c>
      <c r="Y107" s="145" t="str">
        <f t="shared" ref="Y107:AA107" si="306">IF(ISERROR(VLOOKUP(Y106,$K$394:$W$428,9,FALSE)),"",VLOOKUP(Y106,$K$394:$W$428,9,FALSE))</f>
        <v/>
      </c>
      <c r="Z107" s="145" t="str">
        <f t="shared" si="306"/>
        <v/>
      </c>
      <c r="AA107" s="95" t="str">
        <f t="shared" si="306"/>
        <v/>
      </c>
      <c r="AB107" s="96"/>
      <c r="AC107" s="94">
        <f t="shared" ref="AC107:AD107" si="307">IF(ISERROR(VLOOKUP(AC106,$K$394:$W$428,9,FALSE)),"",VLOOKUP(AC106,$K$394:$W$428,9,FALSE))</f>
        <v>93745</v>
      </c>
      <c r="AD107" s="94" t="str">
        <f t="shared" si="307"/>
        <v/>
      </c>
      <c r="AE107" s="94">
        <f t="shared" ref="AE107:AF107" si="308">IF(ISERROR(VLOOKUP(AE106,$K$394:$W$428,9,FALSE)),"",VLOOKUP(AE106,$K$394:$W$428,9,FALSE))</f>
        <v>93745</v>
      </c>
      <c r="AF107" s="145" t="str">
        <f t="shared" si="308"/>
        <v/>
      </c>
      <c r="AG107" s="299"/>
      <c r="AH107" s="97"/>
      <c r="AI107" s="71"/>
    </row>
    <row r="108" spans="1:35" ht="15" hidden="1" customHeight="1" outlineLevel="1">
      <c r="A108" s="221"/>
      <c r="B108" s="216" t="s">
        <v>20</v>
      </c>
      <c r="C108" s="37" t="s">
        <v>28</v>
      </c>
      <c r="D108" s="211"/>
      <c r="E108" s="211"/>
      <c r="F108" s="38"/>
      <c r="G108" s="39"/>
      <c r="H108" s="37" t="s">
        <v>28</v>
      </c>
      <c r="I108" s="37"/>
      <c r="J108" s="37" t="s">
        <v>28</v>
      </c>
      <c r="K108" s="37" t="s">
        <v>28</v>
      </c>
      <c r="L108" s="146"/>
      <c r="M108" s="38"/>
      <c r="N108" s="39"/>
      <c r="O108" s="37" t="s">
        <v>28</v>
      </c>
      <c r="P108" s="37"/>
      <c r="Q108" s="37" t="s">
        <v>28</v>
      </c>
      <c r="R108" s="102"/>
      <c r="S108" s="144"/>
      <c r="T108" s="38"/>
      <c r="U108" s="39"/>
      <c r="V108" s="37"/>
      <c r="W108" s="211"/>
      <c r="X108" s="148" t="s">
        <v>35</v>
      </c>
      <c r="Y108" s="144"/>
      <c r="Z108" s="144"/>
      <c r="AA108" s="38"/>
      <c r="AB108" s="39"/>
      <c r="AC108" s="148" t="s">
        <v>35</v>
      </c>
      <c r="AD108" s="37"/>
      <c r="AE108" s="148" t="s">
        <v>35</v>
      </c>
      <c r="AF108" s="144"/>
      <c r="AG108" s="299"/>
      <c r="AH108" s="93"/>
      <c r="AI108" s="71">
        <f>COUNTA($C108:$AF108)</f>
        <v>9</v>
      </c>
    </row>
    <row r="109" spans="1:35" ht="15" hidden="1" customHeight="1" outlineLevel="1">
      <c r="A109" s="221"/>
      <c r="B109" s="294"/>
      <c r="C109" s="94">
        <f t="shared" ref="C109" si="309">IF(ISERROR(VLOOKUP(C108,$K$394:$W$428,9,FALSE)),"",VLOOKUP(C108,$K$394:$W$428,9,FALSE))</f>
        <v>93745</v>
      </c>
      <c r="D109" s="294"/>
      <c r="E109" s="294"/>
      <c r="F109" s="95" t="str">
        <f t="shared" ref="F109" si="310">IF(ISERROR(VLOOKUP(F108,$K$394:$W$428,9,FALSE)),"",VLOOKUP(F108,$K$394:$W$428,9,FALSE))</f>
        <v/>
      </c>
      <c r="G109" s="96"/>
      <c r="H109" s="94">
        <f t="shared" ref="H109:I109" si="311">IF(ISERROR(VLOOKUP(H108,$K$394:$W$428,9,FALSE)),"",VLOOKUP(H108,$K$394:$W$428,9,FALSE))</f>
        <v>93745</v>
      </c>
      <c r="I109" s="94" t="str">
        <f t="shared" si="311"/>
        <v/>
      </c>
      <c r="J109" s="94">
        <f t="shared" ref="J109:M109" si="312">IF(ISERROR(VLOOKUP(J108,$K$394:$W$428,9,FALSE)),"",VLOOKUP(J108,$K$394:$W$428,9,FALSE))</f>
        <v>93745</v>
      </c>
      <c r="K109" s="94">
        <f t="shared" ref="K109" si="313">IF(ISERROR(VLOOKUP(K108,$K$394:$W$428,9,FALSE)),"",VLOOKUP(K108,$K$394:$W$428,9,FALSE))</f>
        <v>93745</v>
      </c>
      <c r="L109" s="151" t="str">
        <f t="shared" si="312"/>
        <v/>
      </c>
      <c r="M109" s="95" t="str">
        <f t="shared" si="312"/>
        <v/>
      </c>
      <c r="N109" s="96"/>
      <c r="O109" s="94">
        <f t="shared" ref="O109:Q109" si="314">IF(ISERROR(VLOOKUP(O108,$K$394:$W$428,9,FALSE)),"",VLOOKUP(O108,$K$394:$W$428,9,FALSE))</f>
        <v>93745</v>
      </c>
      <c r="P109" s="94" t="str">
        <f t="shared" si="314"/>
        <v/>
      </c>
      <c r="Q109" s="94">
        <f t="shared" si="314"/>
        <v>93745</v>
      </c>
      <c r="R109" s="158" t="str">
        <f t="shared" ref="R109:T109" si="315">IF(ISERROR(VLOOKUP(R108,$K$394:$W$428,9,FALSE)),"",VLOOKUP(R108,$K$394:$W$428,9,FALSE))</f>
        <v/>
      </c>
      <c r="S109" s="145" t="str">
        <f t="shared" si="315"/>
        <v/>
      </c>
      <c r="T109" s="95" t="str">
        <f t="shared" si="315"/>
        <v/>
      </c>
      <c r="U109" s="96"/>
      <c r="V109" s="94" t="str">
        <f>IF(ISERROR(VLOOKUP(V108,$K$394:$W$428,9,FALSE)),"",VLOOKUP(V108,$K$394:$W$428,9,FALSE))</f>
        <v/>
      </c>
      <c r="W109" s="294"/>
      <c r="X109" s="94">
        <f t="shared" ref="X109" si="316">IF(ISERROR(VLOOKUP(X108,$K$394:$W$428,9,FALSE)),"",VLOOKUP(X108,$K$394:$W$428,9,FALSE))</f>
        <v>93745</v>
      </c>
      <c r="Y109" s="145" t="str">
        <f t="shared" ref="Y109:AA109" si="317">IF(ISERROR(VLOOKUP(Y108,$K$394:$W$428,9,FALSE)),"",VLOOKUP(Y108,$K$394:$W$428,9,FALSE))</f>
        <v/>
      </c>
      <c r="Z109" s="145" t="str">
        <f t="shared" si="317"/>
        <v/>
      </c>
      <c r="AA109" s="95" t="str">
        <f t="shared" si="317"/>
        <v/>
      </c>
      <c r="AB109" s="96"/>
      <c r="AC109" s="94">
        <f t="shared" ref="AC109:AD109" si="318">IF(ISERROR(VLOOKUP(AC108,$K$394:$W$428,9,FALSE)),"",VLOOKUP(AC108,$K$394:$W$428,9,FALSE))</f>
        <v>93745</v>
      </c>
      <c r="AD109" s="94" t="str">
        <f t="shared" si="318"/>
        <v/>
      </c>
      <c r="AE109" s="94">
        <f t="shared" ref="AE109:AF109" si="319">IF(ISERROR(VLOOKUP(AE108,$K$394:$W$428,9,FALSE)),"",VLOOKUP(AE108,$K$394:$W$428,9,FALSE))</f>
        <v>93745</v>
      </c>
      <c r="AF109" s="145" t="str">
        <f t="shared" si="319"/>
        <v/>
      </c>
      <c r="AG109" s="299"/>
      <c r="AH109" s="97"/>
      <c r="AI109" s="71"/>
    </row>
    <row r="110" spans="1:35" ht="15" hidden="1" customHeight="1" outlineLevel="1">
      <c r="A110" s="221"/>
      <c r="B110" s="216" t="s">
        <v>21</v>
      </c>
      <c r="C110" s="37" t="s">
        <v>28</v>
      </c>
      <c r="D110" s="211"/>
      <c r="E110" s="211"/>
      <c r="F110" s="38"/>
      <c r="G110" s="39"/>
      <c r="H110" s="37" t="s">
        <v>28</v>
      </c>
      <c r="I110" s="37"/>
      <c r="J110" s="37" t="s">
        <v>28</v>
      </c>
      <c r="K110" s="37" t="s">
        <v>28</v>
      </c>
      <c r="L110" s="146"/>
      <c r="M110" s="38"/>
      <c r="N110" s="39"/>
      <c r="O110" s="37" t="s">
        <v>28</v>
      </c>
      <c r="P110" s="37"/>
      <c r="Q110" s="37"/>
      <c r="R110" s="102"/>
      <c r="S110" s="144"/>
      <c r="T110" s="38"/>
      <c r="U110" s="39"/>
      <c r="V110" s="37"/>
      <c r="W110" s="211"/>
      <c r="X110" s="148" t="s">
        <v>35</v>
      </c>
      <c r="Y110" s="144"/>
      <c r="Z110" s="144"/>
      <c r="AA110" s="38"/>
      <c r="AB110" s="39"/>
      <c r="AC110" s="148" t="s">
        <v>35</v>
      </c>
      <c r="AD110" s="37"/>
      <c r="AE110" s="148" t="s">
        <v>35</v>
      </c>
      <c r="AF110" s="144"/>
      <c r="AG110" s="299"/>
      <c r="AH110" s="93"/>
      <c r="AI110" s="71">
        <f>COUNTA($C110:$AF110)</f>
        <v>8</v>
      </c>
    </row>
    <row r="111" spans="1:35" ht="15" hidden="1" customHeight="1" outlineLevel="1">
      <c r="A111" s="221"/>
      <c r="B111" s="294"/>
      <c r="C111" s="94">
        <f t="shared" ref="C111" si="320">IF(ISERROR(VLOOKUP(C110,$K$394:$W$428,9,FALSE)),"",VLOOKUP(C110,$K$394:$W$428,9,FALSE))</f>
        <v>93745</v>
      </c>
      <c r="D111" s="294"/>
      <c r="E111" s="294"/>
      <c r="F111" s="41" t="str">
        <f t="shared" ref="F111" si="321">IF(ISERROR(VLOOKUP(F110,$K$394:$W$428,9,FALSE)),"",VLOOKUP(F110,$K$394:$W$428,9,FALSE))</f>
        <v/>
      </c>
      <c r="G111" s="42"/>
      <c r="H111" s="94">
        <f t="shared" ref="H111:I111" si="322">IF(ISERROR(VLOOKUP(H110,$K$394:$W$428,9,FALSE)),"",VLOOKUP(H110,$K$394:$W$428,9,FALSE))</f>
        <v>93745</v>
      </c>
      <c r="I111" s="40" t="str">
        <f t="shared" si="322"/>
        <v/>
      </c>
      <c r="J111" s="94">
        <f t="shared" ref="J111:M111" si="323">IF(ISERROR(VLOOKUP(J110,$K$394:$W$428,9,FALSE)),"",VLOOKUP(J110,$K$394:$W$428,9,FALSE))</f>
        <v>93745</v>
      </c>
      <c r="K111" s="94">
        <f t="shared" ref="K111" si="324">IF(ISERROR(VLOOKUP(K110,$K$394:$W$428,9,FALSE)),"",VLOOKUP(K110,$K$394:$W$428,9,FALSE))</f>
        <v>93745</v>
      </c>
      <c r="L111" s="147" t="str">
        <f t="shared" si="323"/>
        <v/>
      </c>
      <c r="M111" s="41" t="str">
        <f t="shared" si="323"/>
        <v/>
      </c>
      <c r="N111" s="42"/>
      <c r="O111" s="94">
        <f t="shared" ref="O111" si="325">IF(ISERROR(VLOOKUP(O110,$K$394:$W$428,9,FALSE)),"",VLOOKUP(O110,$K$394:$W$428,9,FALSE))</f>
        <v>93745</v>
      </c>
      <c r="P111" s="40" t="str">
        <f t="shared" ref="P111" si="326">IF(ISERROR(VLOOKUP(P110,$K$394:$W$428,9,FALSE)),"",VLOOKUP(P110,$K$394:$W$428,9,FALSE))</f>
        <v/>
      </c>
      <c r="Q111" s="94"/>
      <c r="R111" s="103" t="str">
        <f t="shared" ref="R111:T111" si="327">IF(ISERROR(VLOOKUP(R110,$K$394:$W$428,9,FALSE)),"",VLOOKUP(R110,$K$394:$W$428,9,FALSE))</f>
        <v/>
      </c>
      <c r="S111" s="149" t="str">
        <f t="shared" si="327"/>
        <v/>
      </c>
      <c r="T111" s="41" t="str">
        <f t="shared" si="327"/>
        <v/>
      </c>
      <c r="U111" s="42"/>
      <c r="V111" s="40" t="str">
        <f>IF(ISERROR(VLOOKUP(V110,$K$394:$W$428,9,FALSE)),"",VLOOKUP(V110,$K$394:$W$428,9,FALSE))</f>
        <v/>
      </c>
      <c r="W111" s="294"/>
      <c r="X111" s="94">
        <f t="shared" ref="X111" si="328">IF(ISERROR(VLOOKUP(X110,$K$394:$W$428,9,FALSE)),"",VLOOKUP(X110,$K$394:$W$428,9,FALSE))</f>
        <v>93745</v>
      </c>
      <c r="Y111" s="149" t="str">
        <f t="shared" ref="Y111:AA111" si="329">IF(ISERROR(VLOOKUP(Y110,$K$394:$W$428,9,FALSE)),"",VLOOKUP(Y110,$K$394:$W$428,9,FALSE))</f>
        <v/>
      </c>
      <c r="Z111" s="149" t="str">
        <f t="shared" si="329"/>
        <v/>
      </c>
      <c r="AA111" s="41" t="str">
        <f t="shared" si="329"/>
        <v/>
      </c>
      <c r="AB111" s="42"/>
      <c r="AC111" s="94">
        <f t="shared" ref="AC111:AD111" si="330">IF(ISERROR(VLOOKUP(AC110,$K$394:$W$428,9,FALSE)),"",VLOOKUP(AC110,$K$394:$W$428,9,FALSE))</f>
        <v>93745</v>
      </c>
      <c r="AD111" s="40" t="str">
        <f t="shared" si="330"/>
        <v/>
      </c>
      <c r="AE111" s="94">
        <f t="shared" ref="AE111:AF111" si="331">IF(ISERROR(VLOOKUP(AE110,$K$394:$W$428,9,FALSE)),"",VLOOKUP(AE110,$K$394:$W$428,9,FALSE))</f>
        <v>93745</v>
      </c>
      <c r="AF111" s="149" t="str">
        <f t="shared" si="331"/>
        <v/>
      </c>
      <c r="AG111" s="299"/>
      <c r="AH111" s="97"/>
      <c r="AI111" s="71"/>
    </row>
    <row r="112" spans="1:35" ht="15" hidden="1" customHeight="1" outlineLevel="1">
      <c r="A112" s="221"/>
      <c r="B112" s="216" t="s">
        <v>22</v>
      </c>
      <c r="C112" s="37" t="s">
        <v>28</v>
      </c>
      <c r="D112" s="211"/>
      <c r="E112" s="211"/>
      <c r="F112" s="38"/>
      <c r="G112" s="39"/>
      <c r="H112" s="37" t="s">
        <v>28</v>
      </c>
      <c r="I112" s="37"/>
      <c r="J112" s="37" t="s">
        <v>28</v>
      </c>
      <c r="K112" s="37" t="s">
        <v>28</v>
      </c>
      <c r="L112" s="146"/>
      <c r="M112" s="38"/>
      <c r="N112" s="39"/>
      <c r="O112" s="37" t="s">
        <v>28</v>
      </c>
      <c r="P112" s="37"/>
      <c r="Q112" s="37"/>
      <c r="R112" s="102"/>
      <c r="S112" s="144"/>
      <c r="T112" s="38"/>
      <c r="U112" s="39"/>
      <c r="V112" s="37"/>
      <c r="W112" s="211"/>
      <c r="X112" s="148" t="s">
        <v>35</v>
      </c>
      <c r="Y112" s="144"/>
      <c r="Z112" s="144"/>
      <c r="AA112" s="38"/>
      <c r="AB112" s="39"/>
      <c r="AC112" s="148" t="s">
        <v>35</v>
      </c>
      <c r="AD112" s="37"/>
      <c r="AE112" s="148" t="s">
        <v>35</v>
      </c>
      <c r="AF112" s="144"/>
      <c r="AG112" s="299"/>
      <c r="AH112" s="93"/>
      <c r="AI112" s="71">
        <f>COUNTA($C112:$AF112)</f>
        <v>8</v>
      </c>
    </row>
    <row r="113" spans="1:35" ht="15" hidden="1" customHeight="1" outlineLevel="1">
      <c r="A113" s="221"/>
      <c r="B113" s="294"/>
      <c r="C113" s="94">
        <f t="shared" ref="C113" si="332">IF(ISERROR(VLOOKUP(C112,$K$394:$W$428,9,FALSE)),"",VLOOKUP(C112,$K$394:$W$428,9,FALSE))</f>
        <v>93745</v>
      </c>
      <c r="D113" s="294"/>
      <c r="E113" s="294"/>
      <c r="F113" s="95" t="str">
        <f t="shared" ref="F113" si="333">IF(ISERROR(VLOOKUP(F112,$K$394:$W$428,9,FALSE)),"",VLOOKUP(F112,$K$394:$W$428,9,FALSE))</f>
        <v/>
      </c>
      <c r="G113" s="96"/>
      <c r="H113" s="94">
        <f t="shared" ref="H113:I113" si="334">IF(ISERROR(VLOOKUP(H112,$K$394:$W$428,9,FALSE)),"",VLOOKUP(H112,$K$394:$W$428,9,FALSE))</f>
        <v>93745</v>
      </c>
      <c r="I113" s="94" t="str">
        <f t="shared" si="334"/>
        <v/>
      </c>
      <c r="J113" s="94">
        <f t="shared" ref="J113:M113" si="335">IF(ISERROR(VLOOKUP(J112,$K$394:$W$428,9,FALSE)),"",VLOOKUP(J112,$K$394:$W$428,9,FALSE))</f>
        <v>93745</v>
      </c>
      <c r="K113" s="94">
        <f t="shared" ref="K113" si="336">IF(ISERROR(VLOOKUP(K112,$K$394:$W$428,9,FALSE)),"",VLOOKUP(K112,$K$394:$W$428,9,FALSE))</f>
        <v>93745</v>
      </c>
      <c r="L113" s="151" t="str">
        <f t="shared" si="335"/>
        <v/>
      </c>
      <c r="M113" s="95" t="str">
        <f t="shared" si="335"/>
        <v/>
      </c>
      <c r="N113" s="96"/>
      <c r="O113" s="94">
        <f t="shared" ref="O113" si="337">IF(ISERROR(VLOOKUP(O112,$K$394:$W$428,9,FALSE)),"",VLOOKUP(O112,$K$394:$W$428,9,FALSE))</f>
        <v>93745</v>
      </c>
      <c r="P113" s="94" t="str">
        <f t="shared" ref="P113:Q113" si="338">IF(ISERROR(VLOOKUP(P112,$K$394:$W$428,9,FALSE)),"",VLOOKUP(P112,$K$394:$W$428,9,FALSE))</f>
        <v/>
      </c>
      <c r="Q113" s="94" t="str">
        <f t="shared" si="338"/>
        <v/>
      </c>
      <c r="R113" s="158" t="str">
        <f t="shared" ref="R113:T113" si="339">IF(ISERROR(VLOOKUP(R112,$K$394:$W$428,9,FALSE)),"",VLOOKUP(R112,$K$394:$W$428,9,FALSE))</f>
        <v/>
      </c>
      <c r="S113" s="145" t="str">
        <f t="shared" si="339"/>
        <v/>
      </c>
      <c r="T113" s="95" t="str">
        <f t="shared" si="339"/>
        <v/>
      </c>
      <c r="U113" s="96"/>
      <c r="V113" s="94" t="str">
        <f>IF(ISERROR(VLOOKUP(V112,$K$394:$W$428,9,FALSE)),"",VLOOKUP(V112,$K$394:$W$428,9,FALSE))</f>
        <v/>
      </c>
      <c r="W113" s="294"/>
      <c r="X113" s="94">
        <f t="shared" ref="X113" si="340">IF(ISERROR(VLOOKUP(X112,$K$394:$W$428,9,FALSE)),"",VLOOKUP(X112,$K$394:$W$428,9,FALSE))</f>
        <v>93745</v>
      </c>
      <c r="Y113" s="145" t="str">
        <f t="shared" ref="Y113:AA113" si="341">IF(ISERROR(VLOOKUP(Y112,$K$394:$W$428,9,FALSE)),"",VLOOKUP(Y112,$K$394:$W$428,9,FALSE))</f>
        <v/>
      </c>
      <c r="Z113" s="145" t="str">
        <f t="shared" si="341"/>
        <v/>
      </c>
      <c r="AA113" s="95" t="str">
        <f t="shared" si="341"/>
        <v/>
      </c>
      <c r="AB113" s="96"/>
      <c r="AC113" s="94">
        <f t="shared" ref="AC113:AD113" si="342">IF(ISERROR(VLOOKUP(AC112,$K$394:$W$428,9,FALSE)),"",VLOOKUP(AC112,$K$394:$W$428,9,FALSE))</f>
        <v>93745</v>
      </c>
      <c r="AD113" s="94" t="str">
        <f t="shared" si="342"/>
        <v/>
      </c>
      <c r="AE113" s="94">
        <f t="shared" ref="AE113:AF113" si="343">IF(ISERROR(VLOOKUP(AE112,$K$394:$W$428,9,FALSE)),"",VLOOKUP(AE112,$K$394:$W$428,9,FALSE))</f>
        <v>93745</v>
      </c>
      <c r="AF113" s="145" t="str">
        <f t="shared" si="343"/>
        <v/>
      </c>
      <c r="AG113" s="299"/>
      <c r="AH113" s="97"/>
      <c r="AI113" s="71"/>
    </row>
    <row r="114" spans="1:35" ht="15" hidden="1" customHeight="1" outlineLevel="1">
      <c r="A114" s="221"/>
      <c r="B114" s="216" t="s">
        <v>23</v>
      </c>
      <c r="C114" s="37"/>
      <c r="D114" s="211"/>
      <c r="E114" s="211"/>
      <c r="F114" s="38"/>
      <c r="G114" s="39"/>
      <c r="H114" s="37"/>
      <c r="I114" s="37"/>
      <c r="J114" s="37"/>
      <c r="K114" s="37"/>
      <c r="L114" s="37"/>
      <c r="M114" s="38"/>
      <c r="N114" s="39"/>
      <c r="O114" s="37"/>
      <c r="P114" s="37"/>
      <c r="Q114" s="37"/>
      <c r="R114" s="37"/>
      <c r="S114" s="102"/>
      <c r="T114" s="38"/>
      <c r="U114" s="39"/>
      <c r="V114" s="37"/>
      <c r="W114" s="211"/>
      <c r="X114" s="37"/>
      <c r="Y114" s="37"/>
      <c r="Z114" s="37"/>
      <c r="AA114" s="38"/>
      <c r="AB114" s="39"/>
      <c r="AC114" s="37"/>
      <c r="AD114" s="37"/>
      <c r="AE114" s="37"/>
      <c r="AF114" s="37"/>
      <c r="AG114" s="299"/>
      <c r="AH114" s="93"/>
      <c r="AI114" s="71">
        <f>COUNTA($C114:$AF114)</f>
        <v>0</v>
      </c>
    </row>
    <row r="115" spans="1:35" ht="15" hidden="1" customHeight="1" outlineLevel="1">
      <c r="A115" s="223"/>
      <c r="B115" s="294"/>
      <c r="C115" s="40" t="str">
        <f t="shared" ref="C115" si="344">IF(ISERROR(VLOOKUP(C114,$K$394:$W$428,9,FALSE)),"",VLOOKUP(C114,$K$394:$W$428,9,FALSE))</f>
        <v/>
      </c>
      <c r="D115" s="294"/>
      <c r="E115" s="294"/>
      <c r="F115" s="41" t="str">
        <f t="shared" ref="F115" si="345">IF(ISERROR(VLOOKUP(F114,$K$394:$W$428,9,FALSE)),"",VLOOKUP(F114,$K$394:$W$428,9,FALSE))</f>
        <v/>
      </c>
      <c r="G115" s="42"/>
      <c r="H115" s="40" t="str">
        <f t="shared" ref="H115:M115" si="346">IF(ISERROR(VLOOKUP(H114,$K$394:$W$428,9,FALSE)),"",VLOOKUP(H114,$K$394:$W$428,9,FALSE))</f>
        <v/>
      </c>
      <c r="I115" s="40" t="str">
        <f t="shared" si="346"/>
        <v/>
      </c>
      <c r="J115" s="40" t="str">
        <f t="shared" si="346"/>
        <v/>
      </c>
      <c r="K115" s="40" t="str">
        <f t="shared" si="346"/>
        <v/>
      </c>
      <c r="L115" s="40" t="str">
        <f t="shared" si="346"/>
        <v/>
      </c>
      <c r="M115" s="41" t="str">
        <f t="shared" si="346"/>
        <v/>
      </c>
      <c r="N115" s="42"/>
      <c r="O115" s="40" t="str">
        <f t="shared" ref="O115:T115" si="347">IF(ISERROR(VLOOKUP(O114,$K$394:$W$428,9,FALSE)),"",VLOOKUP(O114,$K$394:$W$428,9,FALSE))</f>
        <v/>
      </c>
      <c r="P115" s="40" t="str">
        <f t="shared" si="347"/>
        <v/>
      </c>
      <c r="Q115" s="40" t="str">
        <f t="shared" si="347"/>
        <v/>
      </c>
      <c r="R115" s="40" t="str">
        <f t="shared" si="347"/>
        <v/>
      </c>
      <c r="S115" s="103" t="str">
        <f t="shared" si="347"/>
        <v/>
      </c>
      <c r="T115" s="41" t="str">
        <f t="shared" si="347"/>
        <v/>
      </c>
      <c r="U115" s="42"/>
      <c r="V115" s="40" t="str">
        <f>IF(ISERROR(VLOOKUP(V114,$K$394:$W$428,9,FALSE)),"",VLOOKUP(V114,$K$394:$W$428,9,FALSE))</f>
        <v/>
      </c>
      <c r="W115" s="294"/>
      <c r="X115" s="40" t="str">
        <f t="shared" ref="X115:AA115" si="348">IF(ISERROR(VLOOKUP(X114,$K$394:$W$428,9,FALSE)),"",VLOOKUP(X114,$K$394:$W$428,9,FALSE))</f>
        <v/>
      </c>
      <c r="Y115" s="40" t="str">
        <f t="shared" si="348"/>
        <v/>
      </c>
      <c r="Z115" s="40" t="str">
        <f t="shared" si="348"/>
        <v/>
      </c>
      <c r="AA115" s="41" t="str">
        <f t="shared" si="348"/>
        <v/>
      </c>
      <c r="AB115" s="42"/>
      <c r="AC115" s="40" t="str">
        <f t="shared" ref="AC115:AF115" si="349">IF(ISERROR(VLOOKUP(AC114,$K$394:$W$428,9,FALSE)),"",VLOOKUP(AC114,$K$394:$W$428,9,FALSE))</f>
        <v/>
      </c>
      <c r="AD115" s="40" t="str">
        <f t="shared" si="349"/>
        <v/>
      </c>
      <c r="AE115" s="40" t="str">
        <f t="shared" si="349"/>
        <v/>
      </c>
      <c r="AF115" s="40" t="str">
        <f t="shared" si="349"/>
        <v/>
      </c>
      <c r="AG115" s="299"/>
      <c r="AH115" s="97"/>
      <c r="AI115" s="71"/>
    </row>
    <row r="116" spans="1:35" ht="15" hidden="1" customHeight="1" outlineLevel="1">
      <c r="A116" s="221" t="s">
        <v>24</v>
      </c>
      <c r="B116" s="216" t="s">
        <v>19</v>
      </c>
      <c r="C116" s="150" t="s">
        <v>31</v>
      </c>
      <c r="D116" s="211"/>
      <c r="E116" s="211"/>
      <c r="F116" s="38"/>
      <c r="G116" s="39"/>
      <c r="H116" s="172" t="s">
        <v>31</v>
      </c>
      <c r="I116" s="173" t="s">
        <v>30</v>
      </c>
      <c r="J116" s="172" t="s">
        <v>31</v>
      </c>
      <c r="K116" s="173" t="s">
        <v>30</v>
      </c>
      <c r="L116" s="157" t="s">
        <v>36</v>
      </c>
      <c r="M116" s="38"/>
      <c r="N116" s="39"/>
      <c r="O116" s="150" t="s">
        <v>31</v>
      </c>
      <c r="P116" s="143" t="s">
        <v>30</v>
      </c>
      <c r="Q116" s="150" t="s">
        <v>31</v>
      </c>
      <c r="R116" s="143" t="s">
        <v>30</v>
      </c>
      <c r="S116" s="174" t="s">
        <v>36</v>
      </c>
      <c r="T116" s="38"/>
      <c r="U116" s="39"/>
      <c r="V116" s="37"/>
      <c r="W116" s="211"/>
      <c r="X116" s="150" t="s">
        <v>31</v>
      </c>
      <c r="Y116" s="143" t="s">
        <v>30</v>
      </c>
      <c r="Z116" s="157" t="s">
        <v>36</v>
      </c>
      <c r="AA116" s="38"/>
      <c r="AB116" s="39"/>
      <c r="AC116" s="157" t="s">
        <v>36</v>
      </c>
      <c r="AD116" s="143" t="s">
        <v>30</v>
      </c>
      <c r="AE116" s="157" t="s">
        <v>36</v>
      </c>
      <c r="AF116" s="157" t="s">
        <v>36</v>
      </c>
      <c r="AG116" s="299"/>
      <c r="AH116" s="93"/>
      <c r="AI116" s="71">
        <f>COUNTA($C116:$AF116)</f>
        <v>18</v>
      </c>
    </row>
    <row r="117" spans="1:35" ht="15" hidden="1" customHeight="1" outlineLevel="1">
      <c r="A117" s="221"/>
      <c r="B117" s="293"/>
      <c r="C117" s="94">
        <f t="shared" ref="C117" si="350">IF(ISERROR(VLOOKUP(C116,$K$394:$W$428,9,FALSE)),"",VLOOKUP(C116,$K$394:$W$428,9,FALSE))</f>
        <v>101706</v>
      </c>
      <c r="D117" s="294"/>
      <c r="E117" s="294"/>
      <c r="F117" s="95" t="str">
        <f t="shared" ref="F117" si="351">IF(ISERROR(VLOOKUP(F116,$K$394:$W$428,9,FALSE)),"",VLOOKUP(F116,$K$394:$W$428,9,FALSE))</f>
        <v/>
      </c>
      <c r="G117" s="96"/>
      <c r="H117" s="151">
        <f t="shared" ref="H117:I117" si="352">IF(ISERROR(VLOOKUP(H116,$K$394:$W$428,9,FALSE)),"",VLOOKUP(H116,$K$394:$W$428,9,FALSE))</f>
        <v>101706</v>
      </c>
      <c r="I117" s="151">
        <f t="shared" si="352"/>
        <v>96378</v>
      </c>
      <c r="J117" s="151">
        <f t="shared" ref="J117:M117" si="353">IF(ISERROR(VLOOKUP(J116,$K$394:$W$428,9,FALSE)),"",VLOOKUP(J116,$K$394:$W$428,9,FALSE))</f>
        <v>101706</v>
      </c>
      <c r="K117" s="151">
        <f t="shared" si="353"/>
        <v>96378</v>
      </c>
      <c r="L117" s="94">
        <f t="shared" si="353"/>
        <v>101706</v>
      </c>
      <c r="M117" s="95" t="str">
        <f t="shared" si="353"/>
        <v/>
      </c>
      <c r="N117" s="96"/>
      <c r="O117" s="94">
        <f t="shared" ref="O117:P117" si="354">IF(ISERROR(VLOOKUP(O116,$K$394:$W$428,9,FALSE)),"",VLOOKUP(O116,$K$394:$W$428,9,FALSE))</f>
        <v>101706</v>
      </c>
      <c r="P117" s="94">
        <f t="shared" si="354"/>
        <v>96378</v>
      </c>
      <c r="Q117" s="94">
        <f t="shared" ref="Q117:T117" si="355">IF(ISERROR(VLOOKUP(Q116,$K$394:$W$428,9,FALSE)),"",VLOOKUP(Q116,$K$394:$W$428,9,FALSE))</f>
        <v>101706</v>
      </c>
      <c r="R117" s="94">
        <f t="shared" si="355"/>
        <v>96378</v>
      </c>
      <c r="S117" s="158">
        <f t="shared" si="355"/>
        <v>101706</v>
      </c>
      <c r="T117" s="95" t="str">
        <f t="shared" si="355"/>
        <v/>
      </c>
      <c r="U117" s="96"/>
      <c r="V117" s="94" t="str">
        <f>IF(ISERROR(VLOOKUP(V116,$K$394:$W$428,9,FALSE)),"",VLOOKUP(V116,$K$394:$W$428,9,FALSE))</f>
        <v/>
      </c>
      <c r="W117" s="294"/>
      <c r="X117" s="94">
        <f t="shared" ref="X117:Z117" si="356">IF(ISERROR(VLOOKUP(X116,$K$394:$W$428,9,FALSE)),"",VLOOKUP(X116,$K$394:$W$428,9,FALSE))</f>
        <v>101706</v>
      </c>
      <c r="Y117" s="94">
        <f t="shared" si="356"/>
        <v>96378</v>
      </c>
      <c r="Z117" s="94">
        <f t="shared" si="356"/>
        <v>101706</v>
      </c>
      <c r="AA117" s="95" t="str">
        <f t="shared" ref="AA117" si="357">IF(ISERROR(VLOOKUP(AA116,$K$394:$W$428,9,FALSE)),"",VLOOKUP(AA116,$K$394:$W$428,9,FALSE))</f>
        <v/>
      </c>
      <c r="AB117" s="96"/>
      <c r="AC117" s="94">
        <f t="shared" ref="AC117" si="358">IF(ISERROR(VLOOKUP(AC116,$K$394:$W$428,9,FALSE)),"",VLOOKUP(AC116,$K$394:$W$428,9,FALSE))</f>
        <v>101706</v>
      </c>
      <c r="AD117" s="94">
        <f t="shared" ref="AD117:AF117" si="359">IF(ISERROR(VLOOKUP(AD116,$K$394:$W$428,9,FALSE)),"",VLOOKUP(AD116,$K$394:$W$428,9,FALSE))</f>
        <v>96378</v>
      </c>
      <c r="AE117" s="94">
        <f t="shared" si="359"/>
        <v>101706</v>
      </c>
      <c r="AF117" s="94">
        <f t="shared" si="359"/>
        <v>101706</v>
      </c>
      <c r="AG117" s="299"/>
      <c r="AH117" s="97"/>
      <c r="AI117" s="71"/>
    </row>
    <row r="118" spans="1:35" ht="15" hidden="1" customHeight="1" outlineLevel="1">
      <c r="A118" s="221"/>
      <c r="B118" s="216" t="s">
        <v>20</v>
      </c>
      <c r="C118" s="150" t="s">
        <v>31</v>
      </c>
      <c r="D118" s="211"/>
      <c r="E118" s="211"/>
      <c r="F118" s="38"/>
      <c r="G118" s="39"/>
      <c r="H118" s="172" t="s">
        <v>31</v>
      </c>
      <c r="I118" s="173" t="s">
        <v>30</v>
      </c>
      <c r="J118" s="172" t="s">
        <v>31</v>
      </c>
      <c r="K118" s="173" t="s">
        <v>30</v>
      </c>
      <c r="L118" s="157" t="s">
        <v>36</v>
      </c>
      <c r="M118" s="38"/>
      <c r="N118" s="39"/>
      <c r="O118" s="150" t="s">
        <v>31</v>
      </c>
      <c r="P118" s="143" t="s">
        <v>30</v>
      </c>
      <c r="Q118" s="150" t="s">
        <v>31</v>
      </c>
      <c r="R118" s="143" t="s">
        <v>30</v>
      </c>
      <c r="S118" s="174" t="s">
        <v>36</v>
      </c>
      <c r="T118" s="38"/>
      <c r="U118" s="39"/>
      <c r="V118" s="37"/>
      <c r="W118" s="211"/>
      <c r="X118" s="150" t="s">
        <v>31</v>
      </c>
      <c r="Y118" s="143" t="s">
        <v>30</v>
      </c>
      <c r="Z118" s="157" t="s">
        <v>36</v>
      </c>
      <c r="AA118" s="38"/>
      <c r="AB118" s="39"/>
      <c r="AC118" s="157" t="s">
        <v>36</v>
      </c>
      <c r="AD118" s="143" t="s">
        <v>30</v>
      </c>
      <c r="AE118" s="157" t="s">
        <v>36</v>
      </c>
      <c r="AF118" s="157" t="s">
        <v>36</v>
      </c>
      <c r="AG118" s="299"/>
      <c r="AH118" s="93"/>
      <c r="AI118" s="71">
        <f>COUNTA($C118:$AF118)</f>
        <v>18</v>
      </c>
    </row>
    <row r="119" spans="1:35" ht="15" hidden="1" customHeight="1" outlineLevel="1">
      <c r="A119" s="221"/>
      <c r="B119" s="294"/>
      <c r="C119" s="94">
        <f t="shared" ref="C119" si="360">IF(ISERROR(VLOOKUP(C118,$K$394:$W$428,9,FALSE)),"",VLOOKUP(C118,$K$394:$W$428,9,FALSE))</f>
        <v>101706</v>
      </c>
      <c r="D119" s="294"/>
      <c r="E119" s="294"/>
      <c r="F119" s="41" t="str">
        <f t="shared" ref="F119" si="361">IF(ISERROR(VLOOKUP(F118,$K$394:$W$428,9,FALSE)),"",VLOOKUP(F118,$K$394:$W$428,9,FALSE))</f>
        <v/>
      </c>
      <c r="G119" s="42"/>
      <c r="H119" s="151">
        <f t="shared" ref="H119:I119" si="362">IF(ISERROR(VLOOKUP(H118,$K$394:$W$428,9,FALSE)),"",VLOOKUP(H118,$K$394:$W$428,9,FALSE))</f>
        <v>101706</v>
      </c>
      <c r="I119" s="151">
        <f t="shared" si="362"/>
        <v>96378</v>
      </c>
      <c r="J119" s="151">
        <f t="shared" ref="J119:M119" si="363">IF(ISERROR(VLOOKUP(J118,$K$394:$W$428,9,FALSE)),"",VLOOKUP(J118,$K$394:$W$428,9,FALSE))</f>
        <v>101706</v>
      </c>
      <c r="K119" s="151">
        <f t="shared" si="363"/>
        <v>96378</v>
      </c>
      <c r="L119" s="94">
        <f t="shared" si="363"/>
        <v>101706</v>
      </c>
      <c r="M119" s="41" t="str">
        <f t="shared" si="363"/>
        <v/>
      </c>
      <c r="N119" s="42"/>
      <c r="O119" s="94">
        <f t="shared" ref="O119:P119" si="364">IF(ISERROR(VLOOKUP(O118,$K$394:$W$428,9,FALSE)),"",VLOOKUP(O118,$K$394:$W$428,9,FALSE))</f>
        <v>101706</v>
      </c>
      <c r="P119" s="94">
        <f t="shared" si="364"/>
        <v>96378</v>
      </c>
      <c r="Q119" s="94">
        <f t="shared" ref="Q119:T119" si="365">IF(ISERROR(VLOOKUP(Q118,$K$394:$W$428,9,FALSE)),"",VLOOKUP(Q118,$K$394:$W$428,9,FALSE))</f>
        <v>101706</v>
      </c>
      <c r="R119" s="94">
        <f t="shared" si="365"/>
        <v>96378</v>
      </c>
      <c r="S119" s="158">
        <f t="shared" si="365"/>
        <v>101706</v>
      </c>
      <c r="T119" s="41" t="str">
        <f t="shared" si="365"/>
        <v/>
      </c>
      <c r="U119" s="42"/>
      <c r="V119" s="40" t="str">
        <f>IF(ISERROR(VLOOKUP(V118,$K$394:$W$428,9,FALSE)),"",VLOOKUP(V118,$K$394:$W$428,9,FALSE))</f>
        <v/>
      </c>
      <c r="W119" s="294"/>
      <c r="X119" s="94">
        <f t="shared" ref="X119:Z119" si="366">IF(ISERROR(VLOOKUP(X118,$K$394:$W$428,9,FALSE)),"",VLOOKUP(X118,$K$394:$W$428,9,FALSE))</f>
        <v>101706</v>
      </c>
      <c r="Y119" s="94">
        <f t="shared" si="366"/>
        <v>96378</v>
      </c>
      <c r="Z119" s="94">
        <f t="shared" si="366"/>
        <v>101706</v>
      </c>
      <c r="AA119" s="41" t="str">
        <f t="shared" ref="AA119" si="367">IF(ISERROR(VLOOKUP(AA118,$K$394:$W$428,9,FALSE)),"",VLOOKUP(AA118,$K$394:$W$428,9,FALSE))</f>
        <v/>
      </c>
      <c r="AB119" s="42"/>
      <c r="AC119" s="94">
        <f t="shared" ref="AC119" si="368">IF(ISERROR(VLOOKUP(AC118,$K$394:$W$428,9,FALSE)),"",VLOOKUP(AC118,$K$394:$W$428,9,FALSE))</f>
        <v>101706</v>
      </c>
      <c r="AD119" s="94">
        <f t="shared" ref="AD119:AF119" si="369">IF(ISERROR(VLOOKUP(AD118,$K$394:$W$428,9,FALSE)),"",VLOOKUP(AD118,$K$394:$W$428,9,FALSE))</f>
        <v>96378</v>
      </c>
      <c r="AE119" s="94">
        <f t="shared" si="369"/>
        <v>101706</v>
      </c>
      <c r="AF119" s="94">
        <f t="shared" si="369"/>
        <v>101706</v>
      </c>
      <c r="AG119" s="299"/>
      <c r="AH119" s="97"/>
      <c r="AI119" s="71"/>
    </row>
    <row r="120" spans="1:35" ht="15" hidden="1" customHeight="1" outlineLevel="1">
      <c r="A120" s="221"/>
      <c r="B120" s="216" t="s">
        <v>21</v>
      </c>
      <c r="C120" s="150" t="s">
        <v>31</v>
      </c>
      <c r="D120" s="211"/>
      <c r="E120" s="211"/>
      <c r="F120" s="38"/>
      <c r="G120" s="39"/>
      <c r="H120" s="172" t="s">
        <v>31</v>
      </c>
      <c r="I120" s="173" t="s">
        <v>30</v>
      </c>
      <c r="J120" s="172" t="s">
        <v>31</v>
      </c>
      <c r="K120" s="173" t="s">
        <v>30</v>
      </c>
      <c r="L120" s="157" t="s">
        <v>36</v>
      </c>
      <c r="M120" s="38"/>
      <c r="N120" s="39"/>
      <c r="O120" s="150" t="s">
        <v>31</v>
      </c>
      <c r="P120" s="143" t="s">
        <v>30</v>
      </c>
      <c r="Q120" s="150" t="s">
        <v>31</v>
      </c>
      <c r="R120" s="143" t="s">
        <v>30</v>
      </c>
      <c r="S120" s="174" t="s">
        <v>36</v>
      </c>
      <c r="T120" s="38"/>
      <c r="U120" s="39"/>
      <c r="V120" s="37"/>
      <c r="W120" s="211"/>
      <c r="X120" s="150" t="s">
        <v>31</v>
      </c>
      <c r="Y120" s="143" t="s">
        <v>30</v>
      </c>
      <c r="Z120" s="157" t="s">
        <v>36</v>
      </c>
      <c r="AA120" s="38"/>
      <c r="AB120" s="39"/>
      <c r="AC120" s="157" t="s">
        <v>36</v>
      </c>
      <c r="AD120" s="143"/>
      <c r="AE120" s="157" t="s">
        <v>36</v>
      </c>
      <c r="AF120" s="157" t="s">
        <v>36</v>
      </c>
      <c r="AG120" s="299"/>
      <c r="AH120" s="93"/>
      <c r="AI120" s="71">
        <f>COUNTA($C120:$AF120)</f>
        <v>17</v>
      </c>
    </row>
    <row r="121" spans="1:35" ht="15" hidden="1" customHeight="1" outlineLevel="1">
      <c r="A121" s="221"/>
      <c r="B121" s="294"/>
      <c r="C121" s="94">
        <f t="shared" ref="C121" si="370">IF(ISERROR(VLOOKUP(C120,$K$394:$W$428,9,FALSE)),"",VLOOKUP(C120,$K$394:$W$428,9,FALSE))</f>
        <v>101706</v>
      </c>
      <c r="D121" s="294"/>
      <c r="E121" s="294"/>
      <c r="F121" s="95" t="str">
        <f t="shared" ref="F121" si="371">IF(ISERROR(VLOOKUP(F120,$K$394:$W$428,9,FALSE)),"",VLOOKUP(F120,$K$394:$W$428,9,FALSE))</f>
        <v/>
      </c>
      <c r="G121" s="96"/>
      <c r="H121" s="151">
        <f t="shared" ref="H121:I121" si="372">IF(ISERROR(VLOOKUP(H120,$K$394:$W$428,9,FALSE)),"",VLOOKUP(H120,$K$394:$W$428,9,FALSE))</f>
        <v>101706</v>
      </c>
      <c r="I121" s="151">
        <f t="shared" si="372"/>
        <v>96378</v>
      </c>
      <c r="J121" s="151">
        <f t="shared" ref="J121:M121" si="373">IF(ISERROR(VLOOKUP(J120,$K$394:$W$428,9,FALSE)),"",VLOOKUP(J120,$K$394:$W$428,9,FALSE))</f>
        <v>101706</v>
      </c>
      <c r="K121" s="151">
        <f t="shared" si="373"/>
        <v>96378</v>
      </c>
      <c r="L121" s="94">
        <f t="shared" si="373"/>
        <v>101706</v>
      </c>
      <c r="M121" s="95" t="str">
        <f t="shared" si="373"/>
        <v/>
      </c>
      <c r="N121" s="96"/>
      <c r="O121" s="94">
        <f t="shared" ref="O121:P121" si="374">IF(ISERROR(VLOOKUP(O120,$K$394:$W$428,9,FALSE)),"",VLOOKUP(O120,$K$394:$W$428,9,FALSE))</f>
        <v>101706</v>
      </c>
      <c r="P121" s="94">
        <f t="shared" si="374"/>
        <v>96378</v>
      </c>
      <c r="Q121" s="94">
        <f t="shared" ref="Q121:T121" si="375">IF(ISERROR(VLOOKUP(Q120,$K$394:$W$428,9,FALSE)),"",VLOOKUP(Q120,$K$394:$W$428,9,FALSE))</f>
        <v>101706</v>
      </c>
      <c r="R121" s="94">
        <f t="shared" si="375"/>
        <v>96378</v>
      </c>
      <c r="S121" s="158">
        <f t="shared" si="375"/>
        <v>101706</v>
      </c>
      <c r="T121" s="95" t="str">
        <f t="shared" si="375"/>
        <v/>
      </c>
      <c r="U121" s="96"/>
      <c r="V121" s="94" t="str">
        <f>IF(ISERROR(VLOOKUP(V120,$K$394:$W$428,9,FALSE)),"",VLOOKUP(V120,$K$394:$W$428,9,FALSE))</f>
        <v/>
      </c>
      <c r="W121" s="294"/>
      <c r="X121" s="94">
        <f t="shared" ref="X121:Z121" si="376">IF(ISERROR(VLOOKUP(X120,$K$394:$W$428,9,FALSE)),"",VLOOKUP(X120,$K$394:$W$428,9,FALSE))</f>
        <v>101706</v>
      </c>
      <c r="Y121" s="94">
        <f t="shared" si="376"/>
        <v>96378</v>
      </c>
      <c r="Z121" s="94">
        <f t="shared" si="376"/>
        <v>101706</v>
      </c>
      <c r="AA121" s="95" t="str">
        <f t="shared" ref="AA121" si="377">IF(ISERROR(VLOOKUP(AA120,$K$394:$W$428,9,FALSE)),"",VLOOKUP(AA120,$K$394:$W$428,9,FALSE))</f>
        <v/>
      </c>
      <c r="AB121" s="96"/>
      <c r="AC121" s="94">
        <f t="shared" ref="AC121" si="378">IF(ISERROR(VLOOKUP(AC120,$K$394:$W$428,9,FALSE)),"",VLOOKUP(AC120,$K$394:$W$428,9,FALSE))</f>
        <v>101706</v>
      </c>
      <c r="AD121" s="94"/>
      <c r="AE121" s="94">
        <f t="shared" ref="AE121:AF121" si="379">IF(ISERROR(VLOOKUP(AE120,$K$394:$W$428,9,FALSE)),"",VLOOKUP(AE120,$K$394:$W$428,9,FALSE))</f>
        <v>101706</v>
      </c>
      <c r="AF121" s="94">
        <f t="shared" si="379"/>
        <v>101706</v>
      </c>
      <c r="AG121" s="299"/>
      <c r="AH121" s="97"/>
      <c r="AI121" s="71"/>
    </row>
    <row r="122" spans="1:35" ht="15" hidden="1" customHeight="1" outlineLevel="1">
      <c r="A122" s="221"/>
      <c r="B122" s="216" t="s">
        <v>22</v>
      </c>
      <c r="C122" s="150" t="s">
        <v>31</v>
      </c>
      <c r="D122" s="211"/>
      <c r="E122" s="211"/>
      <c r="F122" s="38"/>
      <c r="G122" s="39"/>
      <c r="H122" s="172" t="s">
        <v>31</v>
      </c>
      <c r="I122" s="173" t="s">
        <v>30</v>
      </c>
      <c r="J122" s="172" t="s">
        <v>31</v>
      </c>
      <c r="K122" s="173" t="s">
        <v>30</v>
      </c>
      <c r="L122" s="157" t="s">
        <v>36</v>
      </c>
      <c r="M122" s="38"/>
      <c r="N122" s="39"/>
      <c r="O122" s="150" t="s">
        <v>31</v>
      </c>
      <c r="P122" s="143" t="s">
        <v>30</v>
      </c>
      <c r="Q122" s="150" t="s">
        <v>31</v>
      </c>
      <c r="R122" s="143" t="s">
        <v>30</v>
      </c>
      <c r="S122" s="174" t="s">
        <v>36</v>
      </c>
      <c r="T122" s="38"/>
      <c r="U122" s="39"/>
      <c r="V122" s="37"/>
      <c r="W122" s="211"/>
      <c r="X122" s="150" t="s">
        <v>31</v>
      </c>
      <c r="Y122" s="143" t="s">
        <v>30</v>
      </c>
      <c r="Z122" s="157" t="s">
        <v>36</v>
      </c>
      <c r="AA122" s="38"/>
      <c r="AB122" s="39"/>
      <c r="AC122" s="157" t="s">
        <v>36</v>
      </c>
      <c r="AD122" s="143"/>
      <c r="AE122" s="157" t="s">
        <v>36</v>
      </c>
      <c r="AF122" s="157" t="s">
        <v>36</v>
      </c>
      <c r="AG122" s="299"/>
      <c r="AH122" s="93"/>
      <c r="AI122" s="71">
        <f>COUNTA($C122:$AF122)</f>
        <v>17</v>
      </c>
    </row>
    <row r="123" spans="1:35" ht="15" hidden="1" customHeight="1" outlineLevel="1">
      <c r="A123" s="221"/>
      <c r="B123" s="294"/>
      <c r="C123" s="94">
        <f t="shared" ref="C123" si="380">IF(ISERROR(VLOOKUP(C122,$K$394:$W$428,9,FALSE)),"",VLOOKUP(C122,$K$394:$W$428,9,FALSE))</f>
        <v>101706</v>
      </c>
      <c r="D123" s="294"/>
      <c r="E123" s="294"/>
      <c r="F123" s="95" t="str">
        <f t="shared" ref="F123" si="381">IF(ISERROR(VLOOKUP(F122,$K$394:$W$428,9,FALSE)),"",VLOOKUP(F122,$K$394:$W$428,9,FALSE))</f>
        <v/>
      </c>
      <c r="G123" s="96"/>
      <c r="H123" s="151">
        <f t="shared" ref="H123:I123" si="382">IF(ISERROR(VLOOKUP(H122,$K$394:$W$428,9,FALSE)),"",VLOOKUP(H122,$K$394:$W$428,9,FALSE))</f>
        <v>101706</v>
      </c>
      <c r="I123" s="151">
        <f t="shared" si="382"/>
        <v>96378</v>
      </c>
      <c r="J123" s="151">
        <f t="shared" ref="J123:M123" si="383">IF(ISERROR(VLOOKUP(J122,$K$394:$W$428,9,FALSE)),"",VLOOKUP(J122,$K$394:$W$428,9,FALSE))</f>
        <v>101706</v>
      </c>
      <c r="K123" s="151">
        <f t="shared" si="383"/>
        <v>96378</v>
      </c>
      <c r="L123" s="94">
        <f t="shared" si="383"/>
        <v>101706</v>
      </c>
      <c r="M123" s="95" t="str">
        <f t="shared" si="383"/>
        <v/>
      </c>
      <c r="N123" s="96"/>
      <c r="O123" s="94">
        <f t="shared" ref="O123:P123" si="384">IF(ISERROR(VLOOKUP(O122,$K$394:$W$428,9,FALSE)),"",VLOOKUP(O122,$K$394:$W$428,9,FALSE))</f>
        <v>101706</v>
      </c>
      <c r="P123" s="94">
        <f t="shared" si="384"/>
        <v>96378</v>
      </c>
      <c r="Q123" s="94">
        <f t="shared" ref="Q123:T123" si="385">IF(ISERROR(VLOOKUP(Q122,$K$394:$W$428,9,FALSE)),"",VLOOKUP(Q122,$K$394:$W$428,9,FALSE))</f>
        <v>101706</v>
      </c>
      <c r="R123" s="94">
        <f t="shared" si="385"/>
        <v>96378</v>
      </c>
      <c r="S123" s="158">
        <f t="shared" si="385"/>
        <v>101706</v>
      </c>
      <c r="T123" s="95" t="str">
        <f t="shared" si="385"/>
        <v/>
      </c>
      <c r="U123" s="96"/>
      <c r="V123" s="94" t="str">
        <f>IF(ISERROR(VLOOKUP(V122,$K$394:$W$428,9,FALSE)),"",VLOOKUP(V122,$K$394:$W$428,9,FALSE))</f>
        <v/>
      </c>
      <c r="W123" s="294"/>
      <c r="X123" s="94">
        <f t="shared" ref="X123:Z123" si="386">IF(ISERROR(VLOOKUP(X122,$K$394:$W$428,9,FALSE)),"",VLOOKUP(X122,$K$394:$W$428,9,FALSE))</f>
        <v>101706</v>
      </c>
      <c r="Y123" s="94">
        <f t="shared" si="386"/>
        <v>96378</v>
      </c>
      <c r="Z123" s="94">
        <f t="shared" si="386"/>
        <v>101706</v>
      </c>
      <c r="AA123" s="95" t="str">
        <f t="shared" ref="AA123" si="387">IF(ISERROR(VLOOKUP(AA122,$K$394:$W$428,9,FALSE)),"",VLOOKUP(AA122,$K$394:$W$428,9,FALSE))</f>
        <v/>
      </c>
      <c r="AB123" s="96"/>
      <c r="AC123" s="94">
        <f t="shared" ref="AC123" si="388">IF(ISERROR(VLOOKUP(AC122,$K$394:$W$428,9,FALSE)),"",VLOOKUP(AC122,$K$394:$W$428,9,FALSE))</f>
        <v>101706</v>
      </c>
      <c r="AD123" s="94" t="str">
        <f t="shared" ref="AD123:AF123" si="389">IF(ISERROR(VLOOKUP(AD122,$K$394:$W$428,9,FALSE)),"",VLOOKUP(AD122,$K$394:$W$428,9,FALSE))</f>
        <v/>
      </c>
      <c r="AE123" s="94">
        <f t="shared" si="389"/>
        <v>101706</v>
      </c>
      <c r="AF123" s="94">
        <f t="shared" si="389"/>
        <v>101706</v>
      </c>
      <c r="AG123" s="299"/>
      <c r="AH123" s="97"/>
      <c r="AI123" s="71"/>
    </row>
    <row r="124" spans="1:35" ht="15" hidden="1" customHeight="1" outlineLevel="1">
      <c r="A124" s="221"/>
      <c r="B124" s="216" t="s">
        <v>23</v>
      </c>
      <c r="C124" s="37"/>
      <c r="D124" s="211"/>
      <c r="E124" s="211"/>
      <c r="F124" s="38"/>
      <c r="G124" s="39"/>
      <c r="H124" s="37"/>
      <c r="I124" s="37"/>
      <c r="J124" s="37"/>
      <c r="K124" s="37"/>
      <c r="L124" s="37"/>
      <c r="M124" s="38"/>
      <c r="N124" s="39"/>
      <c r="O124" s="37"/>
      <c r="P124" s="37"/>
      <c r="Q124" s="37"/>
      <c r="R124" s="37"/>
      <c r="S124" s="37"/>
      <c r="T124" s="38"/>
      <c r="U124" s="39"/>
      <c r="V124" s="37"/>
      <c r="W124" s="211"/>
      <c r="X124" s="37"/>
      <c r="Y124" s="37"/>
      <c r="Z124" s="37"/>
      <c r="AA124" s="38"/>
      <c r="AB124" s="39"/>
      <c r="AC124" s="37"/>
      <c r="AD124" s="37"/>
      <c r="AE124" s="37"/>
      <c r="AF124" s="37"/>
      <c r="AG124" s="299"/>
      <c r="AH124" s="93"/>
      <c r="AI124" s="71">
        <f>COUNTA($C124:$AF124)</f>
        <v>0</v>
      </c>
    </row>
    <row r="125" spans="1:35" ht="15" hidden="1" customHeight="1" outlineLevel="1">
      <c r="A125" s="223"/>
      <c r="B125" s="294"/>
      <c r="C125" s="40" t="str">
        <f t="shared" ref="C125" si="390">IF(ISERROR(VLOOKUP(C124,$K$394:$W$428,9,FALSE)),"",VLOOKUP(C124,$K$394:$W$428,9,FALSE))</f>
        <v/>
      </c>
      <c r="D125" s="294"/>
      <c r="E125" s="294"/>
      <c r="F125" s="41" t="str">
        <f t="shared" ref="F125" si="391">IF(ISERROR(VLOOKUP(F124,$K$394:$W$428,9,FALSE)),"",VLOOKUP(F124,$K$394:$W$428,9,FALSE))</f>
        <v/>
      </c>
      <c r="G125" s="42"/>
      <c r="H125" s="40" t="str">
        <f t="shared" ref="H125:M125" si="392">IF(ISERROR(VLOOKUP(H124,$K$394:$W$428,9,FALSE)),"",VLOOKUP(H124,$K$394:$W$428,9,FALSE))</f>
        <v/>
      </c>
      <c r="I125" s="40" t="str">
        <f t="shared" si="392"/>
        <v/>
      </c>
      <c r="J125" s="40" t="str">
        <f t="shared" si="392"/>
        <v/>
      </c>
      <c r="K125" s="40" t="str">
        <f t="shared" si="392"/>
        <v/>
      </c>
      <c r="L125" s="40" t="str">
        <f t="shared" si="392"/>
        <v/>
      </c>
      <c r="M125" s="41" t="str">
        <f t="shared" si="392"/>
        <v/>
      </c>
      <c r="N125" s="42"/>
      <c r="O125" s="40" t="str">
        <f t="shared" ref="O125:T125" si="393">IF(ISERROR(VLOOKUP(O124,$K$394:$W$428,9,FALSE)),"",VLOOKUP(O124,$K$394:$W$428,9,FALSE))</f>
        <v/>
      </c>
      <c r="P125" s="40" t="str">
        <f t="shared" si="393"/>
        <v/>
      </c>
      <c r="Q125" s="40" t="str">
        <f t="shared" si="393"/>
        <v/>
      </c>
      <c r="R125" s="40" t="str">
        <f t="shared" si="393"/>
        <v/>
      </c>
      <c r="S125" s="40" t="str">
        <f t="shared" si="393"/>
        <v/>
      </c>
      <c r="T125" s="41" t="str">
        <f t="shared" si="393"/>
        <v/>
      </c>
      <c r="U125" s="42"/>
      <c r="V125" s="40" t="str">
        <f>IF(ISERROR(VLOOKUP(V124,$K$394:$W$428,9,FALSE)),"",VLOOKUP(V124,$K$394:$W$428,9,FALSE))</f>
        <v/>
      </c>
      <c r="W125" s="294"/>
      <c r="X125" s="40" t="str">
        <f t="shared" ref="X125:AA125" si="394">IF(ISERROR(VLOOKUP(X124,$K$394:$W$428,9,FALSE)),"",VLOOKUP(X124,$K$394:$W$428,9,FALSE))</f>
        <v/>
      </c>
      <c r="Y125" s="40" t="str">
        <f t="shared" si="394"/>
        <v/>
      </c>
      <c r="Z125" s="40" t="str">
        <f t="shared" si="394"/>
        <v/>
      </c>
      <c r="AA125" s="41" t="str">
        <f t="shared" si="394"/>
        <v/>
      </c>
      <c r="AB125" s="42"/>
      <c r="AC125" s="40" t="str">
        <f t="shared" ref="AC125:AF125" si="395">IF(ISERROR(VLOOKUP(AC124,$K$394:$W$428,9,FALSE)),"",VLOOKUP(AC124,$K$394:$W$428,9,FALSE))</f>
        <v/>
      </c>
      <c r="AD125" s="40" t="str">
        <f t="shared" si="395"/>
        <v/>
      </c>
      <c r="AE125" s="40" t="str">
        <f t="shared" si="395"/>
        <v/>
      </c>
      <c r="AF125" s="40" t="str">
        <f t="shared" si="395"/>
        <v/>
      </c>
      <c r="AG125" s="299"/>
      <c r="AH125" s="97"/>
      <c r="AI125" s="71"/>
    </row>
    <row r="126" spans="1:35" ht="15" hidden="1" customHeight="1" outlineLevel="1">
      <c r="A126" s="221" t="s">
        <v>25</v>
      </c>
      <c r="B126" s="215" t="s">
        <v>19</v>
      </c>
      <c r="C126" s="37"/>
      <c r="D126" s="211"/>
      <c r="E126" s="211"/>
      <c r="F126" s="38"/>
      <c r="G126" s="39"/>
      <c r="H126" s="37"/>
      <c r="I126" s="37"/>
      <c r="J126" s="37"/>
      <c r="K126" s="37"/>
      <c r="L126" s="148" t="s">
        <v>32</v>
      </c>
      <c r="M126" s="38"/>
      <c r="N126" s="39"/>
      <c r="O126" s="37"/>
      <c r="P126" s="37"/>
      <c r="Q126" s="37"/>
      <c r="R126" s="37"/>
      <c r="S126" s="109"/>
      <c r="T126" s="38"/>
      <c r="U126" s="39"/>
      <c r="V126" s="37"/>
      <c r="W126" s="211"/>
      <c r="X126" s="37"/>
      <c r="Y126" s="148" t="s">
        <v>32</v>
      </c>
      <c r="Z126" s="148" t="s">
        <v>32</v>
      </c>
      <c r="AA126" s="38"/>
      <c r="AB126" s="39"/>
      <c r="AC126" s="37"/>
      <c r="AD126" s="37"/>
      <c r="AE126" s="37"/>
      <c r="AF126" s="148" t="s">
        <v>32</v>
      </c>
      <c r="AG126" s="299"/>
      <c r="AH126" s="93"/>
      <c r="AI126" s="71">
        <f>COUNTA($C126:$AF126)</f>
        <v>4</v>
      </c>
    </row>
    <row r="127" spans="1:35" ht="15" hidden="1" customHeight="1" outlineLevel="1">
      <c r="A127" s="293"/>
      <c r="B127" s="293"/>
      <c r="C127" s="40" t="str">
        <f t="shared" ref="C127" si="396">IF(ISERROR(VLOOKUP(C126,$K$394:$W$428,9,FALSE)),"",VLOOKUP(C126,$K$394:$W$428,9,FALSE))</f>
        <v/>
      </c>
      <c r="D127" s="294"/>
      <c r="E127" s="294"/>
      <c r="F127" s="41" t="str">
        <f t="shared" ref="F127" si="397">IF(ISERROR(VLOOKUP(F126,$K$394:$W$428,9,FALSE)),"",VLOOKUP(F126,$K$394:$W$428,9,FALSE))</f>
        <v/>
      </c>
      <c r="G127" s="42"/>
      <c r="H127" s="40" t="str">
        <f t="shared" ref="H127:M127" si="398">IF(ISERROR(VLOOKUP(H126,$K$394:$W$428,9,FALSE)),"",VLOOKUP(H126,$K$394:$W$428,9,FALSE))</f>
        <v/>
      </c>
      <c r="I127" s="40" t="str">
        <f t="shared" si="398"/>
        <v/>
      </c>
      <c r="J127" s="40" t="str">
        <f t="shared" si="398"/>
        <v/>
      </c>
      <c r="K127" s="40" t="str">
        <f t="shared" si="398"/>
        <v/>
      </c>
      <c r="L127" s="40">
        <f t="shared" si="398"/>
        <v>96379</v>
      </c>
      <c r="M127" s="41" t="str">
        <f t="shared" si="398"/>
        <v/>
      </c>
      <c r="N127" s="42"/>
      <c r="O127" s="40" t="str">
        <f t="shared" ref="O127" si="399">IF(ISERROR(VLOOKUP(O126,$K$394:$W$428,9,FALSE)),"",VLOOKUP(O126,$K$394:$W$428,9,FALSE))</f>
        <v/>
      </c>
      <c r="P127" s="40" t="str">
        <f t="shared" ref="P127:T127" si="400">IF(ISERROR(VLOOKUP(P126,$K$394:$W$428,9,FALSE)),"",VLOOKUP(P126,$K$394:$W$428,9,FALSE))</f>
        <v/>
      </c>
      <c r="Q127" s="40" t="str">
        <f t="shared" si="400"/>
        <v/>
      </c>
      <c r="R127" s="40" t="str">
        <f t="shared" si="400"/>
        <v/>
      </c>
      <c r="S127" s="110" t="str">
        <f t="shared" si="400"/>
        <v/>
      </c>
      <c r="T127" s="41" t="str">
        <f t="shared" si="400"/>
        <v/>
      </c>
      <c r="U127" s="42"/>
      <c r="V127" s="40" t="str">
        <f>IF(ISERROR(VLOOKUP(V126,$K$394:$W$428,9,FALSE)),"",VLOOKUP(V126,$K$394:$W$428,9,FALSE))</f>
        <v/>
      </c>
      <c r="W127" s="294"/>
      <c r="X127" s="40" t="str">
        <f t="shared" ref="X127:AA127" si="401">IF(ISERROR(VLOOKUP(X126,$K$394:$W$428,9,FALSE)),"",VLOOKUP(X126,$K$394:$W$428,9,FALSE))</f>
        <v/>
      </c>
      <c r="Y127" s="40">
        <f t="shared" si="401"/>
        <v>96379</v>
      </c>
      <c r="Z127" s="40">
        <f t="shared" si="401"/>
        <v>96379</v>
      </c>
      <c r="AA127" s="41" t="str">
        <f t="shared" si="401"/>
        <v/>
      </c>
      <c r="AB127" s="42"/>
      <c r="AC127" s="40" t="str">
        <f t="shared" ref="AC127:AF127" si="402">IF(ISERROR(VLOOKUP(AC126,$K$394:$W$428,9,FALSE)),"",VLOOKUP(AC126,$K$394:$W$428,9,FALSE))</f>
        <v/>
      </c>
      <c r="AD127" s="40" t="str">
        <f t="shared" si="402"/>
        <v/>
      </c>
      <c r="AE127" s="40" t="str">
        <f t="shared" si="402"/>
        <v/>
      </c>
      <c r="AF127" s="40">
        <f t="shared" si="402"/>
        <v>96379</v>
      </c>
      <c r="AG127" s="299"/>
      <c r="AH127" s="97"/>
      <c r="AI127" s="71"/>
    </row>
    <row r="128" spans="1:35" ht="15" hidden="1" customHeight="1" outlineLevel="1">
      <c r="A128" s="293"/>
      <c r="B128" s="216" t="s">
        <v>20</v>
      </c>
      <c r="C128" s="37"/>
      <c r="D128" s="211"/>
      <c r="E128" s="211"/>
      <c r="F128" s="38"/>
      <c r="G128" s="39"/>
      <c r="H128" s="37"/>
      <c r="I128" s="37"/>
      <c r="J128" s="37"/>
      <c r="K128" s="37"/>
      <c r="L128" s="148" t="s">
        <v>32</v>
      </c>
      <c r="M128" s="38"/>
      <c r="N128" s="39"/>
      <c r="O128" s="37"/>
      <c r="P128" s="37"/>
      <c r="Q128" s="37"/>
      <c r="R128" s="37"/>
      <c r="S128" s="109"/>
      <c r="T128" s="38"/>
      <c r="U128" s="39"/>
      <c r="V128" s="37"/>
      <c r="W128" s="211"/>
      <c r="X128" s="37"/>
      <c r="Y128" s="148" t="s">
        <v>32</v>
      </c>
      <c r="Z128" s="148" t="s">
        <v>32</v>
      </c>
      <c r="AA128" s="38"/>
      <c r="AB128" s="39"/>
      <c r="AC128" s="37"/>
      <c r="AD128" s="37"/>
      <c r="AE128" s="37"/>
      <c r="AF128" s="148" t="s">
        <v>32</v>
      </c>
      <c r="AG128" s="299"/>
      <c r="AH128" s="93"/>
      <c r="AI128" s="71">
        <f>COUNTA($C128:$AF128)</f>
        <v>4</v>
      </c>
    </row>
    <row r="129" spans="1:35" ht="15" hidden="1" customHeight="1" outlineLevel="1">
      <c r="A129" s="293"/>
      <c r="B129" s="294"/>
      <c r="C129" s="94" t="str">
        <f t="shared" ref="C129" si="403">IF(ISERROR(VLOOKUP(C128,$K$394:$W$428,9,FALSE)),"",VLOOKUP(C128,$K$394:$W$428,9,FALSE))</f>
        <v/>
      </c>
      <c r="D129" s="294"/>
      <c r="E129" s="294"/>
      <c r="F129" s="95" t="str">
        <f t="shared" ref="F129" si="404">IF(ISERROR(VLOOKUP(F128,$K$394:$W$428,9,FALSE)),"",VLOOKUP(F128,$K$394:$W$428,9,FALSE))</f>
        <v/>
      </c>
      <c r="G129" s="96"/>
      <c r="H129" s="94" t="str">
        <f t="shared" ref="H129:M129" si="405">IF(ISERROR(VLOOKUP(H128,$K$394:$W$428,9,FALSE)),"",VLOOKUP(H128,$K$394:$W$428,9,FALSE))</f>
        <v/>
      </c>
      <c r="I129" s="94" t="str">
        <f t="shared" si="405"/>
        <v/>
      </c>
      <c r="J129" s="94" t="str">
        <f t="shared" si="405"/>
        <v/>
      </c>
      <c r="K129" s="94" t="str">
        <f t="shared" si="405"/>
        <v/>
      </c>
      <c r="L129" s="40">
        <f t="shared" si="405"/>
        <v>96379</v>
      </c>
      <c r="M129" s="95" t="str">
        <f t="shared" si="405"/>
        <v/>
      </c>
      <c r="N129" s="96"/>
      <c r="O129" s="94" t="str">
        <f t="shared" ref="O129" si="406">IF(ISERROR(VLOOKUP(O128,$K$394:$W$428,9,FALSE)),"",VLOOKUP(O128,$K$394:$W$428,9,FALSE))</f>
        <v/>
      </c>
      <c r="P129" s="94" t="str">
        <f t="shared" ref="P129:T129" si="407">IF(ISERROR(VLOOKUP(P128,$K$394:$W$428,9,FALSE)),"",VLOOKUP(P128,$K$394:$W$428,9,FALSE))</f>
        <v/>
      </c>
      <c r="Q129" s="94" t="str">
        <f t="shared" si="407"/>
        <v/>
      </c>
      <c r="R129" s="94" t="str">
        <f t="shared" si="407"/>
        <v/>
      </c>
      <c r="S129" s="111" t="str">
        <f t="shared" si="407"/>
        <v/>
      </c>
      <c r="T129" s="95" t="str">
        <f t="shared" si="407"/>
        <v/>
      </c>
      <c r="U129" s="96"/>
      <c r="V129" s="94" t="str">
        <f>IF(ISERROR(VLOOKUP(V128,$K$394:$W$428,9,FALSE)),"",VLOOKUP(V128,$K$394:$W$428,9,FALSE))</f>
        <v/>
      </c>
      <c r="W129" s="294"/>
      <c r="X129" s="94" t="str">
        <f t="shared" ref="X129:AA129" si="408">IF(ISERROR(VLOOKUP(X128,$K$394:$W$428,9,FALSE)),"",VLOOKUP(X128,$K$394:$W$428,9,FALSE))</f>
        <v/>
      </c>
      <c r="Y129" s="40">
        <f t="shared" si="408"/>
        <v>96379</v>
      </c>
      <c r="Z129" s="40">
        <f t="shared" si="408"/>
        <v>96379</v>
      </c>
      <c r="AA129" s="95" t="str">
        <f t="shared" si="408"/>
        <v/>
      </c>
      <c r="AB129" s="96"/>
      <c r="AC129" s="94" t="str">
        <f t="shared" ref="AC129:AF129" si="409">IF(ISERROR(VLOOKUP(AC128,$K$394:$W$428,9,FALSE)),"",VLOOKUP(AC128,$K$394:$W$428,9,FALSE))</f>
        <v/>
      </c>
      <c r="AD129" s="94" t="str">
        <f t="shared" si="409"/>
        <v/>
      </c>
      <c r="AE129" s="94" t="str">
        <f t="shared" si="409"/>
        <v/>
      </c>
      <c r="AF129" s="40">
        <f t="shared" si="409"/>
        <v>96379</v>
      </c>
      <c r="AG129" s="299"/>
      <c r="AH129" s="97"/>
      <c r="AI129" s="71"/>
    </row>
    <row r="130" spans="1:35" ht="15" hidden="1" customHeight="1" outlineLevel="1">
      <c r="A130" s="293"/>
      <c r="B130" s="216" t="s">
        <v>21</v>
      </c>
      <c r="C130" s="37"/>
      <c r="D130" s="211"/>
      <c r="E130" s="211"/>
      <c r="F130" s="38"/>
      <c r="G130" s="39"/>
      <c r="H130" s="37"/>
      <c r="I130" s="37"/>
      <c r="J130" s="37"/>
      <c r="K130" s="37"/>
      <c r="L130" s="148" t="s">
        <v>32</v>
      </c>
      <c r="M130" s="38"/>
      <c r="N130" s="39"/>
      <c r="O130" s="37"/>
      <c r="P130" s="37"/>
      <c r="Q130" s="37"/>
      <c r="R130" s="37"/>
      <c r="S130" s="109"/>
      <c r="T130" s="38"/>
      <c r="U130" s="39"/>
      <c r="V130" s="37"/>
      <c r="W130" s="211"/>
      <c r="X130" s="37"/>
      <c r="Y130" s="148" t="s">
        <v>32</v>
      </c>
      <c r="Z130" s="148" t="s">
        <v>32</v>
      </c>
      <c r="AA130" s="38"/>
      <c r="AB130" s="39"/>
      <c r="AC130" s="37"/>
      <c r="AD130" s="37"/>
      <c r="AE130" s="37"/>
      <c r="AF130" s="148" t="s">
        <v>32</v>
      </c>
      <c r="AG130" s="299"/>
      <c r="AH130" s="93"/>
      <c r="AI130" s="71">
        <f>COUNTA($C130:$AF130)</f>
        <v>4</v>
      </c>
    </row>
    <row r="131" spans="1:35" ht="15" hidden="1" customHeight="1" outlineLevel="1">
      <c r="A131" s="293"/>
      <c r="B131" s="294"/>
      <c r="C131" s="40" t="str">
        <f t="shared" ref="C131" si="410">IF(ISERROR(VLOOKUP(C130,$K$394:$W$428,9,FALSE)),"",VLOOKUP(C130,$K$394:$W$428,9,FALSE))</f>
        <v/>
      </c>
      <c r="D131" s="294"/>
      <c r="E131" s="294"/>
      <c r="F131" s="41" t="str">
        <f t="shared" ref="F131" si="411">IF(ISERROR(VLOOKUP(F130,$K$394:$W$428,9,FALSE)),"",VLOOKUP(F130,$K$394:$W$428,9,FALSE))</f>
        <v/>
      </c>
      <c r="G131" s="42"/>
      <c r="H131" s="40" t="str">
        <f t="shared" ref="H131:M131" si="412">IF(ISERROR(VLOOKUP(H130,$K$394:$W$428,9,FALSE)),"",VLOOKUP(H130,$K$394:$W$428,9,FALSE))</f>
        <v/>
      </c>
      <c r="I131" s="40" t="str">
        <f t="shared" si="412"/>
        <v/>
      </c>
      <c r="J131" s="40" t="str">
        <f t="shared" si="412"/>
        <v/>
      </c>
      <c r="K131" s="40" t="str">
        <f t="shared" si="412"/>
        <v/>
      </c>
      <c r="L131" s="40">
        <f t="shared" si="412"/>
        <v>96379</v>
      </c>
      <c r="M131" s="41" t="str">
        <f t="shared" si="412"/>
        <v/>
      </c>
      <c r="N131" s="42"/>
      <c r="O131" s="40" t="str">
        <f t="shared" ref="O131" si="413">IF(ISERROR(VLOOKUP(O130,$K$394:$W$428,9,FALSE)),"",VLOOKUP(O130,$K$394:$W$428,9,FALSE))</f>
        <v/>
      </c>
      <c r="P131" s="40" t="str">
        <f t="shared" ref="P131:T131" si="414">IF(ISERROR(VLOOKUP(P130,$K$394:$W$428,9,FALSE)),"",VLOOKUP(P130,$K$394:$W$428,9,FALSE))</f>
        <v/>
      </c>
      <c r="Q131" s="40" t="str">
        <f t="shared" si="414"/>
        <v/>
      </c>
      <c r="R131" s="40" t="str">
        <f t="shared" si="414"/>
        <v/>
      </c>
      <c r="S131" s="110" t="str">
        <f t="shared" si="414"/>
        <v/>
      </c>
      <c r="T131" s="41" t="str">
        <f t="shared" si="414"/>
        <v/>
      </c>
      <c r="U131" s="42"/>
      <c r="V131" s="40" t="str">
        <f>IF(ISERROR(VLOOKUP(V130,$K$394:$W$428,9,FALSE)),"",VLOOKUP(V130,$K$394:$W$428,9,FALSE))</f>
        <v/>
      </c>
      <c r="W131" s="294"/>
      <c r="X131" s="40" t="str">
        <f t="shared" ref="X131:AA131" si="415">IF(ISERROR(VLOOKUP(X130,$K$394:$W$428,9,FALSE)),"",VLOOKUP(X130,$K$394:$W$428,9,FALSE))</f>
        <v/>
      </c>
      <c r="Y131" s="40">
        <f t="shared" si="415"/>
        <v>96379</v>
      </c>
      <c r="Z131" s="40">
        <f t="shared" si="415"/>
        <v>96379</v>
      </c>
      <c r="AA131" s="41" t="str">
        <f t="shared" si="415"/>
        <v/>
      </c>
      <c r="AB131" s="42"/>
      <c r="AC131" s="40" t="str">
        <f t="shared" ref="AC131:AF131" si="416">IF(ISERROR(VLOOKUP(AC130,$K$394:$W$428,9,FALSE)),"",VLOOKUP(AC130,$K$394:$W$428,9,FALSE))</f>
        <v/>
      </c>
      <c r="AD131" s="40" t="str">
        <f t="shared" si="416"/>
        <v/>
      </c>
      <c r="AE131" s="40" t="str">
        <f t="shared" si="416"/>
        <v/>
      </c>
      <c r="AF131" s="40">
        <f t="shared" si="416"/>
        <v>96379</v>
      </c>
      <c r="AG131" s="299"/>
      <c r="AH131" s="97"/>
      <c r="AI131" s="71"/>
    </row>
    <row r="132" spans="1:35" ht="15" hidden="1" customHeight="1" outlineLevel="1">
      <c r="A132" s="293"/>
      <c r="B132" s="215" t="s">
        <v>22</v>
      </c>
      <c r="C132" s="98"/>
      <c r="D132" s="211"/>
      <c r="E132" s="211"/>
      <c r="F132" s="99"/>
      <c r="G132" s="100"/>
      <c r="H132" s="98"/>
      <c r="I132" s="98"/>
      <c r="J132" s="98"/>
      <c r="K132" s="98"/>
      <c r="L132" s="98"/>
      <c r="M132" s="99"/>
      <c r="N132" s="100"/>
      <c r="O132" s="98"/>
      <c r="P132" s="98"/>
      <c r="Q132" s="98"/>
      <c r="R132" s="98"/>
      <c r="S132" s="112"/>
      <c r="T132" s="99"/>
      <c r="U132" s="100"/>
      <c r="V132" s="98"/>
      <c r="W132" s="211"/>
      <c r="X132" s="98"/>
      <c r="Y132" s="98"/>
      <c r="Z132" s="98"/>
      <c r="AA132" s="99"/>
      <c r="AB132" s="100"/>
      <c r="AC132" s="98"/>
      <c r="AD132" s="98"/>
      <c r="AE132" s="98"/>
      <c r="AF132" s="98"/>
      <c r="AG132" s="299"/>
      <c r="AH132" s="93"/>
      <c r="AI132" s="71">
        <f>COUNTA($C132:$AF132)</f>
        <v>0</v>
      </c>
    </row>
    <row r="133" spans="1:35" ht="15" hidden="1" customHeight="1" outlineLevel="1">
      <c r="A133" s="295"/>
      <c r="B133" s="295"/>
      <c r="C133" s="43" t="str">
        <f t="shared" ref="C133" si="417">IF(ISERROR(VLOOKUP(C132,$K$394:$W$428,9,FALSE)),"",VLOOKUP(C132,$K$394:$W$428,9,FALSE))</f>
        <v/>
      </c>
      <c r="D133" s="295"/>
      <c r="E133" s="295"/>
      <c r="F133" s="44" t="str">
        <f t="shared" ref="F133" si="418">IF(ISERROR(VLOOKUP(F132,$K$394:$W$428,9,FALSE)),"",VLOOKUP(F132,$K$394:$W$428,9,FALSE))</f>
        <v/>
      </c>
      <c r="G133" s="45"/>
      <c r="H133" s="43" t="str">
        <f t="shared" ref="H133:M133" si="419">IF(ISERROR(VLOOKUP(H132,$K$394:$W$428,9,FALSE)),"",VLOOKUP(H132,$K$394:$W$428,9,FALSE))</f>
        <v/>
      </c>
      <c r="I133" s="43" t="str">
        <f t="shared" si="419"/>
        <v/>
      </c>
      <c r="J133" s="43" t="str">
        <f t="shared" si="419"/>
        <v/>
      </c>
      <c r="K133" s="43" t="str">
        <f t="shared" si="419"/>
        <v/>
      </c>
      <c r="L133" s="43" t="str">
        <f t="shared" ref="L133" si="420">IF(ISERROR(VLOOKUP(L132,$K$394:$W$428,9,FALSE)),"",VLOOKUP(L132,$K$394:$W$428,9,FALSE))</f>
        <v/>
      </c>
      <c r="M133" s="44" t="str">
        <f t="shared" si="419"/>
        <v/>
      </c>
      <c r="N133" s="45"/>
      <c r="O133" s="43" t="str">
        <f t="shared" ref="O133" si="421">IF(ISERROR(VLOOKUP(O132,$K$394:$W$428,9,FALSE)),"",VLOOKUP(O132,$K$394:$W$428,9,FALSE))</f>
        <v/>
      </c>
      <c r="P133" s="43" t="str">
        <f t="shared" ref="P133:T133" si="422">IF(ISERROR(VLOOKUP(P132,$K$394:$W$428,9,FALSE)),"",VLOOKUP(P132,$K$394:$W$428,9,FALSE))</f>
        <v/>
      </c>
      <c r="Q133" s="43" t="str">
        <f t="shared" si="422"/>
        <v/>
      </c>
      <c r="R133" s="43" t="str">
        <f t="shared" si="422"/>
        <v/>
      </c>
      <c r="S133" s="113" t="str">
        <f t="shared" si="422"/>
        <v/>
      </c>
      <c r="T133" s="44" t="str">
        <f t="shared" si="422"/>
        <v/>
      </c>
      <c r="U133" s="45"/>
      <c r="V133" s="43" t="str">
        <f>IF(ISERROR(VLOOKUP(V132,$K$394:$W$428,9,FALSE)),"",VLOOKUP(V132,$K$394:$W$428,9,FALSE))</f>
        <v/>
      </c>
      <c r="W133" s="295"/>
      <c r="X133" s="43" t="str">
        <f t="shared" ref="X133:AA133" si="423">IF(ISERROR(VLOOKUP(X132,$K$394:$W$428,9,FALSE)),"",VLOOKUP(X132,$K$394:$W$428,9,FALSE))</f>
        <v/>
      </c>
      <c r="Y133" s="43" t="str">
        <f t="shared" si="423"/>
        <v/>
      </c>
      <c r="Z133" s="43" t="str">
        <f t="shared" si="423"/>
        <v/>
      </c>
      <c r="AA133" s="44" t="str">
        <f t="shared" si="423"/>
        <v/>
      </c>
      <c r="AB133" s="45"/>
      <c r="AC133" s="43" t="str">
        <f t="shared" ref="AC133:AF133" si="424">IF(ISERROR(VLOOKUP(AC132,$K$394:$W$428,9,FALSE)),"",VLOOKUP(AC132,$K$394:$W$428,9,FALSE))</f>
        <v/>
      </c>
      <c r="AD133" s="43" t="str">
        <f t="shared" si="424"/>
        <v/>
      </c>
      <c r="AE133" s="43" t="str">
        <f t="shared" si="424"/>
        <v/>
      </c>
      <c r="AF133" s="43" t="str">
        <f t="shared" si="424"/>
        <v/>
      </c>
      <c r="AG133" s="299"/>
      <c r="AH133" s="97"/>
      <c r="AI133" s="71"/>
    </row>
    <row r="134" spans="1:35" ht="15" hidden="1" customHeight="1" collapsed="1">
      <c r="A134" s="46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21"/>
      <c r="AI134" s="70"/>
    </row>
    <row r="135" spans="1:35" ht="23.25" hidden="1" customHeight="1" outlineLevel="1">
      <c r="A135" s="218">
        <f>A103+30</f>
        <v>46143</v>
      </c>
      <c r="B135" s="219"/>
      <c r="C135" s="219"/>
      <c r="D135" s="219"/>
      <c r="E135" s="219"/>
      <c r="F135" s="219"/>
      <c r="G135" s="219"/>
      <c r="H135" s="219"/>
      <c r="I135" s="219"/>
      <c r="J135" s="219"/>
      <c r="K135" s="219"/>
      <c r="L135" s="219"/>
      <c r="M135" s="220"/>
      <c r="N135" s="213" t="s">
        <v>14</v>
      </c>
      <c r="O135" s="214"/>
      <c r="P135" s="214"/>
      <c r="Q135" s="214"/>
      <c r="R135" s="68">
        <v>20</v>
      </c>
      <c r="S135" s="212" t="s">
        <v>15</v>
      </c>
      <c r="T135" s="212"/>
      <c r="U135" s="212"/>
      <c r="V135" s="212"/>
      <c r="W135" s="69">
        <f>SUM(AI138:AI165)</f>
        <v>128</v>
      </c>
      <c r="X135" s="212" t="s">
        <v>16</v>
      </c>
      <c r="Y135" s="212"/>
      <c r="Z135" s="212"/>
      <c r="AA135" s="212"/>
      <c r="AB135" s="69">
        <f>IF($M$2="Mensalista",R135*8,IF($M$2="Horista",90,IF($M$2="Intermitente",(ROUNDDOWN((R135*8*0.909),0)),"")))</f>
        <v>160</v>
      </c>
      <c r="AC135" s="212" t="s">
        <v>17</v>
      </c>
      <c r="AD135" s="245"/>
      <c r="AE135" s="245"/>
      <c r="AF135" s="246">
        <f>IF($M$2="","",IF($M$2="RSA","",W135/AB135))</f>
        <v>0.8</v>
      </c>
      <c r="AG135" s="289"/>
      <c r="AH135" s="101"/>
      <c r="AI135" s="72"/>
    </row>
    <row r="136" spans="1:35" ht="15" hidden="1" customHeight="1" outlineLevel="1">
      <c r="A136" s="217"/>
      <c r="B136" s="290"/>
      <c r="C136" s="32">
        <f>A135</f>
        <v>46143</v>
      </c>
      <c r="D136" s="33">
        <f t="shared" ref="D136:AG136" si="425">C136+1</f>
        <v>46144</v>
      </c>
      <c r="E136" s="34">
        <f t="shared" si="425"/>
        <v>46145</v>
      </c>
      <c r="F136" s="32">
        <f t="shared" si="425"/>
        <v>46146</v>
      </c>
      <c r="G136" s="32">
        <f t="shared" si="425"/>
        <v>46147</v>
      </c>
      <c r="H136" s="32">
        <f t="shared" si="425"/>
        <v>46148</v>
      </c>
      <c r="I136" s="32">
        <f t="shared" si="425"/>
        <v>46149</v>
      </c>
      <c r="J136" s="32">
        <f t="shared" si="425"/>
        <v>46150</v>
      </c>
      <c r="K136" s="33">
        <f t="shared" si="425"/>
        <v>46151</v>
      </c>
      <c r="L136" s="34">
        <f t="shared" si="425"/>
        <v>46152</v>
      </c>
      <c r="M136" s="32">
        <f t="shared" si="425"/>
        <v>46153</v>
      </c>
      <c r="N136" s="32">
        <f t="shared" si="425"/>
        <v>46154</v>
      </c>
      <c r="O136" s="32">
        <f t="shared" si="425"/>
        <v>46155</v>
      </c>
      <c r="P136" s="32">
        <f t="shared" si="425"/>
        <v>46156</v>
      </c>
      <c r="Q136" s="32">
        <f t="shared" si="425"/>
        <v>46157</v>
      </c>
      <c r="R136" s="33">
        <f t="shared" si="425"/>
        <v>46158</v>
      </c>
      <c r="S136" s="34">
        <f t="shared" si="425"/>
        <v>46159</v>
      </c>
      <c r="T136" s="32">
        <f t="shared" si="425"/>
        <v>46160</v>
      </c>
      <c r="U136" s="32">
        <f t="shared" si="425"/>
        <v>46161</v>
      </c>
      <c r="V136" s="32">
        <f t="shared" si="425"/>
        <v>46162</v>
      </c>
      <c r="W136" s="32">
        <f t="shared" si="425"/>
        <v>46163</v>
      </c>
      <c r="X136" s="32">
        <f t="shared" si="425"/>
        <v>46164</v>
      </c>
      <c r="Y136" s="33">
        <f t="shared" si="425"/>
        <v>46165</v>
      </c>
      <c r="Z136" s="34">
        <f t="shared" si="425"/>
        <v>46166</v>
      </c>
      <c r="AA136" s="32">
        <f t="shared" si="425"/>
        <v>46167</v>
      </c>
      <c r="AB136" s="32">
        <f t="shared" si="425"/>
        <v>46168</v>
      </c>
      <c r="AC136" s="32">
        <f t="shared" si="425"/>
        <v>46169</v>
      </c>
      <c r="AD136" s="32">
        <f t="shared" si="425"/>
        <v>46170</v>
      </c>
      <c r="AE136" s="32">
        <f t="shared" si="425"/>
        <v>46171</v>
      </c>
      <c r="AF136" s="33">
        <f t="shared" si="425"/>
        <v>46172</v>
      </c>
      <c r="AG136" s="34">
        <f t="shared" si="425"/>
        <v>46173</v>
      </c>
      <c r="AH136" s="90"/>
      <c r="AI136" s="73"/>
    </row>
    <row r="137" spans="1:35" ht="15.75" hidden="1" customHeight="1" outlineLevel="1">
      <c r="A137" s="291"/>
      <c r="B137" s="292"/>
      <c r="C137" s="91">
        <f>A135</f>
        <v>46143</v>
      </c>
      <c r="D137" s="35">
        <f t="shared" ref="D137:AG137" si="426">C137+1</f>
        <v>46144</v>
      </c>
      <c r="E137" s="36">
        <f t="shared" si="426"/>
        <v>46145</v>
      </c>
      <c r="F137" s="91">
        <f t="shared" si="426"/>
        <v>46146</v>
      </c>
      <c r="G137" s="91">
        <f t="shared" si="426"/>
        <v>46147</v>
      </c>
      <c r="H137" s="91">
        <f t="shared" si="426"/>
        <v>46148</v>
      </c>
      <c r="I137" s="91">
        <f t="shared" si="426"/>
        <v>46149</v>
      </c>
      <c r="J137" s="91">
        <f t="shared" si="426"/>
        <v>46150</v>
      </c>
      <c r="K137" s="35">
        <f t="shared" si="426"/>
        <v>46151</v>
      </c>
      <c r="L137" s="36">
        <f t="shared" si="426"/>
        <v>46152</v>
      </c>
      <c r="M137" s="91">
        <f t="shared" si="426"/>
        <v>46153</v>
      </c>
      <c r="N137" s="91">
        <f t="shared" si="426"/>
        <v>46154</v>
      </c>
      <c r="O137" s="91">
        <f t="shared" si="426"/>
        <v>46155</v>
      </c>
      <c r="P137" s="91">
        <f t="shared" si="426"/>
        <v>46156</v>
      </c>
      <c r="Q137" s="91">
        <f t="shared" si="426"/>
        <v>46157</v>
      </c>
      <c r="R137" s="35">
        <f t="shared" si="426"/>
        <v>46158</v>
      </c>
      <c r="S137" s="36">
        <f t="shared" si="426"/>
        <v>46159</v>
      </c>
      <c r="T137" s="91">
        <f t="shared" si="426"/>
        <v>46160</v>
      </c>
      <c r="U137" s="91">
        <f t="shared" si="426"/>
        <v>46161</v>
      </c>
      <c r="V137" s="91">
        <f t="shared" si="426"/>
        <v>46162</v>
      </c>
      <c r="W137" s="91">
        <f t="shared" si="426"/>
        <v>46163</v>
      </c>
      <c r="X137" s="91">
        <f t="shared" si="426"/>
        <v>46164</v>
      </c>
      <c r="Y137" s="35">
        <f t="shared" si="426"/>
        <v>46165</v>
      </c>
      <c r="Z137" s="36">
        <f t="shared" si="426"/>
        <v>46166</v>
      </c>
      <c r="AA137" s="91">
        <f t="shared" si="426"/>
        <v>46167</v>
      </c>
      <c r="AB137" s="91">
        <f t="shared" si="426"/>
        <v>46168</v>
      </c>
      <c r="AC137" s="91">
        <f t="shared" si="426"/>
        <v>46169</v>
      </c>
      <c r="AD137" s="91">
        <f t="shared" si="426"/>
        <v>46170</v>
      </c>
      <c r="AE137" s="91">
        <f t="shared" si="426"/>
        <v>46171</v>
      </c>
      <c r="AF137" s="35">
        <f t="shared" si="426"/>
        <v>46172</v>
      </c>
      <c r="AG137" s="36">
        <f t="shared" si="426"/>
        <v>46173</v>
      </c>
      <c r="AH137" s="92"/>
      <c r="AI137" s="72"/>
    </row>
    <row r="138" spans="1:35" ht="15" hidden="1" customHeight="1" outlineLevel="1">
      <c r="A138" s="222" t="s">
        <v>18</v>
      </c>
      <c r="B138" s="215" t="s">
        <v>19</v>
      </c>
      <c r="C138" s="211"/>
      <c r="D138" s="38"/>
      <c r="E138" s="39"/>
      <c r="F138" s="148" t="s">
        <v>35</v>
      </c>
      <c r="G138" s="37"/>
      <c r="H138" s="148" t="s">
        <v>35</v>
      </c>
      <c r="I138" s="37"/>
      <c r="J138" s="144"/>
      <c r="K138" s="38"/>
      <c r="L138" s="39"/>
      <c r="M138" s="37"/>
      <c r="N138" s="37"/>
      <c r="O138" s="148" t="s">
        <v>35</v>
      </c>
      <c r="P138" s="37"/>
      <c r="Q138" s="144"/>
      <c r="R138" s="38"/>
      <c r="S138" s="39"/>
      <c r="T138" s="148" t="s">
        <v>35</v>
      </c>
      <c r="U138" s="37"/>
      <c r="V138" s="161" t="s">
        <v>35</v>
      </c>
      <c r="W138" s="37"/>
      <c r="X138" s="144"/>
      <c r="Y138" s="38"/>
      <c r="Z138" s="39"/>
      <c r="AA138" s="163" t="s">
        <v>37</v>
      </c>
      <c r="AB138" s="37" t="s">
        <v>38</v>
      </c>
      <c r="AC138" s="148" t="s">
        <v>35</v>
      </c>
      <c r="AD138" s="37" t="s">
        <v>38</v>
      </c>
      <c r="AE138" s="144"/>
      <c r="AF138" s="38"/>
      <c r="AG138" s="39"/>
      <c r="AH138" s="93"/>
      <c r="AI138" s="73">
        <f>COUNTA($C138:$AG138)</f>
        <v>9</v>
      </c>
    </row>
    <row r="139" spans="1:35" ht="15" hidden="1" customHeight="1" outlineLevel="1">
      <c r="A139" s="221"/>
      <c r="B139" s="293"/>
      <c r="C139" s="294"/>
      <c r="D139" s="95" t="str">
        <f t="shared" ref="D139" si="427">IF(ISERROR(VLOOKUP(D138,$K$394:$W$428,9,FALSE)),"",VLOOKUP(D138,$K$394:$W$428,9,FALSE))</f>
        <v/>
      </c>
      <c r="E139" s="96"/>
      <c r="F139" s="94">
        <f t="shared" ref="F139:G139" si="428">IF(ISERROR(VLOOKUP(F138,$K$394:$W$428,9,FALSE)),"",VLOOKUP(F138,$K$394:$W$428,9,FALSE))</f>
        <v>93745</v>
      </c>
      <c r="G139" s="94" t="str">
        <f t="shared" si="428"/>
        <v/>
      </c>
      <c r="H139" s="94">
        <f t="shared" ref="H139:K139" si="429">IF(ISERROR(VLOOKUP(H138,$K$394:$W$428,9,FALSE)),"",VLOOKUP(H138,$K$394:$W$428,9,FALSE))</f>
        <v>93745</v>
      </c>
      <c r="I139" s="94" t="str">
        <f t="shared" si="429"/>
        <v/>
      </c>
      <c r="J139" s="145" t="str">
        <f t="shared" si="429"/>
        <v/>
      </c>
      <c r="K139" s="95" t="str">
        <f t="shared" si="429"/>
        <v/>
      </c>
      <c r="L139" s="96"/>
      <c r="M139" s="94" t="str">
        <f t="shared" ref="M139:N139" si="430">IF(ISERROR(VLOOKUP(M138,$K$394:$W$428,9,FALSE)),"",VLOOKUP(M138,$K$394:$W$428,9,FALSE))</f>
        <v/>
      </c>
      <c r="N139" s="94" t="str">
        <f t="shared" si="430"/>
        <v/>
      </c>
      <c r="O139" s="94">
        <f t="shared" ref="O139:R139" si="431">IF(ISERROR(VLOOKUP(O138,$K$394:$W$428,9,FALSE)),"",VLOOKUP(O138,$K$394:$W$428,9,FALSE))</f>
        <v>93745</v>
      </c>
      <c r="P139" s="94" t="str">
        <f t="shared" si="431"/>
        <v/>
      </c>
      <c r="Q139" s="145" t="str">
        <f t="shared" si="431"/>
        <v/>
      </c>
      <c r="R139" s="95" t="str">
        <f t="shared" si="431"/>
        <v/>
      </c>
      <c r="S139" s="96"/>
      <c r="T139" s="94">
        <f t="shared" ref="T139:U139" si="432">IF(ISERROR(VLOOKUP(T138,$K$394:$W$428,9,FALSE)),"",VLOOKUP(T138,$K$394:$W$428,9,FALSE))</f>
        <v>93745</v>
      </c>
      <c r="U139" s="94" t="str">
        <f t="shared" si="432"/>
        <v/>
      </c>
      <c r="V139" s="162">
        <f t="shared" ref="V139:Y139" si="433">IF(ISERROR(VLOOKUP(V138,$K$394:$W$428,9,FALSE)),"",VLOOKUP(V138,$K$394:$W$428,9,FALSE))</f>
        <v>93745</v>
      </c>
      <c r="W139" s="94" t="str">
        <f t="shared" si="433"/>
        <v/>
      </c>
      <c r="X139" s="145" t="str">
        <f t="shared" si="433"/>
        <v/>
      </c>
      <c r="Y139" s="95" t="str">
        <f t="shared" si="433"/>
        <v/>
      </c>
      <c r="Z139" s="96"/>
      <c r="AA139" s="162" t="s">
        <v>39</v>
      </c>
      <c r="AB139" s="94">
        <f t="shared" ref="AB139:AD139" si="434">IF(ISERROR(VLOOKUP(AB138,$K$394:$W$428,9,FALSE)),"",VLOOKUP(AB138,$K$394:$W$428,9,FALSE))</f>
        <v>105342</v>
      </c>
      <c r="AC139" s="94">
        <f t="shared" ref="AC139:AF139" si="435">IF(ISERROR(VLOOKUP(AC138,$K$394:$W$428,9,FALSE)),"",VLOOKUP(AC138,$K$394:$W$428,9,FALSE))</f>
        <v>93745</v>
      </c>
      <c r="AD139" s="94">
        <f t="shared" si="434"/>
        <v>105342</v>
      </c>
      <c r="AE139" s="145" t="str">
        <f t="shared" si="435"/>
        <v/>
      </c>
      <c r="AF139" s="95" t="str">
        <f t="shared" si="435"/>
        <v/>
      </c>
      <c r="AG139" s="96"/>
      <c r="AH139" s="97"/>
      <c r="AI139" s="73"/>
    </row>
    <row r="140" spans="1:35" ht="15" hidden="1" customHeight="1" outlineLevel="1">
      <c r="A140" s="221"/>
      <c r="B140" s="216" t="s">
        <v>20</v>
      </c>
      <c r="C140" s="211"/>
      <c r="D140" s="38"/>
      <c r="E140" s="39"/>
      <c r="F140" s="148" t="s">
        <v>35</v>
      </c>
      <c r="G140" s="37"/>
      <c r="H140" s="148" t="s">
        <v>35</v>
      </c>
      <c r="I140" s="37"/>
      <c r="J140" s="144"/>
      <c r="K140" s="38"/>
      <c r="L140" s="39"/>
      <c r="M140" s="37"/>
      <c r="N140" s="37"/>
      <c r="O140" s="148" t="s">
        <v>35</v>
      </c>
      <c r="P140" s="37"/>
      <c r="Q140" s="144"/>
      <c r="R140" s="38"/>
      <c r="S140" s="39"/>
      <c r="T140" s="148" t="s">
        <v>35</v>
      </c>
      <c r="U140" s="37"/>
      <c r="V140" s="161" t="s">
        <v>35</v>
      </c>
      <c r="W140" s="37"/>
      <c r="X140" s="144"/>
      <c r="Y140" s="38"/>
      <c r="Z140" s="39"/>
      <c r="AA140" s="163" t="s">
        <v>37</v>
      </c>
      <c r="AB140" s="37" t="s">
        <v>38</v>
      </c>
      <c r="AC140" s="148" t="s">
        <v>35</v>
      </c>
      <c r="AD140" s="37" t="s">
        <v>38</v>
      </c>
      <c r="AE140" s="144"/>
      <c r="AF140" s="38"/>
      <c r="AG140" s="39"/>
      <c r="AH140" s="93"/>
      <c r="AI140" s="73">
        <f>COUNTA($C140:$AG140)</f>
        <v>9</v>
      </c>
    </row>
    <row r="141" spans="1:35" ht="15" hidden="1" customHeight="1" outlineLevel="1">
      <c r="A141" s="221"/>
      <c r="B141" s="294"/>
      <c r="C141" s="294"/>
      <c r="D141" s="95" t="str">
        <f t="shared" ref="D141" si="436">IF(ISERROR(VLOOKUP(D140,$K$394:$W$428,9,FALSE)),"",VLOOKUP(D140,$K$394:$W$428,9,FALSE))</f>
        <v/>
      </c>
      <c r="E141" s="96"/>
      <c r="F141" s="94">
        <f t="shared" ref="F141:G141" si="437">IF(ISERROR(VLOOKUP(F140,$K$394:$W$428,9,FALSE)),"",VLOOKUP(F140,$K$394:$W$428,9,FALSE))</f>
        <v>93745</v>
      </c>
      <c r="G141" s="94" t="str">
        <f t="shared" si="437"/>
        <v/>
      </c>
      <c r="H141" s="94">
        <f t="shared" ref="H141:K141" si="438">IF(ISERROR(VLOOKUP(H140,$K$394:$W$428,9,FALSE)),"",VLOOKUP(H140,$K$394:$W$428,9,FALSE))</f>
        <v>93745</v>
      </c>
      <c r="I141" s="94" t="str">
        <f t="shared" si="438"/>
        <v/>
      </c>
      <c r="J141" s="145" t="str">
        <f t="shared" si="438"/>
        <v/>
      </c>
      <c r="K141" s="95" t="str">
        <f t="shared" si="438"/>
        <v/>
      </c>
      <c r="L141" s="96"/>
      <c r="M141" s="94" t="str">
        <f t="shared" ref="M141" si="439">IF(ISERROR(VLOOKUP(M140,$K$394:$W$428,9,FALSE)),"",VLOOKUP(M140,$K$394:$W$428,9,FALSE))</f>
        <v/>
      </c>
      <c r="N141" s="94" t="str">
        <f t="shared" ref="N141" si="440">IF(ISERROR(VLOOKUP(N140,$K$394:$W$428,9,FALSE)),"",VLOOKUP(N140,$K$394:$W$428,9,FALSE))</f>
        <v/>
      </c>
      <c r="O141" s="94">
        <f t="shared" ref="O141:R141" si="441">IF(ISERROR(VLOOKUP(O140,$K$394:$W$428,9,FALSE)),"",VLOOKUP(O140,$K$394:$W$428,9,FALSE))</f>
        <v>93745</v>
      </c>
      <c r="P141" s="94" t="str">
        <f t="shared" si="441"/>
        <v/>
      </c>
      <c r="Q141" s="145" t="str">
        <f t="shared" si="441"/>
        <v/>
      </c>
      <c r="R141" s="95" t="str">
        <f t="shared" si="441"/>
        <v/>
      </c>
      <c r="S141" s="96"/>
      <c r="T141" s="94">
        <f t="shared" ref="T141:U141" si="442">IF(ISERROR(VLOOKUP(T140,$K$394:$W$428,9,FALSE)),"",VLOOKUP(T140,$K$394:$W$428,9,FALSE))</f>
        <v>93745</v>
      </c>
      <c r="U141" s="94" t="str">
        <f t="shared" si="442"/>
        <v/>
      </c>
      <c r="V141" s="162">
        <f t="shared" ref="V141:Y141" si="443">IF(ISERROR(VLOOKUP(V140,$K$394:$W$428,9,FALSE)),"",VLOOKUP(V140,$K$394:$W$428,9,FALSE))</f>
        <v>93745</v>
      </c>
      <c r="W141" s="94" t="str">
        <f t="shared" si="443"/>
        <v/>
      </c>
      <c r="X141" s="145" t="str">
        <f t="shared" si="443"/>
        <v/>
      </c>
      <c r="Y141" s="95" t="str">
        <f t="shared" si="443"/>
        <v/>
      </c>
      <c r="Z141" s="96"/>
      <c r="AA141" s="162" t="s">
        <v>39</v>
      </c>
      <c r="AB141" s="94">
        <f t="shared" ref="AB141:AD141" si="444">IF(ISERROR(VLOOKUP(AB140,$K$394:$W$428,9,FALSE)),"",VLOOKUP(AB140,$K$394:$W$428,9,FALSE))</f>
        <v>105342</v>
      </c>
      <c r="AC141" s="94">
        <f t="shared" ref="AC141:AF141" si="445">IF(ISERROR(VLOOKUP(AC140,$K$394:$W$428,9,FALSE)),"",VLOOKUP(AC140,$K$394:$W$428,9,FALSE))</f>
        <v>93745</v>
      </c>
      <c r="AD141" s="94">
        <f t="shared" si="444"/>
        <v>105342</v>
      </c>
      <c r="AE141" s="145" t="str">
        <f t="shared" si="445"/>
        <v/>
      </c>
      <c r="AF141" s="95" t="str">
        <f t="shared" si="445"/>
        <v/>
      </c>
      <c r="AG141" s="96"/>
      <c r="AH141" s="97"/>
      <c r="AI141" s="73"/>
    </row>
    <row r="142" spans="1:35" ht="15" hidden="1" customHeight="1" outlineLevel="1">
      <c r="A142" s="221"/>
      <c r="B142" s="216" t="s">
        <v>21</v>
      </c>
      <c r="C142" s="211"/>
      <c r="D142" s="38"/>
      <c r="E142" s="39"/>
      <c r="F142" s="148" t="s">
        <v>35</v>
      </c>
      <c r="G142" s="37"/>
      <c r="H142" s="148" t="s">
        <v>35</v>
      </c>
      <c r="I142" s="37"/>
      <c r="J142" s="144"/>
      <c r="K142" s="38"/>
      <c r="L142" s="39"/>
      <c r="M142" s="37"/>
      <c r="N142" s="37"/>
      <c r="O142" s="148" t="s">
        <v>35</v>
      </c>
      <c r="P142" s="37"/>
      <c r="Q142" s="144"/>
      <c r="R142" s="38"/>
      <c r="S142" s="39"/>
      <c r="T142" s="148" t="s">
        <v>35</v>
      </c>
      <c r="U142" s="37"/>
      <c r="V142" s="161" t="s">
        <v>35</v>
      </c>
      <c r="W142" s="37"/>
      <c r="X142" s="144"/>
      <c r="Y142" s="38"/>
      <c r="Z142" s="39"/>
      <c r="AA142" s="163" t="s">
        <v>37</v>
      </c>
      <c r="AB142" s="37" t="s">
        <v>38</v>
      </c>
      <c r="AC142" s="148" t="s">
        <v>35</v>
      </c>
      <c r="AD142" s="37" t="s">
        <v>38</v>
      </c>
      <c r="AE142" s="144"/>
      <c r="AF142" s="38"/>
      <c r="AG142" s="39"/>
      <c r="AH142" s="93"/>
      <c r="AI142" s="73">
        <f>COUNTA($C142:$AG142)</f>
        <v>9</v>
      </c>
    </row>
    <row r="143" spans="1:35" ht="15" hidden="1" customHeight="1" outlineLevel="1">
      <c r="A143" s="221"/>
      <c r="B143" s="294"/>
      <c r="C143" s="294"/>
      <c r="D143" s="41" t="str">
        <f t="shared" ref="D143" si="446">IF(ISERROR(VLOOKUP(D142,$K$394:$W$428,9,FALSE)),"",VLOOKUP(D142,$K$394:$W$428,9,FALSE))</f>
        <v/>
      </c>
      <c r="E143" s="42"/>
      <c r="F143" s="94">
        <f t="shared" ref="F143:G143" si="447">IF(ISERROR(VLOOKUP(F142,$K$394:$W$428,9,FALSE)),"",VLOOKUP(F142,$K$394:$W$428,9,FALSE))</f>
        <v>93745</v>
      </c>
      <c r="G143" s="40" t="str">
        <f t="shared" si="447"/>
        <v/>
      </c>
      <c r="H143" s="94">
        <f t="shared" ref="H143:K143" si="448">IF(ISERROR(VLOOKUP(H142,$K$394:$W$428,9,FALSE)),"",VLOOKUP(H142,$K$394:$W$428,9,FALSE))</f>
        <v>93745</v>
      </c>
      <c r="I143" s="40" t="str">
        <f t="shared" si="448"/>
        <v/>
      </c>
      <c r="J143" s="149" t="str">
        <f t="shared" si="448"/>
        <v/>
      </c>
      <c r="K143" s="41" t="str">
        <f t="shared" si="448"/>
        <v/>
      </c>
      <c r="L143" s="42"/>
      <c r="M143" s="40" t="str">
        <f t="shared" ref="M143" si="449">IF(ISERROR(VLOOKUP(M142,$K$394:$W$428,9,FALSE)),"",VLOOKUP(M142,$K$394:$W$428,9,FALSE))</f>
        <v/>
      </c>
      <c r="N143" s="40" t="str">
        <f t="shared" ref="N143" si="450">IF(ISERROR(VLOOKUP(N142,$K$394:$W$428,9,FALSE)),"",VLOOKUP(N142,$K$394:$W$428,9,FALSE))</f>
        <v/>
      </c>
      <c r="O143" s="94">
        <f t="shared" ref="O143:R143" si="451">IF(ISERROR(VLOOKUP(O142,$K$394:$W$428,9,FALSE)),"",VLOOKUP(O142,$K$394:$W$428,9,FALSE))</f>
        <v>93745</v>
      </c>
      <c r="P143" s="40" t="str">
        <f t="shared" si="451"/>
        <v/>
      </c>
      <c r="Q143" s="149" t="str">
        <f t="shared" si="451"/>
        <v/>
      </c>
      <c r="R143" s="41" t="str">
        <f t="shared" si="451"/>
        <v/>
      </c>
      <c r="S143" s="42"/>
      <c r="T143" s="94">
        <f t="shared" ref="T143:U143" si="452">IF(ISERROR(VLOOKUP(T142,$K$394:$W$428,9,FALSE)),"",VLOOKUP(T142,$K$394:$W$428,9,FALSE))</f>
        <v>93745</v>
      </c>
      <c r="U143" s="40" t="str">
        <f t="shared" si="452"/>
        <v/>
      </c>
      <c r="V143" s="162">
        <f t="shared" ref="V143:Y143" si="453">IF(ISERROR(VLOOKUP(V142,$K$394:$W$428,9,FALSE)),"",VLOOKUP(V142,$K$394:$W$428,9,FALSE))</f>
        <v>93745</v>
      </c>
      <c r="W143" s="40" t="str">
        <f t="shared" si="453"/>
        <v/>
      </c>
      <c r="X143" s="149" t="str">
        <f t="shared" si="453"/>
        <v/>
      </c>
      <c r="Y143" s="41" t="str">
        <f t="shared" si="453"/>
        <v/>
      </c>
      <c r="Z143" s="42"/>
      <c r="AA143" s="162" t="s">
        <v>39</v>
      </c>
      <c r="AB143" s="94">
        <f t="shared" ref="AB143:AD143" si="454">IF(ISERROR(VLOOKUP(AB142,$K$394:$W$428,9,FALSE)),"",VLOOKUP(AB142,$K$394:$W$428,9,FALSE))</f>
        <v>105342</v>
      </c>
      <c r="AC143" s="94">
        <f t="shared" ref="AC143:AF143" si="455">IF(ISERROR(VLOOKUP(AC142,$K$394:$W$428,9,FALSE)),"",VLOOKUP(AC142,$K$394:$W$428,9,FALSE))</f>
        <v>93745</v>
      </c>
      <c r="AD143" s="94">
        <f t="shared" si="454"/>
        <v>105342</v>
      </c>
      <c r="AE143" s="149" t="str">
        <f t="shared" si="455"/>
        <v/>
      </c>
      <c r="AF143" s="41" t="str">
        <f t="shared" si="455"/>
        <v/>
      </c>
      <c r="AG143" s="42"/>
      <c r="AH143" s="97"/>
      <c r="AI143" s="73"/>
    </row>
    <row r="144" spans="1:35" ht="15" hidden="1" customHeight="1" outlineLevel="1">
      <c r="A144" s="221"/>
      <c r="B144" s="216" t="s">
        <v>22</v>
      </c>
      <c r="C144" s="211"/>
      <c r="D144" s="38"/>
      <c r="E144" s="39"/>
      <c r="F144" s="148" t="s">
        <v>35</v>
      </c>
      <c r="G144" s="37"/>
      <c r="H144" s="148" t="s">
        <v>35</v>
      </c>
      <c r="I144" s="37"/>
      <c r="J144" s="144"/>
      <c r="K144" s="38"/>
      <c r="L144" s="39"/>
      <c r="M144" s="37"/>
      <c r="N144" s="37"/>
      <c r="O144" s="148" t="s">
        <v>35</v>
      </c>
      <c r="P144" s="37"/>
      <c r="Q144" s="144"/>
      <c r="R144" s="38"/>
      <c r="S144" s="39"/>
      <c r="T144" s="148" t="s">
        <v>35</v>
      </c>
      <c r="U144" s="37"/>
      <c r="V144" s="161" t="s">
        <v>35</v>
      </c>
      <c r="W144" s="37"/>
      <c r="X144" s="144"/>
      <c r="Y144" s="38"/>
      <c r="Z144" s="39"/>
      <c r="AA144" s="163" t="s">
        <v>37</v>
      </c>
      <c r="AB144" s="37" t="s">
        <v>38</v>
      </c>
      <c r="AC144" s="148" t="s">
        <v>35</v>
      </c>
      <c r="AD144" s="37" t="s">
        <v>38</v>
      </c>
      <c r="AE144" s="144"/>
      <c r="AF144" s="38"/>
      <c r="AG144" s="39"/>
      <c r="AH144" s="93"/>
      <c r="AI144" s="73">
        <f>COUNTA($C144:$AG144)</f>
        <v>9</v>
      </c>
    </row>
    <row r="145" spans="1:35" ht="15" hidden="1" customHeight="1" outlineLevel="1">
      <c r="A145" s="221"/>
      <c r="B145" s="294"/>
      <c r="C145" s="294"/>
      <c r="D145" s="95" t="str">
        <f t="shared" ref="D145" si="456">IF(ISERROR(VLOOKUP(D144,$K$394:$W$428,9,FALSE)),"",VLOOKUP(D144,$K$394:$W$428,9,FALSE))</f>
        <v/>
      </c>
      <c r="E145" s="96"/>
      <c r="F145" s="94">
        <f t="shared" ref="F145:G145" si="457">IF(ISERROR(VLOOKUP(F144,$K$394:$W$428,9,FALSE)),"",VLOOKUP(F144,$K$394:$W$428,9,FALSE))</f>
        <v>93745</v>
      </c>
      <c r="G145" s="94" t="str">
        <f t="shared" si="457"/>
        <v/>
      </c>
      <c r="H145" s="94">
        <f t="shared" ref="H145:K145" si="458">IF(ISERROR(VLOOKUP(H144,$K$394:$W$428,9,FALSE)),"",VLOOKUP(H144,$K$394:$W$428,9,FALSE))</f>
        <v>93745</v>
      </c>
      <c r="I145" s="94" t="str">
        <f t="shared" si="458"/>
        <v/>
      </c>
      <c r="J145" s="145" t="str">
        <f t="shared" si="458"/>
        <v/>
      </c>
      <c r="K145" s="95" t="str">
        <f t="shared" si="458"/>
        <v/>
      </c>
      <c r="L145" s="96"/>
      <c r="M145" s="94" t="str">
        <f t="shared" ref="M145" si="459">IF(ISERROR(VLOOKUP(M144,$K$394:$W$428,9,FALSE)),"",VLOOKUP(M144,$K$394:$W$428,9,FALSE))</f>
        <v/>
      </c>
      <c r="N145" s="94" t="str">
        <f t="shared" ref="N145" si="460">IF(ISERROR(VLOOKUP(N144,$K$394:$W$428,9,FALSE)),"",VLOOKUP(N144,$K$394:$W$428,9,FALSE))</f>
        <v/>
      </c>
      <c r="O145" s="94">
        <f t="shared" ref="O145:R145" si="461">IF(ISERROR(VLOOKUP(O144,$K$394:$W$428,9,FALSE)),"",VLOOKUP(O144,$K$394:$W$428,9,FALSE))</f>
        <v>93745</v>
      </c>
      <c r="P145" s="94" t="str">
        <f t="shared" si="461"/>
        <v/>
      </c>
      <c r="Q145" s="145" t="str">
        <f t="shared" si="461"/>
        <v/>
      </c>
      <c r="R145" s="95" t="str">
        <f t="shared" si="461"/>
        <v/>
      </c>
      <c r="S145" s="96"/>
      <c r="T145" s="94">
        <f t="shared" ref="T145:U145" si="462">IF(ISERROR(VLOOKUP(T144,$K$394:$W$428,9,FALSE)),"",VLOOKUP(T144,$K$394:$W$428,9,FALSE))</f>
        <v>93745</v>
      </c>
      <c r="U145" s="94" t="str">
        <f t="shared" si="462"/>
        <v/>
      </c>
      <c r="V145" s="162">
        <f t="shared" ref="V145:Y145" si="463">IF(ISERROR(VLOOKUP(V144,$K$394:$W$428,9,FALSE)),"",VLOOKUP(V144,$K$394:$W$428,9,FALSE))</f>
        <v>93745</v>
      </c>
      <c r="W145" s="94" t="str">
        <f t="shared" si="463"/>
        <v/>
      </c>
      <c r="X145" s="145" t="str">
        <f t="shared" si="463"/>
        <v/>
      </c>
      <c r="Y145" s="95" t="str">
        <f t="shared" si="463"/>
        <v/>
      </c>
      <c r="Z145" s="96"/>
      <c r="AA145" s="162" t="s">
        <v>39</v>
      </c>
      <c r="AB145" s="94">
        <f t="shared" ref="AB145:AD145" si="464">IF(ISERROR(VLOOKUP(AB144,$K$394:$W$428,9,FALSE)),"",VLOOKUP(AB144,$K$394:$W$428,9,FALSE))</f>
        <v>105342</v>
      </c>
      <c r="AC145" s="94">
        <f t="shared" ref="AC145:AF145" si="465">IF(ISERROR(VLOOKUP(AC144,$K$394:$W$428,9,FALSE)),"",VLOOKUP(AC144,$K$394:$W$428,9,FALSE))</f>
        <v>93745</v>
      </c>
      <c r="AD145" s="94">
        <f t="shared" si="464"/>
        <v>105342</v>
      </c>
      <c r="AE145" s="145" t="str">
        <f t="shared" si="465"/>
        <v/>
      </c>
      <c r="AF145" s="95" t="str">
        <f t="shared" si="465"/>
        <v/>
      </c>
      <c r="AG145" s="96"/>
      <c r="AH145" s="97"/>
      <c r="AI145" s="73"/>
    </row>
    <row r="146" spans="1:35" ht="15" hidden="1" customHeight="1" outlineLevel="1">
      <c r="A146" s="221"/>
      <c r="B146" s="216" t="s">
        <v>23</v>
      </c>
      <c r="C146" s="211"/>
      <c r="D146" s="38"/>
      <c r="E146" s="39"/>
      <c r="F146" s="37"/>
      <c r="G146" s="37"/>
      <c r="H146" s="37"/>
      <c r="I146" s="37"/>
      <c r="J146" s="37"/>
      <c r="K146" s="38"/>
      <c r="L146" s="39"/>
      <c r="M146" s="102"/>
      <c r="N146" s="37"/>
      <c r="O146" s="37"/>
      <c r="P146" s="37"/>
      <c r="Q146" s="37"/>
      <c r="R146" s="38"/>
      <c r="S146" s="39"/>
      <c r="T146" s="37"/>
      <c r="U146" s="37"/>
      <c r="V146" s="37"/>
      <c r="W146" s="37"/>
      <c r="X146" s="37"/>
      <c r="Y146" s="38"/>
      <c r="Z146" s="39"/>
      <c r="AA146" s="37"/>
      <c r="AB146" s="94" t="str">
        <f t="shared" ref="AB146" si="466">IF(ISERROR(VLOOKUP(AB145,$K$394:$W$428,9,FALSE)),"",VLOOKUP(AB145,$K$394:$W$428,9,FALSE))</f>
        <v/>
      </c>
      <c r="AC146" s="37"/>
      <c r="AD146" s="37"/>
      <c r="AE146" s="37"/>
      <c r="AF146" s="38"/>
      <c r="AG146" s="39"/>
      <c r="AH146" s="93"/>
      <c r="AI146" s="73"/>
    </row>
    <row r="147" spans="1:35" ht="15" hidden="1" customHeight="1" outlineLevel="1">
      <c r="A147" s="223"/>
      <c r="B147" s="294"/>
      <c r="C147" s="294"/>
      <c r="D147" s="41" t="str">
        <f t="shared" ref="D147" si="467">IF(ISERROR(VLOOKUP(D146,$K$394:$W$428,9,FALSE)),"",VLOOKUP(D146,$K$394:$W$428,9,FALSE))</f>
        <v/>
      </c>
      <c r="E147" s="42"/>
      <c r="F147" s="40" t="str">
        <f t="shared" ref="F147:K147" si="468">IF(ISERROR(VLOOKUP(F146,$K$394:$W$428,9,FALSE)),"",VLOOKUP(F146,$K$394:$W$428,9,FALSE))</f>
        <v/>
      </c>
      <c r="G147" s="40" t="str">
        <f>IF(ISERROR(VLOOKUP(G146,$K$394:$W$428,9,FALSE)),"",VLOOKUP(G146,$K$394:$W$428,9,FALSE))</f>
        <v/>
      </c>
      <c r="H147" s="40" t="str">
        <f t="shared" si="468"/>
        <v/>
      </c>
      <c r="I147" s="40" t="str">
        <f t="shared" si="468"/>
        <v/>
      </c>
      <c r="J147" s="40" t="str">
        <f t="shared" si="468"/>
        <v/>
      </c>
      <c r="K147" s="41" t="str">
        <f t="shared" si="468"/>
        <v/>
      </c>
      <c r="L147" s="42"/>
      <c r="M147" s="103" t="str">
        <f t="shared" ref="M147:R147" si="469">IF(ISERROR(VLOOKUP(M146,$K$394:$W$428,9,FALSE)),"",VLOOKUP(M146,$K$394:$W$428,9,FALSE))</f>
        <v/>
      </c>
      <c r="N147" s="40" t="str">
        <f t="shared" si="469"/>
        <v/>
      </c>
      <c r="O147" s="40" t="str">
        <f t="shared" si="469"/>
        <v/>
      </c>
      <c r="P147" s="40" t="str">
        <f t="shared" si="469"/>
        <v/>
      </c>
      <c r="Q147" s="40" t="str">
        <f t="shared" si="469"/>
        <v/>
      </c>
      <c r="R147" s="41" t="str">
        <f t="shared" si="469"/>
        <v/>
      </c>
      <c r="S147" s="42"/>
      <c r="T147" s="40" t="str">
        <f t="shared" ref="T147:Y147" si="470">IF(ISERROR(VLOOKUP(T146,$K$394:$W$428,9,FALSE)),"",VLOOKUP(T146,$K$394:$W$428,9,FALSE))</f>
        <v/>
      </c>
      <c r="U147" s="40" t="str">
        <f t="shared" si="470"/>
        <v/>
      </c>
      <c r="V147" s="40" t="str">
        <f t="shared" si="470"/>
        <v/>
      </c>
      <c r="W147" s="40" t="str">
        <f t="shared" si="470"/>
        <v/>
      </c>
      <c r="X147" s="40" t="str">
        <f t="shared" si="470"/>
        <v/>
      </c>
      <c r="Y147" s="41" t="str">
        <f t="shared" si="470"/>
        <v/>
      </c>
      <c r="Z147" s="42"/>
      <c r="AA147" s="40" t="str">
        <f t="shared" ref="AA147:AF147" si="471">IF(ISERROR(VLOOKUP(AA146,$K$394:$W$428,9,FALSE)),"",VLOOKUP(AA146,$K$394:$W$428,9,FALSE))</f>
        <v/>
      </c>
      <c r="AB147" s="40" t="str">
        <f t="shared" si="471"/>
        <v/>
      </c>
      <c r="AC147" s="40" t="str">
        <f t="shared" si="471"/>
        <v/>
      </c>
      <c r="AD147" s="40" t="str">
        <f t="shared" si="471"/>
        <v/>
      </c>
      <c r="AE147" s="40" t="str">
        <f t="shared" si="471"/>
        <v/>
      </c>
      <c r="AF147" s="41" t="str">
        <f t="shared" si="471"/>
        <v/>
      </c>
      <c r="AG147" s="42"/>
      <c r="AH147" s="97"/>
      <c r="AI147" s="73"/>
    </row>
    <row r="148" spans="1:35" ht="15" hidden="1" customHeight="1" outlineLevel="1">
      <c r="A148" s="221" t="s">
        <v>24</v>
      </c>
      <c r="B148" s="216" t="s">
        <v>19</v>
      </c>
      <c r="C148" s="211"/>
      <c r="D148" s="38"/>
      <c r="E148" s="39"/>
      <c r="F148" s="157" t="s">
        <v>36</v>
      </c>
      <c r="G148" s="37" t="s">
        <v>40</v>
      </c>
      <c r="H148" s="157" t="s">
        <v>36</v>
      </c>
      <c r="I148" s="157" t="s">
        <v>36</v>
      </c>
      <c r="J148" s="157" t="s">
        <v>36</v>
      </c>
      <c r="K148" s="38"/>
      <c r="L148" s="39"/>
      <c r="M148" s="157" t="s">
        <v>36</v>
      </c>
      <c r="N148" s="37" t="s">
        <v>40</v>
      </c>
      <c r="O148" s="157" t="s">
        <v>36</v>
      </c>
      <c r="P148" s="157" t="s">
        <v>36</v>
      </c>
      <c r="Q148" s="157" t="s">
        <v>36</v>
      </c>
      <c r="R148" s="38"/>
      <c r="S148" s="39"/>
      <c r="T148" s="157" t="s">
        <v>36</v>
      </c>
      <c r="U148" s="37" t="s">
        <v>40</v>
      </c>
      <c r="V148" s="157" t="s">
        <v>36</v>
      </c>
      <c r="W148" s="157" t="s">
        <v>36</v>
      </c>
      <c r="X148" s="157" t="s">
        <v>36</v>
      </c>
      <c r="Y148" s="38"/>
      <c r="Z148" s="39"/>
      <c r="AA148" s="157" t="s">
        <v>36</v>
      </c>
      <c r="AB148" s="37" t="s">
        <v>40</v>
      </c>
      <c r="AC148" s="157" t="s">
        <v>36</v>
      </c>
      <c r="AD148" s="157" t="s">
        <v>36</v>
      </c>
      <c r="AE148" s="157" t="s">
        <v>36</v>
      </c>
      <c r="AF148" s="38"/>
      <c r="AG148" s="39"/>
      <c r="AH148" s="93"/>
      <c r="AI148" s="73">
        <f>COUNTA($C148:$AG148)</f>
        <v>20</v>
      </c>
    </row>
    <row r="149" spans="1:35" ht="15" hidden="1" customHeight="1" outlineLevel="1">
      <c r="A149" s="221"/>
      <c r="B149" s="293"/>
      <c r="C149" s="294"/>
      <c r="D149" s="95" t="str">
        <f t="shared" ref="D149" si="472">IF(ISERROR(VLOOKUP(D148,$K$394:$W$428,9,FALSE)),"",VLOOKUP(D148,$K$394:$W$428,9,FALSE))</f>
        <v/>
      </c>
      <c r="E149" s="96"/>
      <c r="F149" s="94">
        <f t="shared" ref="F149" si="473">IF(ISERROR(VLOOKUP(F148,$K$394:$W$428,9,FALSE)),"",VLOOKUP(F148,$K$394:$W$428,9,FALSE))</f>
        <v>101706</v>
      </c>
      <c r="G149" s="94">
        <f>IF(ISERROR(VLOOKUP(G148,$K$394:$W$428,9,FALSE)),"",VLOOKUP(G148,$K$394:$W$428,9,FALSE))</f>
        <v>96378</v>
      </c>
      <c r="H149" s="94">
        <f t="shared" ref="H149:J149" si="474">IF(ISERROR(VLOOKUP(H148,$K$394:$W$428,9,FALSE)),"",VLOOKUP(H148,$K$394:$W$428,9,FALSE))</f>
        <v>101706</v>
      </c>
      <c r="I149" s="94">
        <f t="shared" si="474"/>
        <v>101706</v>
      </c>
      <c r="J149" s="94">
        <f t="shared" si="474"/>
        <v>101706</v>
      </c>
      <c r="K149" s="95" t="str">
        <f t="shared" ref="K149" si="475">IF(ISERROR(VLOOKUP(K148,$K$394:$W$428,9,FALSE)),"",VLOOKUP(K148,$K$394:$W$428,9,FALSE))</f>
        <v/>
      </c>
      <c r="L149" s="96"/>
      <c r="M149" s="94">
        <f t="shared" ref="M149" si="476">IF(ISERROR(VLOOKUP(M148,$K$394:$W$428,9,FALSE)),"",VLOOKUP(M148,$K$394:$W$428,9,FALSE))</f>
        <v>101706</v>
      </c>
      <c r="N149" s="94">
        <f>IF(ISERROR(VLOOKUP(N148,$K$394:$W$428,9,FALSE)),"",VLOOKUP(N148,$K$394:$W$428,9,FALSE))</f>
        <v>96378</v>
      </c>
      <c r="O149" s="94">
        <f t="shared" ref="O149:Q149" si="477">IF(ISERROR(VLOOKUP(O148,$K$394:$W$428,9,FALSE)),"",VLOOKUP(O148,$K$394:$W$428,9,FALSE))</f>
        <v>101706</v>
      </c>
      <c r="P149" s="94">
        <f t="shared" si="477"/>
        <v>101706</v>
      </c>
      <c r="Q149" s="94">
        <f t="shared" si="477"/>
        <v>101706</v>
      </c>
      <c r="R149" s="95" t="str">
        <f t="shared" ref="R149" si="478">IF(ISERROR(VLOOKUP(R148,$K$394:$W$428,9,FALSE)),"",VLOOKUP(R148,$K$394:$W$428,9,FALSE))</f>
        <v/>
      </c>
      <c r="S149" s="96"/>
      <c r="T149" s="94">
        <f t="shared" ref="T149" si="479">IF(ISERROR(VLOOKUP(T148,$K$394:$W$428,9,FALSE)),"",VLOOKUP(T148,$K$394:$W$428,9,FALSE))</f>
        <v>101706</v>
      </c>
      <c r="U149" s="94">
        <f>IF(ISERROR(VLOOKUP(U148,$K$394:$W$428,9,FALSE)),"",VLOOKUP(U148,$K$394:$W$428,9,FALSE))</f>
        <v>96378</v>
      </c>
      <c r="V149" s="94">
        <f t="shared" ref="V149:X149" si="480">IF(ISERROR(VLOOKUP(V148,$K$394:$W$428,9,FALSE)),"",VLOOKUP(V148,$K$394:$W$428,9,FALSE))</f>
        <v>101706</v>
      </c>
      <c r="W149" s="94">
        <f t="shared" si="480"/>
        <v>101706</v>
      </c>
      <c r="X149" s="94">
        <f t="shared" si="480"/>
        <v>101706</v>
      </c>
      <c r="Y149" s="95" t="str">
        <f t="shared" ref="Y149" si="481">IF(ISERROR(VLOOKUP(Y148,$K$394:$W$428,9,FALSE)),"",VLOOKUP(Y148,$K$394:$W$428,9,FALSE))</f>
        <v/>
      </c>
      <c r="Z149" s="96"/>
      <c r="AA149" s="94">
        <f t="shared" ref="AA149" si="482">IF(ISERROR(VLOOKUP(AA148,$K$394:$W$428,9,FALSE)),"",VLOOKUP(AA148,$K$394:$W$428,9,FALSE))</f>
        <v>101706</v>
      </c>
      <c r="AB149" s="94">
        <f>IF(ISERROR(VLOOKUP(AB148,$K$394:$W$428,9,FALSE)),"",VLOOKUP(AB148,$K$394:$W$428,9,FALSE))</f>
        <v>96378</v>
      </c>
      <c r="AC149" s="94">
        <f t="shared" ref="AC149:AE149" si="483">IF(ISERROR(VLOOKUP(AC148,$K$394:$W$428,9,FALSE)),"",VLOOKUP(AC148,$K$394:$W$428,9,FALSE))</f>
        <v>101706</v>
      </c>
      <c r="AD149" s="94">
        <f t="shared" si="483"/>
        <v>101706</v>
      </c>
      <c r="AE149" s="94">
        <f t="shared" si="483"/>
        <v>101706</v>
      </c>
      <c r="AF149" s="95" t="str">
        <f t="shared" ref="AF149" si="484">IF(ISERROR(VLOOKUP(AF148,$K$394:$W$428,9,FALSE)),"",VLOOKUP(AF148,$K$394:$W$428,9,FALSE))</f>
        <v/>
      </c>
      <c r="AG149" s="96"/>
      <c r="AH149" s="97"/>
      <c r="AI149" s="73"/>
    </row>
    <row r="150" spans="1:35" ht="15" hidden="1" customHeight="1" outlineLevel="1">
      <c r="A150" s="221"/>
      <c r="B150" s="216" t="s">
        <v>20</v>
      </c>
      <c r="C150" s="211"/>
      <c r="D150" s="38"/>
      <c r="E150" s="39"/>
      <c r="F150" s="157" t="s">
        <v>36</v>
      </c>
      <c r="G150" s="37" t="s">
        <v>40</v>
      </c>
      <c r="H150" s="157" t="s">
        <v>36</v>
      </c>
      <c r="I150" s="157" t="s">
        <v>36</v>
      </c>
      <c r="J150" s="157" t="s">
        <v>36</v>
      </c>
      <c r="K150" s="38"/>
      <c r="L150" s="39"/>
      <c r="M150" s="157" t="s">
        <v>36</v>
      </c>
      <c r="N150" s="37" t="s">
        <v>40</v>
      </c>
      <c r="O150" s="157" t="s">
        <v>36</v>
      </c>
      <c r="P150" s="157" t="s">
        <v>36</v>
      </c>
      <c r="Q150" s="157" t="s">
        <v>36</v>
      </c>
      <c r="R150" s="38"/>
      <c r="S150" s="39"/>
      <c r="T150" s="157" t="s">
        <v>36</v>
      </c>
      <c r="U150" s="37" t="s">
        <v>40</v>
      </c>
      <c r="V150" s="157" t="s">
        <v>36</v>
      </c>
      <c r="W150" s="157" t="s">
        <v>36</v>
      </c>
      <c r="X150" s="157" t="s">
        <v>36</v>
      </c>
      <c r="Y150" s="38"/>
      <c r="Z150" s="39"/>
      <c r="AA150" s="157" t="s">
        <v>36</v>
      </c>
      <c r="AB150" s="37" t="s">
        <v>40</v>
      </c>
      <c r="AC150" s="157" t="s">
        <v>36</v>
      </c>
      <c r="AD150" s="157" t="s">
        <v>36</v>
      </c>
      <c r="AE150" s="157" t="s">
        <v>36</v>
      </c>
      <c r="AF150" s="38"/>
      <c r="AG150" s="39"/>
      <c r="AH150" s="93"/>
      <c r="AI150" s="73">
        <f>COUNTA($C150:$AG150)</f>
        <v>20</v>
      </c>
    </row>
    <row r="151" spans="1:35" ht="15" hidden="1" customHeight="1" outlineLevel="1">
      <c r="A151" s="221"/>
      <c r="B151" s="294"/>
      <c r="C151" s="294"/>
      <c r="D151" s="41" t="str">
        <f t="shared" ref="D151" si="485">IF(ISERROR(VLOOKUP(D150,$K$394:$W$428,9,FALSE)),"",VLOOKUP(D150,$K$394:$W$428,9,FALSE))</f>
        <v/>
      </c>
      <c r="E151" s="42"/>
      <c r="F151" s="94">
        <f t="shared" ref="F151" si="486">IF(ISERROR(VLOOKUP(F150,$K$394:$W$428,9,FALSE)),"",VLOOKUP(F150,$K$394:$W$428,9,FALSE))</f>
        <v>101706</v>
      </c>
      <c r="G151" s="94">
        <f t="shared" ref="G151:K151" si="487">IF(ISERROR(VLOOKUP(G150,$K$394:$W$428,9,FALSE)),"",VLOOKUP(G150,$K$394:$W$428,9,FALSE))</f>
        <v>96378</v>
      </c>
      <c r="H151" s="94">
        <f t="shared" si="487"/>
        <v>101706</v>
      </c>
      <c r="I151" s="94">
        <f t="shared" si="487"/>
        <v>101706</v>
      </c>
      <c r="J151" s="94">
        <f t="shared" si="487"/>
        <v>101706</v>
      </c>
      <c r="K151" s="41" t="str">
        <f t="shared" si="487"/>
        <v/>
      </c>
      <c r="L151" s="42"/>
      <c r="M151" s="94">
        <f t="shared" ref="M151" si="488">IF(ISERROR(VLOOKUP(M150,$K$394:$W$428,9,FALSE)),"",VLOOKUP(M150,$K$394:$W$428,9,FALSE))</f>
        <v>101706</v>
      </c>
      <c r="N151" s="94">
        <f t="shared" ref="N151:R151" si="489">IF(ISERROR(VLOOKUP(N150,$K$394:$W$428,9,FALSE)),"",VLOOKUP(N150,$K$394:$W$428,9,FALSE))</f>
        <v>96378</v>
      </c>
      <c r="O151" s="94">
        <f t="shared" si="489"/>
        <v>101706</v>
      </c>
      <c r="P151" s="94">
        <f t="shared" si="489"/>
        <v>101706</v>
      </c>
      <c r="Q151" s="94">
        <f t="shared" si="489"/>
        <v>101706</v>
      </c>
      <c r="R151" s="41" t="str">
        <f t="shared" si="489"/>
        <v/>
      </c>
      <c r="S151" s="42"/>
      <c r="T151" s="94">
        <f t="shared" ref="T151" si="490">IF(ISERROR(VLOOKUP(T150,$K$394:$W$428,9,FALSE)),"",VLOOKUP(T150,$K$394:$W$428,9,FALSE))</f>
        <v>101706</v>
      </c>
      <c r="U151" s="94">
        <f t="shared" ref="U151:Y151" si="491">IF(ISERROR(VLOOKUP(U150,$K$394:$W$428,9,FALSE)),"",VLOOKUP(U150,$K$394:$W$428,9,FALSE))</f>
        <v>96378</v>
      </c>
      <c r="V151" s="94">
        <f t="shared" si="491"/>
        <v>101706</v>
      </c>
      <c r="W151" s="94">
        <f t="shared" si="491"/>
        <v>101706</v>
      </c>
      <c r="X151" s="94">
        <f t="shared" si="491"/>
        <v>101706</v>
      </c>
      <c r="Y151" s="41" t="str">
        <f t="shared" si="491"/>
        <v/>
      </c>
      <c r="Z151" s="42"/>
      <c r="AA151" s="94">
        <f t="shared" ref="AA151" si="492">IF(ISERROR(VLOOKUP(AA150,$K$394:$W$428,9,FALSE)),"",VLOOKUP(AA150,$K$394:$W$428,9,FALSE))</f>
        <v>101706</v>
      </c>
      <c r="AB151" s="94">
        <f t="shared" ref="AB151:AF151" si="493">IF(ISERROR(VLOOKUP(AB150,$K$394:$W$428,9,FALSE)),"",VLOOKUP(AB150,$K$394:$W$428,9,FALSE))</f>
        <v>96378</v>
      </c>
      <c r="AC151" s="94">
        <f t="shared" si="493"/>
        <v>101706</v>
      </c>
      <c r="AD151" s="94">
        <f t="shared" si="493"/>
        <v>101706</v>
      </c>
      <c r="AE151" s="94">
        <f t="shared" si="493"/>
        <v>101706</v>
      </c>
      <c r="AF151" s="41" t="str">
        <f t="shared" si="493"/>
        <v/>
      </c>
      <c r="AG151" s="42"/>
      <c r="AH151" s="97"/>
      <c r="AI151" s="73"/>
    </row>
    <row r="152" spans="1:35" ht="15" hidden="1" customHeight="1" outlineLevel="1">
      <c r="A152" s="221"/>
      <c r="B152" s="216" t="s">
        <v>21</v>
      </c>
      <c r="C152" s="211"/>
      <c r="D152" s="38"/>
      <c r="E152" s="39"/>
      <c r="F152" s="157" t="s">
        <v>36</v>
      </c>
      <c r="G152" s="37" t="s">
        <v>40</v>
      </c>
      <c r="H152" s="157" t="s">
        <v>36</v>
      </c>
      <c r="I152" s="157" t="s">
        <v>36</v>
      </c>
      <c r="J152" s="157" t="s">
        <v>36</v>
      </c>
      <c r="K152" s="38"/>
      <c r="L152" s="39"/>
      <c r="M152" s="157" t="s">
        <v>36</v>
      </c>
      <c r="N152" s="37" t="s">
        <v>40</v>
      </c>
      <c r="O152" s="157" t="s">
        <v>36</v>
      </c>
      <c r="P152" s="157" t="s">
        <v>36</v>
      </c>
      <c r="Q152" s="157" t="s">
        <v>36</v>
      </c>
      <c r="R152" s="38"/>
      <c r="S152" s="39"/>
      <c r="T152" s="157" t="s">
        <v>36</v>
      </c>
      <c r="U152" s="37" t="s">
        <v>40</v>
      </c>
      <c r="V152" s="157" t="s">
        <v>36</v>
      </c>
      <c r="W152" s="157" t="s">
        <v>36</v>
      </c>
      <c r="X152" s="157" t="s">
        <v>36</v>
      </c>
      <c r="Y152" s="38"/>
      <c r="Z152" s="39"/>
      <c r="AA152" s="157" t="s">
        <v>36</v>
      </c>
      <c r="AB152" s="37" t="s">
        <v>40</v>
      </c>
      <c r="AC152" s="157" t="s">
        <v>36</v>
      </c>
      <c r="AD152" s="157" t="s">
        <v>36</v>
      </c>
      <c r="AE152" s="157" t="s">
        <v>36</v>
      </c>
      <c r="AF152" s="38"/>
      <c r="AG152" s="39"/>
      <c r="AH152" s="93"/>
      <c r="AI152" s="73">
        <f>COUNTA($C152:$AG152)</f>
        <v>20</v>
      </c>
    </row>
    <row r="153" spans="1:35" ht="15" hidden="1" customHeight="1" outlineLevel="1">
      <c r="A153" s="221"/>
      <c r="B153" s="294"/>
      <c r="C153" s="294"/>
      <c r="D153" s="95" t="str">
        <f t="shared" ref="D153" si="494">IF(ISERROR(VLOOKUP(D152,$K$394:$W$428,9,FALSE)),"",VLOOKUP(D152,$K$394:$W$428,9,FALSE))</f>
        <v/>
      </c>
      <c r="E153" s="96"/>
      <c r="F153" s="94">
        <f t="shared" ref="F153" si="495">IF(ISERROR(VLOOKUP(F152,$K$394:$W$428,9,FALSE)),"",VLOOKUP(F152,$K$394:$W$428,9,FALSE))</f>
        <v>101706</v>
      </c>
      <c r="G153" s="94">
        <f t="shared" ref="G153:K153" si="496">IF(ISERROR(VLOOKUP(G152,$K$394:$W$428,9,FALSE)),"",VLOOKUP(G152,$K$394:$W$428,9,FALSE))</f>
        <v>96378</v>
      </c>
      <c r="H153" s="94">
        <f t="shared" si="496"/>
        <v>101706</v>
      </c>
      <c r="I153" s="94">
        <f t="shared" si="496"/>
        <v>101706</v>
      </c>
      <c r="J153" s="94">
        <f t="shared" si="496"/>
        <v>101706</v>
      </c>
      <c r="K153" s="95" t="str">
        <f t="shared" si="496"/>
        <v/>
      </c>
      <c r="L153" s="96"/>
      <c r="M153" s="94">
        <f t="shared" ref="M153" si="497">IF(ISERROR(VLOOKUP(M152,$K$394:$W$428,9,FALSE)),"",VLOOKUP(M152,$K$394:$W$428,9,FALSE))</f>
        <v>101706</v>
      </c>
      <c r="N153" s="94">
        <f t="shared" ref="N153:R153" si="498">IF(ISERROR(VLOOKUP(N152,$K$394:$W$428,9,FALSE)),"",VLOOKUP(N152,$K$394:$W$428,9,FALSE))</f>
        <v>96378</v>
      </c>
      <c r="O153" s="94">
        <f t="shared" si="498"/>
        <v>101706</v>
      </c>
      <c r="P153" s="94">
        <f t="shared" si="498"/>
        <v>101706</v>
      </c>
      <c r="Q153" s="94">
        <f t="shared" si="498"/>
        <v>101706</v>
      </c>
      <c r="R153" s="95" t="str">
        <f t="shared" si="498"/>
        <v/>
      </c>
      <c r="S153" s="96"/>
      <c r="T153" s="94">
        <f t="shared" ref="T153" si="499">IF(ISERROR(VLOOKUP(T152,$K$394:$W$428,9,FALSE)),"",VLOOKUP(T152,$K$394:$W$428,9,FALSE))</f>
        <v>101706</v>
      </c>
      <c r="U153" s="94">
        <f t="shared" ref="U153:Y153" si="500">IF(ISERROR(VLOOKUP(U152,$K$394:$W$428,9,FALSE)),"",VLOOKUP(U152,$K$394:$W$428,9,FALSE))</f>
        <v>96378</v>
      </c>
      <c r="V153" s="94">
        <f t="shared" si="500"/>
        <v>101706</v>
      </c>
      <c r="W153" s="94">
        <f t="shared" si="500"/>
        <v>101706</v>
      </c>
      <c r="X153" s="94">
        <f t="shared" si="500"/>
        <v>101706</v>
      </c>
      <c r="Y153" s="95" t="str">
        <f t="shared" si="500"/>
        <v/>
      </c>
      <c r="Z153" s="96"/>
      <c r="AA153" s="94">
        <f t="shared" ref="AA153" si="501">IF(ISERROR(VLOOKUP(AA152,$K$394:$W$428,9,FALSE)),"",VLOOKUP(AA152,$K$394:$W$428,9,FALSE))</f>
        <v>101706</v>
      </c>
      <c r="AB153" s="94">
        <f t="shared" ref="AB153:AF153" si="502">IF(ISERROR(VLOOKUP(AB152,$K$394:$W$428,9,FALSE)),"",VLOOKUP(AB152,$K$394:$W$428,9,FALSE))</f>
        <v>96378</v>
      </c>
      <c r="AC153" s="94">
        <f t="shared" si="502"/>
        <v>101706</v>
      </c>
      <c r="AD153" s="94">
        <f t="shared" si="502"/>
        <v>101706</v>
      </c>
      <c r="AE153" s="94">
        <f t="shared" si="502"/>
        <v>101706</v>
      </c>
      <c r="AF153" s="95" t="str">
        <f t="shared" si="502"/>
        <v/>
      </c>
      <c r="AG153" s="96"/>
      <c r="AH153" s="97"/>
      <c r="AI153" s="73"/>
    </row>
    <row r="154" spans="1:35" ht="15" hidden="1" customHeight="1" outlineLevel="1">
      <c r="A154" s="221"/>
      <c r="B154" s="216" t="s">
        <v>22</v>
      </c>
      <c r="C154" s="211"/>
      <c r="D154" s="38"/>
      <c r="E154" s="39"/>
      <c r="F154" s="157" t="s">
        <v>36</v>
      </c>
      <c r="G154" s="37" t="s">
        <v>40</v>
      </c>
      <c r="H154" s="157" t="s">
        <v>36</v>
      </c>
      <c r="I154" s="157" t="s">
        <v>36</v>
      </c>
      <c r="J154" s="157" t="s">
        <v>36</v>
      </c>
      <c r="K154" s="38"/>
      <c r="L154" s="39"/>
      <c r="M154" s="157" t="s">
        <v>36</v>
      </c>
      <c r="N154" s="37" t="s">
        <v>40</v>
      </c>
      <c r="O154" s="157" t="s">
        <v>36</v>
      </c>
      <c r="P154" s="157" t="s">
        <v>36</v>
      </c>
      <c r="Q154" s="157" t="s">
        <v>36</v>
      </c>
      <c r="R154" s="38"/>
      <c r="S154" s="39"/>
      <c r="T154" s="157" t="s">
        <v>36</v>
      </c>
      <c r="U154" s="37" t="s">
        <v>40</v>
      </c>
      <c r="V154" s="157" t="s">
        <v>36</v>
      </c>
      <c r="W154" s="157" t="s">
        <v>36</v>
      </c>
      <c r="X154" s="157" t="s">
        <v>36</v>
      </c>
      <c r="Y154" s="38"/>
      <c r="Z154" s="39"/>
      <c r="AA154" s="157" t="s">
        <v>36</v>
      </c>
      <c r="AB154" s="37" t="s">
        <v>40</v>
      </c>
      <c r="AC154" s="157" t="s">
        <v>36</v>
      </c>
      <c r="AD154" s="157" t="s">
        <v>36</v>
      </c>
      <c r="AE154" s="157" t="s">
        <v>36</v>
      </c>
      <c r="AF154" s="38"/>
      <c r="AG154" s="39"/>
      <c r="AH154" s="93"/>
      <c r="AI154" s="73">
        <f>COUNTA($C154:$AG154)</f>
        <v>20</v>
      </c>
    </row>
    <row r="155" spans="1:35" ht="15" hidden="1" customHeight="1" outlineLevel="1">
      <c r="A155" s="221"/>
      <c r="B155" s="294"/>
      <c r="C155" s="294"/>
      <c r="D155" s="95" t="str">
        <f t="shared" ref="D155" si="503">IF(ISERROR(VLOOKUP(D154,$K$394:$W$428,9,FALSE)),"",VLOOKUP(D154,$K$394:$W$428,9,FALSE))</f>
        <v/>
      </c>
      <c r="E155" s="96"/>
      <c r="F155" s="94">
        <f t="shared" ref="F155" si="504">IF(ISERROR(VLOOKUP(F154,$K$394:$W$428,9,FALSE)),"",VLOOKUP(F154,$K$394:$W$428,9,FALSE))</f>
        <v>101706</v>
      </c>
      <c r="G155" s="94">
        <f t="shared" ref="G155:K155" si="505">IF(ISERROR(VLOOKUP(G154,$K$394:$W$428,9,FALSE)),"",VLOOKUP(G154,$K$394:$W$428,9,FALSE))</f>
        <v>96378</v>
      </c>
      <c r="H155" s="94">
        <f t="shared" si="505"/>
        <v>101706</v>
      </c>
      <c r="I155" s="94">
        <f t="shared" si="505"/>
        <v>101706</v>
      </c>
      <c r="J155" s="94">
        <f t="shared" si="505"/>
        <v>101706</v>
      </c>
      <c r="K155" s="95" t="str">
        <f t="shared" si="505"/>
        <v/>
      </c>
      <c r="L155" s="96"/>
      <c r="M155" s="94">
        <f t="shared" ref="M155" si="506">IF(ISERROR(VLOOKUP(M154,$K$394:$W$428,9,FALSE)),"",VLOOKUP(M154,$K$394:$W$428,9,FALSE))</f>
        <v>101706</v>
      </c>
      <c r="N155" s="94">
        <f t="shared" ref="N155:R155" si="507">IF(ISERROR(VLOOKUP(N154,$K$394:$W$428,9,FALSE)),"",VLOOKUP(N154,$K$394:$W$428,9,FALSE))</f>
        <v>96378</v>
      </c>
      <c r="O155" s="94">
        <f t="shared" si="507"/>
        <v>101706</v>
      </c>
      <c r="P155" s="94">
        <f t="shared" si="507"/>
        <v>101706</v>
      </c>
      <c r="Q155" s="94">
        <f t="shared" si="507"/>
        <v>101706</v>
      </c>
      <c r="R155" s="95" t="str">
        <f t="shared" si="507"/>
        <v/>
      </c>
      <c r="S155" s="96"/>
      <c r="T155" s="94">
        <f t="shared" ref="T155" si="508">IF(ISERROR(VLOOKUP(T154,$K$394:$W$428,9,FALSE)),"",VLOOKUP(T154,$K$394:$W$428,9,FALSE))</f>
        <v>101706</v>
      </c>
      <c r="U155" s="94">
        <f t="shared" ref="U155:Y155" si="509">IF(ISERROR(VLOOKUP(U154,$K$394:$W$428,9,FALSE)),"",VLOOKUP(U154,$K$394:$W$428,9,FALSE))</f>
        <v>96378</v>
      </c>
      <c r="V155" s="94">
        <f t="shared" si="509"/>
        <v>101706</v>
      </c>
      <c r="W155" s="94">
        <f t="shared" si="509"/>
        <v>101706</v>
      </c>
      <c r="X155" s="94">
        <f t="shared" si="509"/>
        <v>101706</v>
      </c>
      <c r="Y155" s="95" t="str">
        <f t="shared" si="509"/>
        <v/>
      </c>
      <c r="Z155" s="96"/>
      <c r="AA155" s="94">
        <f t="shared" ref="AA155" si="510">IF(ISERROR(VLOOKUP(AA154,$K$394:$W$428,9,FALSE)),"",VLOOKUP(AA154,$K$394:$W$428,9,FALSE))</f>
        <v>101706</v>
      </c>
      <c r="AB155" s="94">
        <f t="shared" ref="AB155:AF155" si="511">IF(ISERROR(VLOOKUP(AB154,$K$394:$W$428,9,FALSE)),"",VLOOKUP(AB154,$K$394:$W$428,9,FALSE))</f>
        <v>96378</v>
      </c>
      <c r="AC155" s="94">
        <f t="shared" si="511"/>
        <v>101706</v>
      </c>
      <c r="AD155" s="94">
        <f t="shared" si="511"/>
        <v>101706</v>
      </c>
      <c r="AE155" s="94">
        <f t="shared" si="511"/>
        <v>101706</v>
      </c>
      <c r="AF155" s="95" t="str">
        <f t="shared" si="511"/>
        <v/>
      </c>
      <c r="AG155" s="96"/>
      <c r="AH155" s="97"/>
      <c r="AI155" s="73"/>
    </row>
    <row r="156" spans="1:35" ht="15" hidden="1" customHeight="1" outlineLevel="1">
      <c r="A156" s="221"/>
      <c r="B156" s="216" t="s">
        <v>23</v>
      </c>
      <c r="C156" s="211"/>
      <c r="D156" s="38"/>
      <c r="E156" s="39"/>
      <c r="F156" s="37"/>
      <c r="G156" s="37"/>
      <c r="H156" s="37"/>
      <c r="I156" s="37"/>
      <c r="J156" s="37"/>
      <c r="K156" s="38"/>
      <c r="L156" s="39"/>
      <c r="M156" s="37"/>
      <c r="N156" s="37"/>
      <c r="O156" s="37"/>
      <c r="P156" s="37"/>
      <c r="Q156" s="37"/>
      <c r="R156" s="38"/>
      <c r="S156" s="39"/>
      <c r="T156" s="37"/>
      <c r="U156" s="37"/>
      <c r="V156" s="37"/>
      <c r="W156" s="37"/>
      <c r="X156" s="37"/>
      <c r="Y156" s="38"/>
      <c r="Z156" s="39"/>
      <c r="AA156" s="37"/>
      <c r="AB156" s="37"/>
      <c r="AC156" s="37"/>
      <c r="AD156" s="37"/>
      <c r="AE156" s="37"/>
      <c r="AF156" s="38"/>
      <c r="AG156" s="39"/>
      <c r="AH156" s="93"/>
      <c r="AI156" s="73">
        <f>COUNTA($C156:$AG156)</f>
        <v>0</v>
      </c>
    </row>
    <row r="157" spans="1:35" ht="15" hidden="1" customHeight="1" outlineLevel="1">
      <c r="A157" s="223"/>
      <c r="B157" s="294"/>
      <c r="C157" s="294"/>
      <c r="D157" s="41" t="str">
        <f t="shared" ref="D157" si="512">IF(ISERROR(VLOOKUP(D156,$K$394:$W$428,9,FALSE)),"",VLOOKUP(D156,$K$394:$W$428,9,FALSE))</f>
        <v/>
      </c>
      <c r="E157" s="42"/>
      <c r="F157" s="40" t="str">
        <f t="shared" ref="F157:K157" si="513">IF(ISERROR(VLOOKUP(F156,$K$394:$W$428,9,FALSE)),"",VLOOKUP(F156,$K$394:$W$428,9,FALSE))</f>
        <v/>
      </c>
      <c r="G157" s="40" t="str">
        <f t="shared" si="513"/>
        <v/>
      </c>
      <c r="H157" s="40" t="str">
        <f t="shared" si="513"/>
        <v/>
      </c>
      <c r="I157" s="40" t="str">
        <f t="shared" si="513"/>
        <v/>
      </c>
      <c r="J157" s="40" t="str">
        <f t="shared" si="513"/>
        <v/>
      </c>
      <c r="K157" s="41" t="str">
        <f t="shared" si="513"/>
        <v/>
      </c>
      <c r="L157" s="42"/>
      <c r="M157" s="40" t="str">
        <f t="shared" ref="M157:R157" si="514">IF(ISERROR(VLOOKUP(M156,$K$394:$W$428,9,FALSE)),"",VLOOKUP(M156,$K$394:$W$428,9,FALSE))</f>
        <v/>
      </c>
      <c r="N157" s="40" t="str">
        <f t="shared" si="514"/>
        <v/>
      </c>
      <c r="O157" s="40" t="str">
        <f t="shared" si="514"/>
        <v/>
      </c>
      <c r="P157" s="40" t="str">
        <f t="shared" si="514"/>
        <v/>
      </c>
      <c r="Q157" s="40" t="str">
        <f t="shared" si="514"/>
        <v/>
      </c>
      <c r="R157" s="41" t="str">
        <f t="shared" si="514"/>
        <v/>
      </c>
      <c r="S157" s="42"/>
      <c r="T157" s="40" t="str">
        <f t="shared" ref="T157:Y157" si="515">IF(ISERROR(VLOOKUP(T156,$K$394:$W$428,9,FALSE)),"",VLOOKUP(T156,$K$394:$W$428,9,FALSE))</f>
        <v/>
      </c>
      <c r="U157" s="40" t="str">
        <f t="shared" si="515"/>
        <v/>
      </c>
      <c r="V157" s="40" t="str">
        <f t="shared" si="515"/>
        <v/>
      </c>
      <c r="W157" s="40" t="str">
        <f t="shared" si="515"/>
        <v/>
      </c>
      <c r="X157" s="40" t="str">
        <f t="shared" si="515"/>
        <v/>
      </c>
      <c r="Y157" s="41" t="str">
        <f t="shared" si="515"/>
        <v/>
      </c>
      <c r="Z157" s="42"/>
      <c r="AA157" s="40" t="str">
        <f t="shared" ref="AA157:AF157" si="516">IF(ISERROR(VLOOKUP(AA156,$K$394:$W$428,9,FALSE)),"",VLOOKUP(AA156,$K$394:$W$428,9,FALSE))</f>
        <v/>
      </c>
      <c r="AB157" s="40" t="str">
        <f t="shared" si="516"/>
        <v/>
      </c>
      <c r="AC157" s="40" t="str">
        <f t="shared" si="516"/>
        <v/>
      </c>
      <c r="AD157" s="40" t="str">
        <f t="shared" si="516"/>
        <v/>
      </c>
      <c r="AE157" s="40" t="str">
        <f t="shared" si="516"/>
        <v/>
      </c>
      <c r="AF157" s="41" t="str">
        <f t="shared" si="516"/>
        <v/>
      </c>
      <c r="AG157" s="42"/>
      <c r="AH157" s="97"/>
      <c r="AI157" s="73"/>
    </row>
    <row r="158" spans="1:35" ht="15" hidden="1" customHeight="1" outlineLevel="1">
      <c r="A158" s="221" t="s">
        <v>25</v>
      </c>
      <c r="B158" s="215" t="s">
        <v>19</v>
      </c>
      <c r="C158" s="211"/>
      <c r="D158" s="38"/>
      <c r="E158" s="39"/>
      <c r="F158" s="37"/>
      <c r="G158" s="37"/>
      <c r="H158" s="37"/>
      <c r="I158" s="37"/>
      <c r="J158" s="148" t="s">
        <v>32</v>
      </c>
      <c r="K158" s="38"/>
      <c r="L158" s="39"/>
      <c r="M158" s="104"/>
      <c r="N158" s="37"/>
      <c r="O158" s="37"/>
      <c r="P158" s="37"/>
      <c r="Q158" s="148" t="s">
        <v>32</v>
      </c>
      <c r="R158" s="38"/>
      <c r="S158" s="39"/>
      <c r="T158" s="37"/>
      <c r="U158" s="37"/>
      <c r="V158" s="37"/>
      <c r="W158" s="37"/>
      <c r="X158" s="148" t="s">
        <v>32</v>
      </c>
      <c r="Y158" s="38"/>
      <c r="Z158" s="39"/>
      <c r="AA158" s="37"/>
      <c r="AB158" s="37"/>
      <c r="AC158" s="37"/>
      <c r="AD158" s="37"/>
      <c r="AE158" s="148" t="s">
        <v>32</v>
      </c>
      <c r="AF158" s="38"/>
      <c r="AG158" s="39"/>
      <c r="AH158" s="93"/>
      <c r="AI158" s="73">
        <f>COUNTA($C158:$AG158)</f>
        <v>4</v>
      </c>
    </row>
    <row r="159" spans="1:35" ht="15" hidden="1" customHeight="1" outlineLevel="1">
      <c r="A159" s="293"/>
      <c r="B159" s="293"/>
      <c r="C159" s="294"/>
      <c r="D159" s="41" t="str">
        <f t="shared" ref="D159" si="517">IF(ISERROR(VLOOKUP(D158,$K$394:$W$428,9,FALSE)),"",VLOOKUP(D158,$K$394:$W$428,9,FALSE))</f>
        <v/>
      </c>
      <c r="E159" s="42"/>
      <c r="F159" s="40" t="str">
        <f t="shared" ref="F159:K159" si="518">IF(ISERROR(VLOOKUP(F158,$K$394:$W$428,9,FALSE)),"",VLOOKUP(F158,$K$394:$W$428,9,FALSE))</f>
        <v/>
      </c>
      <c r="G159" s="40" t="str">
        <f t="shared" si="518"/>
        <v/>
      </c>
      <c r="H159" s="40" t="str">
        <f t="shared" si="518"/>
        <v/>
      </c>
      <c r="I159" s="40" t="str">
        <f t="shared" si="518"/>
        <v/>
      </c>
      <c r="J159" s="40">
        <f t="shared" si="518"/>
        <v>96379</v>
      </c>
      <c r="K159" s="41" t="str">
        <f t="shared" si="518"/>
        <v/>
      </c>
      <c r="L159" s="42"/>
      <c r="M159" s="105" t="str">
        <f t="shared" ref="M159" si="519">IF(ISERROR(VLOOKUP(M158,$K$394:$W$428,9,FALSE)),"",VLOOKUP(M158,$K$394:$W$428,9,FALSE))</f>
        <v/>
      </c>
      <c r="N159" s="40" t="str">
        <f t="shared" ref="N159:R159" si="520">IF(ISERROR(VLOOKUP(N158,$K$394:$W$428,9,FALSE)),"",VLOOKUP(N158,$K$394:$W$428,9,FALSE))</f>
        <v/>
      </c>
      <c r="O159" s="40" t="str">
        <f t="shared" si="520"/>
        <v/>
      </c>
      <c r="P159" s="40" t="str">
        <f t="shared" si="520"/>
        <v/>
      </c>
      <c r="Q159" s="40">
        <f t="shared" si="520"/>
        <v>96379</v>
      </c>
      <c r="R159" s="41" t="str">
        <f t="shared" si="520"/>
        <v/>
      </c>
      <c r="S159" s="42"/>
      <c r="T159" s="40" t="str">
        <f t="shared" ref="T159:Y159" si="521">IF(ISERROR(VLOOKUP(T158,$K$394:$W$428,9,FALSE)),"",VLOOKUP(T158,$K$394:$W$428,9,FALSE))</f>
        <v/>
      </c>
      <c r="U159" s="40" t="str">
        <f t="shared" si="521"/>
        <v/>
      </c>
      <c r="V159" s="40" t="str">
        <f t="shared" si="521"/>
        <v/>
      </c>
      <c r="W159" s="40" t="str">
        <f t="shared" ref="W159" si="522">IF(ISERROR(VLOOKUP(W158,$K$394:$W$428,9,FALSE)),"",VLOOKUP(W158,$K$394:$W$428,9,FALSE))</f>
        <v/>
      </c>
      <c r="X159" s="40">
        <f t="shared" si="521"/>
        <v>96379</v>
      </c>
      <c r="Y159" s="41" t="str">
        <f t="shared" si="521"/>
        <v/>
      </c>
      <c r="Z159" s="42"/>
      <c r="AA159" s="40" t="str">
        <f t="shared" ref="AA159:AF159" si="523">IF(ISERROR(VLOOKUP(AA158,$K$394:$W$428,9,FALSE)),"",VLOOKUP(AA158,$K$394:$W$428,9,FALSE))</f>
        <v/>
      </c>
      <c r="AB159" s="40" t="str">
        <f t="shared" si="523"/>
        <v/>
      </c>
      <c r="AC159" s="40" t="str">
        <f t="shared" si="523"/>
        <v/>
      </c>
      <c r="AD159" s="40" t="str">
        <f t="shared" si="523"/>
        <v/>
      </c>
      <c r="AE159" s="40">
        <f t="shared" si="523"/>
        <v>96379</v>
      </c>
      <c r="AF159" s="41" t="str">
        <f t="shared" si="523"/>
        <v/>
      </c>
      <c r="AG159" s="42"/>
      <c r="AH159" s="97"/>
      <c r="AI159" s="73"/>
    </row>
    <row r="160" spans="1:35" ht="15" hidden="1" customHeight="1" outlineLevel="1">
      <c r="A160" s="293"/>
      <c r="B160" s="216" t="s">
        <v>20</v>
      </c>
      <c r="C160" s="211"/>
      <c r="D160" s="38"/>
      <c r="E160" s="39"/>
      <c r="F160" s="37"/>
      <c r="G160" s="37"/>
      <c r="H160" s="37"/>
      <c r="I160" s="37"/>
      <c r="J160" s="148" t="s">
        <v>32</v>
      </c>
      <c r="K160" s="38"/>
      <c r="L160" s="39"/>
      <c r="M160" s="104"/>
      <c r="N160" s="37"/>
      <c r="O160" s="37"/>
      <c r="P160" s="37"/>
      <c r="Q160" s="148" t="s">
        <v>32</v>
      </c>
      <c r="R160" s="38"/>
      <c r="S160" s="39"/>
      <c r="T160" s="37"/>
      <c r="U160" s="37"/>
      <c r="V160" s="37"/>
      <c r="W160" s="37"/>
      <c r="X160" s="148" t="s">
        <v>32</v>
      </c>
      <c r="Y160" s="38"/>
      <c r="Z160" s="39"/>
      <c r="AA160" s="37"/>
      <c r="AB160" s="37"/>
      <c r="AC160" s="37"/>
      <c r="AD160" s="37"/>
      <c r="AE160" s="148" t="s">
        <v>32</v>
      </c>
      <c r="AF160" s="38"/>
      <c r="AG160" s="39"/>
      <c r="AH160" s="93"/>
      <c r="AI160" s="73">
        <f>COUNTA($C160:$AG160)</f>
        <v>4</v>
      </c>
    </row>
    <row r="161" spans="1:35" ht="15" hidden="1" customHeight="1" outlineLevel="1">
      <c r="A161" s="293"/>
      <c r="B161" s="294"/>
      <c r="C161" s="294"/>
      <c r="D161" s="95" t="str">
        <f t="shared" ref="D161" si="524">IF(ISERROR(VLOOKUP(D160,$K$394:$W$428,9,FALSE)),"",VLOOKUP(D160,$K$394:$W$428,9,FALSE))</f>
        <v/>
      </c>
      <c r="E161" s="96"/>
      <c r="F161" s="94" t="str">
        <f t="shared" ref="F161:K161" si="525">IF(ISERROR(VLOOKUP(F160,$K$394:$W$428,9,FALSE)),"",VLOOKUP(F160,$K$394:$W$428,9,FALSE))</f>
        <v/>
      </c>
      <c r="G161" s="94" t="str">
        <f t="shared" si="525"/>
        <v/>
      </c>
      <c r="H161" s="94" t="str">
        <f t="shared" si="525"/>
        <v/>
      </c>
      <c r="I161" s="94" t="str">
        <f t="shared" si="525"/>
        <v/>
      </c>
      <c r="J161" s="40">
        <f t="shared" si="525"/>
        <v>96379</v>
      </c>
      <c r="K161" s="95" t="str">
        <f t="shared" si="525"/>
        <v/>
      </c>
      <c r="L161" s="96"/>
      <c r="M161" s="106" t="str">
        <f t="shared" ref="M161" si="526">IF(ISERROR(VLOOKUP(M160,$K$394:$W$428,9,FALSE)),"",VLOOKUP(M160,$K$394:$W$428,9,FALSE))</f>
        <v/>
      </c>
      <c r="N161" s="94" t="str">
        <f t="shared" ref="N161:R161" si="527">IF(ISERROR(VLOOKUP(N160,$K$394:$W$428,9,FALSE)),"",VLOOKUP(N160,$K$394:$W$428,9,FALSE))</f>
        <v/>
      </c>
      <c r="O161" s="94" t="str">
        <f t="shared" si="527"/>
        <v/>
      </c>
      <c r="P161" s="94" t="str">
        <f t="shared" si="527"/>
        <v/>
      </c>
      <c r="Q161" s="40">
        <f t="shared" si="527"/>
        <v>96379</v>
      </c>
      <c r="R161" s="95" t="str">
        <f t="shared" si="527"/>
        <v/>
      </c>
      <c r="S161" s="96"/>
      <c r="T161" s="94" t="str">
        <f t="shared" ref="T161:Y161" si="528">IF(ISERROR(VLOOKUP(T160,$K$394:$W$428,9,FALSE)),"",VLOOKUP(T160,$K$394:$W$428,9,FALSE))</f>
        <v/>
      </c>
      <c r="U161" s="94" t="str">
        <f t="shared" si="528"/>
        <v/>
      </c>
      <c r="V161" s="94" t="str">
        <f t="shared" si="528"/>
        <v/>
      </c>
      <c r="W161" s="94" t="str">
        <f t="shared" ref="W161" si="529">IF(ISERROR(VLOOKUP(W160,$K$394:$W$428,9,FALSE)),"",VLOOKUP(W160,$K$394:$W$428,9,FALSE))</f>
        <v/>
      </c>
      <c r="X161" s="40">
        <f t="shared" si="528"/>
        <v>96379</v>
      </c>
      <c r="Y161" s="95" t="str">
        <f t="shared" si="528"/>
        <v/>
      </c>
      <c r="Z161" s="96"/>
      <c r="AA161" s="94" t="str">
        <f t="shared" ref="AA161:AF161" si="530">IF(ISERROR(VLOOKUP(AA160,$K$394:$W$428,9,FALSE)),"",VLOOKUP(AA160,$K$394:$W$428,9,FALSE))</f>
        <v/>
      </c>
      <c r="AB161" s="94" t="str">
        <f t="shared" si="530"/>
        <v/>
      </c>
      <c r="AC161" s="94" t="str">
        <f t="shared" si="530"/>
        <v/>
      </c>
      <c r="AD161" s="94" t="str">
        <f t="shared" si="530"/>
        <v/>
      </c>
      <c r="AE161" s="40">
        <f t="shared" si="530"/>
        <v>96379</v>
      </c>
      <c r="AF161" s="95" t="str">
        <f t="shared" si="530"/>
        <v/>
      </c>
      <c r="AG161" s="96"/>
      <c r="AH161" s="97"/>
      <c r="AI161" s="73"/>
    </row>
    <row r="162" spans="1:35" ht="15" hidden="1" customHeight="1" outlineLevel="1">
      <c r="A162" s="293"/>
      <c r="B162" s="216" t="s">
        <v>21</v>
      </c>
      <c r="C162" s="211"/>
      <c r="D162" s="38"/>
      <c r="E162" s="39"/>
      <c r="F162" s="37"/>
      <c r="G162" s="37"/>
      <c r="H162" s="37"/>
      <c r="I162" s="37"/>
      <c r="J162" s="148" t="s">
        <v>32</v>
      </c>
      <c r="K162" s="38"/>
      <c r="L162" s="39"/>
      <c r="M162" s="104"/>
      <c r="N162" s="37"/>
      <c r="O162" s="37"/>
      <c r="P162" s="37"/>
      <c r="Q162" s="148" t="s">
        <v>32</v>
      </c>
      <c r="R162" s="38"/>
      <c r="S162" s="39"/>
      <c r="T162" s="37"/>
      <c r="U162" s="37"/>
      <c r="V162" s="37"/>
      <c r="W162" s="37"/>
      <c r="X162" s="148" t="s">
        <v>32</v>
      </c>
      <c r="Y162" s="38"/>
      <c r="Z162" s="39"/>
      <c r="AA162" s="37"/>
      <c r="AB162" s="37"/>
      <c r="AC162" s="37"/>
      <c r="AD162" s="37"/>
      <c r="AE162" s="148" t="s">
        <v>32</v>
      </c>
      <c r="AF162" s="38"/>
      <c r="AG162" s="39"/>
      <c r="AH162" s="93"/>
      <c r="AI162" s="73">
        <f>COUNTA($C162:$AG162)</f>
        <v>4</v>
      </c>
    </row>
    <row r="163" spans="1:35" ht="15" hidden="1" customHeight="1" outlineLevel="1">
      <c r="A163" s="293"/>
      <c r="B163" s="294"/>
      <c r="C163" s="294"/>
      <c r="D163" s="41" t="str">
        <f t="shared" ref="D163" si="531">IF(ISERROR(VLOOKUP(D162,$K$394:$W$428,9,FALSE)),"",VLOOKUP(D162,$K$394:$W$428,9,FALSE))</f>
        <v/>
      </c>
      <c r="E163" s="42"/>
      <c r="F163" s="40" t="str">
        <f t="shared" ref="F163:K163" si="532">IF(ISERROR(VLOOKUP(F162,$K$394:$W$428,9,FALSE)),"",VLOOKUP(F162,$K$394:$W$428,9,FALSE))</f>
        <v/>
      </c>
      <c r="G163" s="40" t="str">
        <f t="shared" si="532"/>
        <v/>
      </c>
      <c r="H163" s="40" t="str">
        <f t="shared" si="532"/>
        <v/>
      </c>
      <c r="I163" s="40" t="str">
        <f t="shared" si="532"/>
        <v/>
      </c>
      <c r="J163" s="40">
        <f t="shared" si="532"/>
        <v>96379</v>
      </c>
      <c r="K163" s="41" t="str">
        <f t="shared" si="532"/>
        <v/>
      </c>
      <c r="L163" s="42"/>
      <c r="M163" s="105" t="str">
        <f t="shared" ref="M163" si="533">IF(ISERROR(VLOOKUP(M162,$K$394:$W$428,9,FALSE)),"",VLOOKUP(M162,$K$394:$W$428,9,FALSE))</f>
        <v/>
      </c>
      <c r="N163" s="40" t="str">
        <f t="shared" ref="N163:R163" si="534">IF(ISERROR(VLOOKUP(N162,$K$394:$W$428,9,FALSE)),"",VLOOKUP(N162,$K$394:$W$428,9,FALSE))</f>
        <v/>
      </c>
      <c r="O163" s="40" t="str">
        <f t="shared" si="534"/>
        <v/>
      </c>
      <c r="P163" s="40" t="str">
        <f t="shared" si="534"/>
        <v/>
      </c>
      <c r="Q163" s="40">
        <f t="shared" si="534"/>
        <v>96379</v>
      </c>
      <c r="R163" s="41" t="str">
        <f t="shared" si="534"/>
        <v/>
      </c>
      <c r="S163" s="42"/>
      <c r="T163" s="40" t="str">
        <f t="shared" ref="T163:Y163" si="535">IF(ISERROR(VLOOKUP(T162,$K$394:$W$428,9,FALSE)),"",VLOOKUP(T162,$K$394:$W$428,9,FALSE))</f>
        <v/>
      </c>
      <c r="U163" s="40" t="str">
        <f t="shared" si="535"/>
        <v/>
      </c>
      <c r="V163" s="40" t="str">
        <f t="shared" si="535"/>
        <v/>
      </c>
      <c r="W163" s="40" t="str">
        <f t="shared" ref="W163" si="536">IF(ISERROR(VLOOKUP(W162,$K$394:$W$428,9,FALSE)),"",VLOOKUP(W162,$K$394:$W$428,9,FALSE))</f>
        <v/>
      </c>
      <c r="X163" s="40">
        <f t="shared" si="535"/>
        <v>96379</v>
      </c>
      <c r="Y163" s="41" t="str">
        <f t="shared" si="535"/>
        <v/>
      </c>
      <c r="Z163" s="42"/>
      <c r="AA163" s="40" t="str">
        <f t="shared" ref="AA163:AF163" si="537">IF(ISERROR(VLOOKUP(AA162,$K$394:$W$428,9,FALSE)),"",VLOOKUP(AA162,$K$394:$W$428,9,FALSE))</f>
        <v/>
      </c>
      <c r="AB163" s="40" t="str">
        <f t="shared" si="537"/>
        <v/>
      </c>
      <c r="AC163" s="40" t="str">
        <f t="shared" si="537"/>
        <v/>
      </c>
      <c r="AD163" s="40" t="str">
        <f t="shared" si="537"/>
        <v/>
      </c>
      <c r="AE163" s="40">
        <f t="shared" si="537"/>
        <v>96379</v>
      </c>
      <c r="AF163" s="41" t="str">
        <f t="shared" si="537"/>
        <v/>
      </c>
      <c r="AG163" s="42"/>
      <c r="AH163" s="97"/>
      <c r="AI163" s="73"/>
    </row>
    <row r="164" spans="1:35" ht="15" hidden="1" customHeight="1" outlineLevel="1">
      <c r="A164" s="293"/>
      <c r="B164" s="215" t="s">
        <v>22</v>
      </c>
      <c r="C164" s="211"/>
      <c r="D164" s="99"/>
      <c r="E164" s="100"/>
      <c r="F164" s="98"/>
      <c r="G164" s="98"/>
      <c r="H164" s="98"/>
      <c r="I164" s="98"/>
      <c r="J164" s="98"/>
      <c r="K164" s="99"/>
      <c r="L164" s="100"/>
      <c r="M164" s="107"/>
      <c r="N164" s="98"/>
      <c r="O164" s="98"/>
      <c r="P164" s="98"/>
      <c r="Q164" s="98"/>
      <c r="R164" s="99"/>
      <c r="S164" s="100"/>
      <c r="T164" s="98"/>
      <c r="U164" s="98"/>
      <c r="V164" s="98"/>
      <c r="W164" s="98"/>
      <c r="X164" s="98"/>
      <c r="Y164" s="99"/>
      <c r="Z164" s="100"/>
      <c r="AA164" s="98"/>
      <c r="AB164" s="98"/>
      <c r="AC164" s="98"/>
      <c r="AD164" s="98"/>
      <c r="AE164" s="98"/>
      <c r="AF164" s="99"/>
      <c r="AG164" s="100"/>
      <c r="AH164" s="93"/>
      <c r="AI164" s="73">
        <f>COUNTA($C164:$AG164)</f>
        <v>0</v>
      </c>
    </row>
    <row r="165" spans="1:35" ht="15" hidden="1" customHeight="1" outlineLevel="1">
      <c r="A165" s="295"/>
      <c r="B165" s="295"/>
      <c r="C165" s="295"/>
      <c r="D165" s="44" t="str">
        <f t="shared" ref="D165" si="538">IF(ISERROR(VLOOKUP(D164,$K$394:$W$428,9,FALSE)),"",VLOOKUP(D164,$K$394:$W$428,9,FALSE))</f>
        <v/>
      </c>
      <c r="E165" s="45"/>
      <c r="F165" s="43" t="str">
        <f t="shared" ref="F165:K165" si="539">IF(ISERROR(VLOOKUP(F164,$K$394:$W$428,9,FALSE)),"",VLOOKUP(F164,$K$394:$W$428,9,FALSE))</f>
        <v/>
      </c>
      <c r="G165" s="43" t="str">
        <f t="shared" si="539"/>
        <v/>
      </c>
      <c r="H165" s="43" t="str">
        <f t="shared" si="539"/>
        <v/>
      </c>
      <c r="I165" s="43" t="str">
        <f t="shared" si="539"/>
        <v/>
      </c>
      <c r="J165" s="43" t="str">
        <f t="shared" si="539"/>
        <v/>
      </c>
      <c r="K165" s="44" t="str">
        <f t="shared" si="539"/>
        <v/>
      </c>
      <c r="L165" s="45"/>
      <c r="M165" s="108" t="str">
        <f t="shared" ref="M165" si="540">IF(ISERROR(VLOOKUP(M164,$K$394:$W$428,9,FALSE)),"",VLOOKUP(M164,$K$394:$W$428,9,FALSE))</f>
        <v/>
      </c>
      <c r="N165" s="43" t="str">
        <f t="shared" ref="N165:R165" si="541">IF(ISERROR(VLOOKUP(N164,$K$394:$W$428,9,FALSE)),"",VLOOKUP(N164,$K$394:$W$428,9,FALSE))</f>
        <v/>
      </c>
      <c r="O165" s="43" t="str">
        <f t="shared" si="541"/>
        <v/>
      </c>
      <c r="P165" s="43" t="str">
        <f t="shared" si="541"/>
        <v/>
      </c>
      <c r="Q165" s="43" t="str">
        <f t="shared" si="541"/>
        <v/>
      </c>
      <c r="R165" s="44" t="str">
        <f t="shared" si="541"/>
        <v/>
      </c>
      <c r="S165" s="45"/>
      <c r="T165" s="43" t="str">
        <f t="shared" ref="T165:Y165" si="542">IF(ISERROR(VLOOKUP(T164,$K$394:$W$428,9,FALSE)),"",VLOOKUP(T164,$K$394:$W$428,9,FALSE))</f>
        <v/>
      </c>
      <c r="U165" s="43" t="str">
        <f t="shared" si="542"/>
        <v/>
      </c>
      <c r="V165" s="43" t="str">
        <f t="shared" si="542"/>
        <v/>
      </c>
      <c r="W165" s="43" t="str">
        <f t="shared" si="542"/>
        <v/>
      </c>
      <c r="X165" s="43" t="str">
        <f t="shared" si="542"/>
        <v/>
      </c>
      <c r="Y165" s="44" t="str">
        <f t="shared" si="542"/>
        <v/>
      </c>
      <c r="Z165" s="45"/>
      <c r="AA165" s="43" t="str">
        <f t="shared" ref="AA165:AF165" si="543">IF(ISERROR(VLOOKUP(AA164,$K$394:$W$428,9,FALSE)),"",VLOOKUP(AA164,$K$394:$W$428,9,FALSE))</f>
        <v/>
      </c>
      <c r="AB165" s="43" t="str">
        <f t="shared" si="543"/>
        <v/>
      </c>
      <c r="AC165" s="43" t="str">
        <f t="shared" si="543"/>
        <v/>
      </c>
      <c r="AD165" s="43" t="str">
        <f t="shared" si="543"/>
        <v/>
      </c>
      <c r="AE165" s="43" t="str">
        <f t="shared" si="543"/>
        <v/>
      </c>
      <c r="AF165" s="44" t="str">
        <f t="shared" si="543"/>
        <v/>
      </c>
      <c r="AG165" s="45"/>
      <c r="AH165" s="97"/>
      <c r="AI165" s="73"/>
    </row>
    <row r="166" spans="1:35" ht="15" hidden="1" customHeight="1" collapsed="1">
      <c r="A166" s="46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31"/>
      <c r="Y166" s="1"/>
      <c r="Z166" s="1"/>
      <c r="AA166" s="31"/>
      <c r="AB166" s="31"/>
      <c r="AC166" s="31"/>
      <c r="AD166" s="31"/>
      <c r="AE166" s="31"/>
      <c r="AF166" s="1"/>
      <c r="AG166" s="1"/>
      <c r="AH166" s="21"/>
      <c r="AI166" s="70"/>
    </row>
    <row r="167" spans="1:35" ht="23.25" hidden="1" customHeight="1" outlineLevel="1">
      <c r="A167" s="218">
        <f>A135+31</f>
        <v>46174</v>
      </c>
      <c r="B167" s="219"/>
      <c r="C167" s="219"/>
      <c r="D167" s="219"/>
      <c r="E167" s="219"/>
      <c r="F167" s="219"/>
      <c r="G167" s="219"/>
      <c r="H167" s="219"/>
      <c r="I167" s="219"/>
      <c r="J167" s="219"/>
      <c r="K167" s="219"/>
      <c r="L167" s="219"/>
      <c r="M167" s="220"/>
      <c r="N167" s="213" t="s">
        <v>14</v>
      </c>
      <c r="O167" s="214"/>
      <c r="P167" s="214"/>
      <c r="Q167" s="214"/>
      <c r="R167" s="68">
        <v>19</v>
      </c>
      <c r="S167" s="212" t="s">
        <v>15</v>
      </c>
      <c r="T167" s="212"/>
      <c r="U167" s="212"/>
      <c r="V167" s="212"/>
      <c r="W167" s="69">
        <f>SUM(AI170:AI197)</f>
        <v>113</v>
      </c>
      <c r="X167" s="212" t="s">
        <v>16</v>
      </c>
      <c r="Y167" s="212"/>
      <c r="Z167" s="212"/>
      <c r="AA167" s="212"/>
      <c r="AB167" s="69">
        <f>IF($M$2="Mensalista",R167*8,IF($M$2="Horista",90,IF($M$2="Intermitente",(ROUNDDOWN((R167*8*0.909),0)),"")))</f>
        <v>152</v>
      </c>
      <c r="AC167" s="212" t="s">
        <v>17</v>
      </c>
      <c r="AD167" s="245"/>
      <c r="AE167" s="245"/>
      <c r="AF167" s="246">
        <f>IF($M$2="","",IF($M$2="RSA","",W167/AB167))</f>
        <v>0.74342105263157898</v>
      </c>
      <c r="AG167" s="289"/>
      <c r="AH167" s="101"/>
      <c r="AI167" s="70"/>
    </row>
    <row r="168" spans="1:35" ht="15" hidden="1" customHeight="1" outlineLevel="1">
      <c r="A168" s="217"/>
      <c r="B168" s="290"/>
      <c r="C168" s="47">
        <f>A167</f>
        <v>46174</v>
      </c>
      <c r="D168" s="32">
        <f t="shared" ref="D168:AF168" si="544">C168+1</f>
        <v>46175</v>
      </c>
      <c r="E168" s="32">
        <f t="shared" si="544"/>
        <v>46176</v>
      </c>
      <c r="F168" s="32">
        <f t="shared" si="544"/>
        <v>46177</v>
      </c>
      <c r="G168" s="32">
        <f t="shared" si="544"/>
        <v>46178</v>
      </c>
      <c r="H168" s="33">
        <f t="shared" si="544"/>
        <v>46179</v>
      </c>
      <c r="I168" s="34">
        <f t="shared" si="544"/>
        <v>46180</v>
      </c>
      <c r="J168" s="32">
        <f t="shared" si="544"/>
        <v>46181</v>
      </c>
      <c r="K168" s="32">
        <f t="shared" si="544"/>
        <v>46182</v>
      </c>
      <c r="L168" s="32">
        <f t="shared" si="544"/>
        <v>46183</v>
      </c>
      <c r="M168" s="32">
        <f t="shared" si="544"/>
        <v>46184</v>
      </c>
      <c r="N168" s="32">
        <f t="shared" si="544"/>
        <v>46185</v>
      </c>
      <c r="O168" s="33">
        <f t="shared" si="544"/>
        <v>46186</v>
      </c>
      <c r="P168" s="34">
        <f t="shared" si="544"/>
        <v>46187</v>
      </c>
      <c r="Q168" s="32">
        <f t="shared" si="544"/>
        <v>46188</v>
      </c>
      <c r="R168" s="32">
        <f t="shared" si="544"/>
        <v>46189</v>
      </c>
      <c r="S168" s="32">
        <f t="shared" si="544"/>
        <v>46190</v>
      </c>
      <c r="T168" s="32">
        <f t="shared" si="544"/>
        <v>46191</v>
      </c>
      <c r="U168" s="32">
        <f t="shared" si="544"/>
        <v>46192</v>
      </c>
      <c r="V168" s="33">
        <f t="shared" si="544"/>
        <v>46193</v>
      </c>
      <c r="W168" s="34">
        <f t="shared" si="544"/>
        <v>46194</v>
      </c>
      <c r="X168" s="32">
        <f t="shared" si="544"/>
        <v>46195</v>
      </c>
      <c r="Y168" s="32">
        <f t="shared" si="544"/>
        <v>46196</v>
      </c>
      <c r="Z168" s="32">
        <f t="shared" si="544"/>
        <v>46197</v>
      </c>
      <c r="AA168" s="32">
        <f t="shared" si="544"/>
        <v>46198</v>
      </c>
      <c r="AB168" s="32">
        <f t="shared" si="544"/>
        <v>46199</v>
      </c>
      <c r="AC168" s="33">
        <f t="shared" si="544"/>
        <v>46200</v>
      </c>
      <c r="AD168" s="34">
        <f t="shared" si="544"/>
        <v>46201</v>
      </c>
      <c r="AE168" s="32">
        <f t="shared" si="544"/>
        <v>46202</v>
      </c>
      <c r="AF168" s="32">
        <f t="shared" si="544"/>
        <v>46203</v>
      </c>
      <c r="AG168" s="247"/>
      <c r="AH168" s="90"/>
      <c r="AI168" s="71"/>
    </row>
    <row r="169" spans="1:35" ht="15.75" hidden="1" customHeight="1" outlineLevel="1">
      <c r="A169" s="291"/>
      <c r="B169" s="292"/>
      <c r="C169" s="48">
        <f>A167</f>
        <v>46174</v>
      </c>
      <c r="D169" s="91">
        <f t="shared" ref="D169:AF169" si="545">C169+1</f>
        <v>46175</v>
      </c>
      <c r="E169" s="91">
        <f t="shared" si="545"/>
        <v>46176</v>
      </c>
      <c r="F169" s="91">
        <f t="shared" si="545"/>
        <v>46177</v>
      </c>
      <c r="G169" s="91">
        <f t="shared" si="545"/>
        <v>46178</v>
      </c>
      <c r="H169" s="35">
        <f t="shared" si="545"/>
        <v>46179</v>
      </c>
      <c r="I169" s="36">
        <f t="shared" si="545"/>
        <v>46180</v>
      </c>
      <c r="J169" s="91">
        <f t="shared" si="545"/>
        <v>46181</v>
      </c>
      <c r="K169" s="91">
        <f t="shared" si="545"/>
        <v>46182</v>
      </c>
      <c r="L169" s="91">
        <f t="shared" si="545"/>
        <v>46183</v>
      </c>
      <c r="M169" s="91">
        <f t="shared" si="545"/>
        <v>46184</v>
      </c>
      <c r="N169" s="91">
        <f t="shared" si="545"/>
        <v>46185</v>
      </c>
      <c r="O169" s="35">
        <f t="shared" si="545"/>
        <v>46186</v>
      </c>
      <c r="P169" s="36">
        <f t="shared" si="545"/>
        <v>46187</v>
      </c>
      <c r="Q169" s="91">
        <f t="shared" si="545"/>
        <v>46188</v>
      </c>
      <c r="R169" s="91">
        <f t="shared" si="545"/>
        <v>46189</v>
      </c>
      <c r="S169" s="91">
        <f t="shared" si="545"/>
        <v>46190</v>
      </c>
      <c r="T169" s="91">
        <f t="shared" si="545"/>
        <v>46191</v>
      </c>
      <c r="U169" s="91">
        <f t="shared" si="545"/>
        <v>46192</v>
      </c>
      <c r="V169" s="35">
        <f t="shared" si="545"/>
        <v>46193</v>
      </c>
      <c r="W169" s="36">
        <f t="shared" si="545"/>
        <v>46194</v>
      </c>
      <c r="X169" s="91">
        <f t="shared" si="545"/>
        <v>46195</v>
      </c>
      <c r="Y169" s="91">
        <f t="shared" si="545"/>
        <v>46196</v>
      </c>
      <c r="Z169" s="91">
        <f t="shared" si="545"/>
        <v>46197</v>
      </c>
      <c r="AA169" s="91">
        <f t="shared" si="545"/>
        <v>46198</v>
      </c>
      <c r="AB169" s="91">
        <f t="shared" si="545"/>
        <v>46199</v>
      </c>
      <c r="AC169" s="35">
        <f t="shared" si="545"/>
        <v>46200</v>
      </c>
      <c r="AD169" s="36">
        <f t="shared" si="545"/>
        <v>46201</v>
      </c>
      <c r="AE169" s="91">
        <f t="shared" si="545"/>
        <v>46202</v>
      </c>
      <c r="AF169" s="91">
        <f t="shared" si="545"/>
        <v>46203</v>
      </c>
      <c r="AG169" s="299"/>
      <c r="AH169" s="92"/>
      <c r="AI169" s="70"/>
    </row>
    <row r="170" spans="1:35" ht="15" hidden="1" customHeight="1" outlineLevel="1">
      <c r="A170" s="222" t="s">
        <v>18</v>
      </c>
      <c r="B170" s="215" t="s">
        <v>19</v>
      </c>
      <c r="C170" s="148" t="s">
        <v>35</v>
      </c>
      <c r="D170" s="37" t="s">
        <v>38</v>
      </c>
      <c r="E170" s="144"/>
      <c r="F170" s="211"/>
      <c r="G170" s="37"/>
      <c r="H170" s="38"/>
      <c r="I170" s="39"/>
      <c r="J170" s="148" t="s">
        <v>35</v>
      </c>
      <c r="K170" s="148" t="s">
        <v>35</v>
      </c>
      <c r="L170" s="37"/>
      <c r="M170" s="144"/>
      <c r="N170" s="144"/>
      <c r="O170" s="211"/>
      <c r="P170" s="39"/>
      <c r="Q170" s="157"/>
      <c r="R170" s="148" t="s">
        <v>35</v>
      </c>
      <c r="S170" s="37" t="s">
        <v>38</v>
      </c>
      <c r="T170" s="144"/>
      <c r="U170" s="144"/>
      <c r="V170" s="38"/>
      <c r="W170" s="39"/>
      <c r="X170" s="152"/>
      <c r="Y170" s="211"/>
      <c r="Z170" s="211"/>
      <c r="AA170" s="37"/>
      <c r="AB170" s="37" t="s">
        <v>38</v>
      </c>
      <c r="AC170" s="148" t="s">
        <v>32</v>
      </c>
      <c r="AD170" s="39"/>
      <c r="AE170" s="37"/>
      <c r="AF170" s="37"/>
      <c r="AG170" s="299"/>
      <c r="AH170" s="93"/>
      <c r="AI170" s="71">
        <f>COUNTA($C170:$AF170)</f>
        <v>8</v>
      </c>
    </row>
    <row r="171" spans="1:35" ht="15" hidden="1" customHeight="1" outlineLevel="1">
      <c r="A171" s="221"/>
      <c r="B171" s="293"/>
      <c r="C171" s="94">
        <f t="shared" ref="C171:D171" si="546">IF(ISERROR(VLOOKUP(C170,$K$394:$W$428,9,FALSE)),"",VLOOKUP(C170,$K$394:$W$428,9,FALSE))</f>
        <v>93745</v>
      </c>
      <c r="D171" s="94">
        <f t="shared" si="546"/>
        <v>105342</v>
      </c>
      <c r="E171" s="145" t="str">
        <f t="shared" ref="E171" si="547">IF(ISERROR(VLOOKUP(E170,$K$394:$W$428,9,FALSE)),"",VLOOKUP(E170,$K$394:$W$428,9,FALSE))</f>
        <v/>
      </c>
      <c r="F171" s="294"/>
      <c r="G171" s="94" t="str">
        <f t="shared" ref="G171:H171" si="548">IF(ISERROR(VLOOKUP(G170,$K$394:$W$428,9,FALSE)),"",VLOOKUP(G170,$K$394:$W$428,9,FALSE))</f>
        <v/>
      </c>
      <c r="H171" s="95" t="str">
        <f t="shared" si="548"/>
        <v/>
      </c>
      <c r="I171" s="96"/>
      <c r="J171" s="94">
        <f t="shared" ref="J171" si="549">IF(ISERROR(VLOOKUP(J170,$K$394:$W$428,9,FALSE)),"",VLOOKUP(J170,$K$394:$W$428,9,FALSE))</f>
        <v>93745</v>
      </c>
      <c r="K171" s="94">
        <f t="shared" ref="K171:L171" si="550">IF(ISERROR(VLOOKUP(K170,$K$394:$W$428,9,FALSE)),"",VLOOKUP(K170,$K$394:$W$428,9,FALSE))</f>
        <v>93745</v>
      </c>
      <c r="L171" s="40" t="str">
        <f t="shared" si="550"/>
        <v/>
      </c>
      <c r="M171" s="145" t="str">
        <f t="shared" ref="M171:N171" si="551">IF(ISERROR(VLOOKUP(M170,$K$394:$W$428,9,FALSE)),"",VLOOKUP(M170,$K$394:$W$428,9,FALSE))</f>
        <v/>
      </c>
      <c r="N171" s="145" t="str">
        <f t="shared" si="551"/>
        <v/>
      </c>
      <c r="O171" s="294"/>
      <c r="P171" s="96"/>
      <c r="Q171" s="94"/>
      <c r="R171" s="94">
        <f t="shared" ref="R171" si="552">IF(ISERROR(VLOOKUP(R170,$K$394:$W$428,9,FALSE)),"",VLOOKUP(R170,$K$394:$W$428,9,FALSE))</f>
        <v>93745</v>
      </c>
      <c r="S171" s="94">
        <f t="shared" ref="S171" si="553">IF(ISERROR(VLOOKUP(S170,$K$394:$W$428,9,FALSE)),"",VLOOKUP(S170,$K$394:$W$428,9,FALSE))</f>
        <v>105342</v>
      </c>
      <c r="T171" s="145" t="str">
        <f t="shared" ref="T171:V171" si="554">IF(ISERROR(VLOOKUP(T170,$K$394:$W$428,9,FALSE)),"",VLOOKUP(T170,$K$394:$W$428,9,FALSE))</f>
        <v/>
      </c>
      <c r="U171" s="145" t="str">
        <f t="shared" si="554"/>
        <v/>
      </c>
      <c r="V171" s="95" t="str">
        <f t="shared" si="554"/>
        <v/>
      </c>
      <c r="W171" s="96"/>
      <c r="X171" s="153" t="str">
        <f>IF(ISERROR(VLOOKUP(X170,$K$394:$W$428,9,FALSE)),"",VLOOKUP(X170,$K$394:$W$428,9,FALSE))</f>
        <v/>
      </c>
      <c r="Y171" s="294"/>
      <c r="Z171" s="294"/>
      <c r="AA171" s="94" t="str">
        <f t="shared" ref="AA171:AB171" si="555">IF(ISERROR(VLOOKUP(AA170,$K$394:$W$428,9,FALSE)),"",VLOOKUP(AA170,$K$394:$W$428,9,FALSE))</f>
        <v/>
      </c>
      <c r="AB171" s="94">
        <f t="shared" si="555"/>
        <v>105342</v>
      </c>
      <c r="AC171" s="40">
        <f t="shared" ref="AC171" si="556">IF(ISERROR(VLOOKUP(AC170,$K$394:$W$428,9,FALSE)),"",VLOOKUP(AC170,$K$394:$W$428,9,FALSE))</f>
        <v>96379</v>
      </c>
      <c r="AD171" s="96"/>
      <c r="AE171" s="40" t="str">
        <f t="shared" ref="AE171" si="557">IF(ISERROR(VLOOKUP(AE170,$K$394:$W$428,9,FALSE)),"",VLOOKUP(AE170,$K$394:$W$428,9,FALSE))</f>
        <v/>
      </c>
      <c r="AF171" s="40" t="str">
        <f t="shared" ref="AF171" si="558">IF(ISERROR(VLOOKUP(AF170,$K$394:$W$428,9,FALSE)),"",VLOOKUP(AF170,$K$394:$W$428,9,FALSE))</f>
        <v/>
      </c>
      <c r="AG171" s="299"/>
      <c r="AH171" s="97"/>
      <c r="AI171" s="71"/>
    </row>
    <row r="172" spans="1:35" ht="15" hidden="1" customHeight="1" outlineLevel="1">
      <c r="A172" s="221"/>
      <c r="B172" s="216" t="s">
        <v>20</v>
      </c>
      <c r="C172" s="148" t="s">
        <v>35</v>
      </c>
      <c r="D172" s="37" t="s">
        <v>38</v>
      </c>
      <c r="E172" s="144"/>
      <c r="F172" s="211"/>
      <c r="G172" s="37"/>
      <c r="H172" s="38"/>
      <c r="I172" s="39"/>
      <c r="J172" s="148" t="s">
        <v>35</v>
      </c>
      <c r="K172" s="148" t="s">
        <v>35</v>
      </c>
      <c r="L172" s="37"/>
      <c r="M172" s="144"/>
      <c r="N172" s="144"/>
      <c r="O172" s="211"/>
      <c r="P172" s="39"/>
      <c r="Q172" s="157"/>
      <c r="R172" s="148" t="s">
        <v>35</v>
      </c>
      <c r="S172" s="37" t="s">
        <v>38</v>
      </c>
      <c r="T172" s="144"/>
      <c r="U172" s="144"/>
      <c r="V172" s="38"/>
      <c r="W172" s="39"/>
      <c r="X172" s="152"/>
      <c r="Y172" s="211"/>
      <c r="Z172" s="211"/>
      <c r="AA172" s="37"/>
      <c r="AB172" s="37" t="s">
        <v>38</v>
      </c>
      <c r="AC172" s="148" t="s">
        <v>32</v>
      </c>
      <c r="AD172" s="39"/>
      <c r="AE172" s="37"/>
      <c r="AF172" s="37"/>
      <c r="AG172" s="299"/>
      <c r="AH172" s="93"/>
      <c r="AI172" s="71">
        <f>COUNTA($C172:$AF172)</f>
        <v>8</v>
      </c>
    </row>
    <row r="173" spans="1:35" ht="15" hidden="1" customHeight="1" outlineLevel="1">
      <c r="A173" s="221"/>
      <c r="B173" s="294"/>
      <c r="C173" s="94">
        <f t="shared" ref="C173:D173" si="559">IF(ISERROR(VLOOKUP(C172,$K$394:$W$428,9,FALSE)),"",VLOOKUP(C172,$K$394:$W$428,9,FALSE))</f>
        <v>93745</v>
      </c>
      <c r="D173" s="94">
        <f t="shared" si="559"/>
        <v>105342</v>
      </c>
      <c r="E173" s="145" t="str">
        <f t="shared" ref="E173" si="560">IF(ISERROR(VLOOKUP(E172,$K$394:$W$428,9,FALSE)),"",VLOOKUP(E172,$K$394:$W$428,9,FALSE))</f>
        <v/>
      </c>
      <c r="F173" s="294"/>
      <c r="G173" s="94" t="str">
        <f t="shared" ref="G173:H173" si="561">IF(ISERROR(VLOOKUP(G172,$K$394:$W$428,9,FALSE)),"",VLOOKUP(G172,$K$394:$W$428,9,FALSE))</f>
        <v/>
      </c>
      <c r="H173" s="95" t="str">
        <f t="shared" si="561"/>
        <v/>
      </c>
      <c r="I173" s="96"/>
      <c r="J173" s="94">
        <f t="shared" ref="J173" si="562">IF(ISERROR(VLOOKUP(J172,$K$394:$W$428,9,FALSE)),"",VLOOKUP(J172,$K$394:$W$428,9,FALSE))</f>
        <v>93745</v>
      </c>
      <c r="K173" s="94">
        <f t="shared" ref="K173:L173" si="563">IF(ISERROR(VLOOKUP(K172,$K$394:$W$428,9,FALSE)),"",VLOOKUP(K172,$K$394:$W$428,9,FALSE))</f>
        <v>93745</v>
      </c>
      <c r="L173" s="94" t="str">
        <f t="shared" si="563"/>
        <v/>
      </c>
      <c r="M173" s="145" t="str">
        <f t="shared" ref="M173:N173" si="564">IF(ISERROR(VLOOKUP(M172,$K$394:$W$428,9,FALSE)),"",VLOOKUP(M172,$K$394:$W$428,9,FALSE))</f>
        <v/>
      </c>
      <c r="N173" s="145" t="str">
        <f t="shared" si="564"/>
        <v/>
      </c>
      <c r="O173" s="294"/>
      <c r="P173" s="96"/>
      <c r="Q173" s="94"/>
      <c r="R173" s="94">
        <f t="shared" ref="R173" si="565">IF(ISERROR(VLOOKUP(R172,$K$394:$W$428,9,FALSE)),"",VLOOKUP(R172,$K$394:$W$428,9,FALSE))</f>
        <v>93745</v>
      </c>
      <c r="S173" s="94">
        <f t="shared" ref="S173" si="566">IF(ISERROR(VLOOKUP(S172,$K$394:$W$428,9,FALSE)),"",VLOOKUP(S172,$K$394:$W$428,9,FALSE))</f>
        <v>105342</v>
      </c>
      <c r="T173" s="145" t="str">
        <f t="shared" ref="T173:V173" si="567">IF(ISERROR(VLOOKUP(T172,$K$394:$W$428,9,FALSE)),"",VLOOKUP(T172,$K$394:$W$428,9,FALSE))</f>
        <v/>
      </c>
      <c r="U173" s="145" t="str">
        <f t="shared" si="567"/>
        <v/>
      </c>
      <c r="V173" s="95" t="str">
        <f t="shared" si="567"/>
        <v/>
      </c>
      <c r="W173" s="96"/>
      <c r="X173" s="153" t="str">
        <f>IF(ISERROR(VLOOKUP(X172,$K$394:$W$428,9,FALSE)),"",VLOOKUP(X172,$K$394:$W$428,9,FALSE))</f>
        <v/>
      </c>
      <c r="Y173" s="294"/>
      <c r="Z173" s="294"/>
      <c r="AA173" s="94" t="str">
        <f t="shared" ref="AA173:AB173" si="568">IF(ISERROR(VLOOKUP(AA172,$K$394:$W$428,9,FALSE)),"",VLOOKUP(AA172,$K$394:$W$428,9,FALSE))</f>
        <v/>
      </c>
      <c r="AB173" s="94">
        <f t="shared" si="568"/>
        <v>105342</v>
      </c>
      <c r="AC173" s="40">
        <f t="shared" ref="AC173" si="569">IF(ISERROR(VLOOKUP(AC172,$K$394:$W$428,9,FALSE)),"",VLOOKUP(AC172,$K$394:$W$428,9,FALSE))</f>
        <v>96379</v>
      </c>
      <c r="AD173" s="96"/>
      <c r="AE173" s="94" t="str">
        <f t="shared" ref="AE173" si="570">IF(ISERROR(VLOOKUP(AE172,$K$394:$W$428,9,FALSE)),"",VLOOKUP(AE172,$K$394:$W$428,9,FALSE))</f>
        <v/>
      </c>
      <c r="AF173" s="94" t="str">
        <f t="shared" ref="AF173" si="571">IF(ISERROR(VLOOKUP(AF172,$K$394:$W$428,9,FALSE)),"",VLOOKUP(AF172,$K$394:$W$428,9,FALSE))</f>
        <v/>
      </c>
      <c r="AG173" s="299"/>
      <c r="AH173" s="97"/>
      <c r="AI173" s="71"/>
    </row>
    <row r="174" spans="1:35" ht="15" hidden="1" customHeight="1" outlineLevel="1">
      <c r="A174" s="221"/>
      <c r="B174" s="216" t="s">
        <v>21</v>
      </c>
      <c r="C174" s="148" t="s">
        <v>35</v>
      </c>
      <c r="D174" s="37" t="s">
        <v>38</v>
      </c>
      <c r="E174" s="144"/>
      <c r="F174" s="211"/>
      <c r="G174" s="37"/>
      <c r="H174" s="38"/>
      <c r="I174" s="39"/>
      <c r="J174" s="148" t="s">
        <v>35</v>
      </c>
      <c r="K174" s="148" t="s">
        <v>35</v>
      </c>
      <c r="L174" s="37"/>
      <c r="M174" s="144"/>
      <c r="N174" s="144"/>
      <c r="O174" s="211"/>
      <c r="P174" s="39"/>
      <c r="Q174" s="157"/>
      <c r="R174" s="148" t="s">
        <v>35</v>
      </c>
      <c r="S174" s="37" t="s">
        <v>38</v>
      </c>
      <c r="T174" s="144"/>
      <c r="U174" s="144"/>
      <c r="V174" s="38"/>
      <c r="W174" s="39"/>
      <c r="X174" s="152"/>
      <c r="Y174" s="211"/>
      <c r="Z174" s="211"/>
      <c r="AA174" s="37"/>
      <c r="AB174" s="37" t="s">
        <v>38</v>
      </c>
      <c r="AC174" s="148" t="s">
        <v>32</v>
      </c>
      <c r="AD174" s="39"/>
      <c r="AE174" s="37"/>
      <c r="AF174" s="37"/>
      <c r="AG174" s="299"/>
      <c r="AH174" s="93"/>
      <c r="AI174" s="71">
        <f>COUNTA($C174:$AF174)</f>
        <v>8</v>
      </c>
    </row>
    <row r="175" spans="1:35" ht="15" hidden="1" customHeight="1" outlineLevel="1">
      <c r="A175" s="221"/>
      <c r="B175" s="294"/>
      <c r="C175" s="94">
        <f t="shared" ref="C175:D175" si="572">IF(ISERROR(VLOOKUP(C174,$K$394:$W$428,9,FALSE)),"",VLOOKUP(C174,$K$394:$W$428,9,FALSE))</f>
        <v>93745</v>
      </c>
      <c r="D175" s="94">
        <f t="shared" si="572"/>
        <v>105342</v>
      </c>
      <c r="E175" s="149" t="str">
        <f t="shared" ref="E175" si="573">IF(ISERROR(VLOOKUP(E174,$K$394:$W$428,9,FALSE)),"",VLOOKUP(E174,$K$394:$W$428,9,FALSE))</f>
        <v/>
      </c>
      <c r="F175" s="294"/>
      <c r="G175" s="40" t="str">
        <f t="shared" ref="G175:H175" si="574">IF(ISERROR(VLOOKUP(G174,$K$394:$W$428,9,FALSE)),"",VLOOKUP(G174,$K$394:$W$428,9,FALSE))</f>
        <v/>
      </c>
      <c r="H175" s="41" t="str">
        <f t="shared" si="574"/>
        <v/>
      </c>
      <c r="I175" s="42"/>
      <c r="J175" s="94">
        <f t="shared" ref="J175" si="575">IF(ISERROR(VLOOKUP(J174,$K$394:$W$428,9,FALSE)),"",VLOOKUP(J174,$K$394:$W$428,9,FALSE))</f>
        <v>93745</v>
      </c>
      <c r="K175" s="94">
        <f t="shared" ref="K175:L175" si="576">IF(ISERROR(VLOOKUP(K174,$K$394:$W$428,9,FALSE)),"",VLOOKUP(K174,$K$394:$W$428,9,FALSE))</f>
        <v>93745</v>
      </c>
      <c r="L175" s="40" t="str">
        <f t="shared" si="576"/>
        <v/>
      </c>
      <c r="M175" s="149" t="str">
        <f t="shared" ref="M175:N175" si="577">IF(ISERROR(VLOOKUP(M174,$K$394:$W$428,9,FALSE)),"",VLOOKUP(M174,$K$394:$W$428,9,FALSE))</f>
        <v/>
      </c>
      <c r="N175" s="149" t="str">
        <f t="shared" si="577"/>
        <v/>
      </c>
      <c r="O175" s="294"/>
      <c r="P175" s="42"/>
      <c r="Q175" s="94"/>
      <c r="R175" s="94">
        <f t="shared" ref="R175" si="578">IF(ISERROR(VLOOKUP(R174,$K$394:$W$428,9,FALSE)),"",VLOOKUP(R174,$K$394:$W$428,9,FALSE))</f>
        <v>93745</v>
      </c>
      <c r="S175" s="94">
        <f t="shared" ref="S175" si="579">IF(ISERROR(VLOOKUP(S174,$K$394:$W$428,9,FALSE)),"",VLOOKUP(S174,$K$394:$W$428,9,FALSE))</f>
        <v>105342</v>
      </c>
      <c r="T175" s="149" t="str">
        <f t="shared" ref="T175:V175" si="580">IF(ISERROR(VLOOKUP(T174,$K$394:$W$428,9,FALSE)),"",VLOOKUP(T174,$K$394:$W$428,9,FALSE))</f>
        <v/>
      </c>
      <c r="U175" s="149" t="str">
        <f t="shared" si="580"/>
        <v/>
      </c>
      <c r="V175" s="41" t="str">
        <f t="shared" si="580"/>
        <v/>
      </c>
      <c r="W175" s="42"/>
      <c r="X175" s="154" t="str">
        <f>IF(ISERROR(VLOOKUP(X174,$K$394:$W$428,9,FALSE)),"",VLOOKUP(X174,$K$394:$W$428,9,FALSE))</f>
        <v/>
      </c>
      <c r="Y175" s="294"/>
      <c r="Z175" s="294"/>
      <c r="AA175" s="40" t="str">
        <f t="shared" ref="AA175:AB175" si="581">IF(ISERROR(VLOOKUP(AA174,$K$394:$W$428,9,FALSE)),"",VLOOKUP(AA174,$K$394:$W$428,9,FALSE))</f>
        <v/>
      </c>
      <c r="AB175" s="94">
        <f t="shared" si="581"/>
        <v>105342</v>
      </c>
      <c r="AC175" s="40">
        <f t="shared" ref="AC175" si="582">IF(ISERROR(VLOOKUP(AC174,$K$394:$W$428,9,FALSE)),"",VLOOKUP(AC174,$K$394:$W$428,9,FALSE))</f>
        <v>96379</v>
      </c>
      <c r="AD175" s="42"/>
      <c r="AE175" s="40" t="str">
        <f t="shared" ref="AE175" si="583">IF(ISERROR(VLOOKUP(AE174,$K$394:$W$428,9,FALSE)),"",VLOOKUP(AE174,$K$394:$W$428,9,FALSE))</f>
        <v/>
      </c>
      <c r="AF175" s="40" t="str">
        <f t="shared" ref="AF175" si="584">IF(ISERROR(VLOOKUP(AF174,$K$394:$W$428,9,FALSE)),"",VLOOKUP(AF174,$K$394:$W$428,9,FALSE))</f>
        <v/>
      </c>
      <c r="AG175" s="299"/>
      <c r="AH175" s="97"/>
      <c r="AI175" s="71"/>
    </row>
    <row r="176" spans="1:35" ht="15" hidden="1" customHeight="1" outlineLevel="1">
      <c r="A176" s="221"/>
      <c r="B176" s="216" t="s">
        <v>22</v>
      </c>
      <c r="C176" s="148" t="s">
        <v>35</v>
      </c>
      <c r="D176" s="37" t="s">
        <v>38</v>
      </c>
      <c r="E176" s="144"/>
      <c r="F176" s="211"/>
      <c r="G176" s="37"/>
      <c r="H176" s="38"/>
      <c r="I176" s="39"/>
      <c r="J176" s="148" t="s">
        <v>35</v>
      </c>
      <c r="K176" s="148" t="s">
        <v>35</v>
      </c>
      <c r="L176" s="98"/>
      <c r="M176" s="144"/>
      <c r="N176" s="144"/>
      <c r="O176" s="211"/>
      <c r="P176" s="39"/>
      <c r="Q176" s="157"/>
      <c r="R176" s="148" t="s">
        <v>35</v>
      </c>
      <c r="S176" s="37" t="s">
        <v>38</v>
      </c>
      <c r="T176" s="144"/>
      <c r="U176" s="144"/>
      <c r="V176" s="38"/>
      <c r="W176" s="39"/>
      <c r="X176" s="152"/>
      <c r="Y176" s="211"/>
      <c r="Z176" s="211"/>
      <c r="AA176" s="37"/>
      <c r="AB176" s="37" t="s">
        <v>38</v>
      </c>
      <c r="AC176" s="38"/>
      <c r="AD176" s="39"/>
      <c r="AE176" s="98"/>
      <c r="AF176" s="98"/>
      <c r="AG176" s="299"/>
      <c r="AH176" s="93"/>
      <c r="AI176" s="71">
        <f>COUNTA($C176:$AF176)</f>
        <v>7</v>
      </c>
    </row>
    <row r="177" spans="1:35" ht="15" hidden="1" customHeight="1" outlineLevel="1">
      <c r="A177" s="221"/>
      <c r="B177" s="294"/>
      <c r="C177" s="94">
        <f t="shared" ref="C177:D177" si="585">IF(ISERROR(VLOOKUP(C176,$K$394:$W$428,9,FALSE)),"",VLOOKUP(C176,$K$394:$W$428,9,FALSE))</f>
        <v>93745</v>
      </c>
      <c r="D177" s="94">
        <f t="shared" si="585"/>
        <v>105342</v>
      </c>
      <c r="E177" s="145" t="str">
        <f t="shared" ref="E177" si="586">IF(ISERROR(VLOOKUP(E176,$K$394:$W$428,9,FALSE)),"",VLOOKUP(E176,$K$394:$W$428,9,FALSE))</f>
        <v/>
      </c>
      <c r="F177" s="294"/>
      <c r="G177" s="94" t="str">
        <f t="shared" ref="G177:H177" si="587">IF(ISERROR(VLOOKUP(G176,$K$394:$W$428,9,FALSE)),"",VLOOKUP(G176,$K$394:$W$428,9,FALSE))</f>
        <v/>
      </c>
      <c r="H177" s="95" t="str">
        <f t="shared" si="587"/>
        <v/>
      </c>
      <c r="I177" s="96"/>
      <c r="J177" s="94">
        <f t="shared" ref="J177" si="588">IF(ISERROR(VLOOKUP(J176,$K$394:$W$428,9,FALSE)),"",VLOOKUP(J176,$K$394:$W$428,9,FALSE))</f>
        <v>93745</v>
      </c>
      <c r="K177" s="94">
        <f t="shared" ref="K177:L177" si="589">IF(ISERROR(VLOOKUP(K176,$K$394:$W$428,9,FALSE)),"",VLOOKUP(K176,$K$394:$W$428,9,FALSE))</f>
        <v>93745</v>
      </c>
      <c r="L177" s="43" t="str">
        <f t="shared" si="589"/>
        <v/>
      </c>
      <c r="M177" s="145" t="str">
        <f t="shared" ref="M177:N177" si="590">IF(ISERROR(VLOOKUP(M176,$K$394:$W$428,9,FALSE)),"",VLOOKUP(M176,$K$394:$W$428,9,FALSE))</f>
        <v/>
      </c>
      <c r="N177" s="145" t="str">
        <f t="shared" si="590"/>
        <v/>
      </c>
      <c r="O177" s="294"/>
      <c r="P177" s="96"/>
      <c r="Q177" s="94" t="str">
        <f t="shared" ref="Q177" si="591">IF(ISERROR(VLOOKUP(Q176,$K$394:$W$428,9,FALSE)),"",VLOOKUP(Q176,$K$394:$W$428,9,FALSE))</f>
        <v/>
      </c>
      <c r="R177" s="94">
        <f t="shared" ref="R177" si="592">IF(ISERROR(VLOOKUP(R176,$K$394:$W$428,9,FALSE)),"",VLOOKUP(R176,$K$394:$W$428,9,FALSE))</f>
        <v>93745</v>
      </c>
      <c r="S177" s="94">
        <f t="shared" ref="S177" si="593">IF(ISERROR(VLOOKUP(S176,$K$394:$W$428,9,FALSE)),"",VLOOKUP(S176,$K$394:$W$428,9,FALSE))</f>
        <v>105342</v>
      </c>
      <c r="T177" s="145" t="str">
        <f t="shared" ref="T177:V177" si="594">IF(ISERROR(VLOOKUP(T176,$K$394:$W$428,9,FALSE)),"",VLOOKUP(T176,$K$394:$W$428,9,FALSE))</f>
        <v/>
      </c>
      <c r="U177" s="145" t="str">
        <f t="shared" si="594"/>
        <v/>
      </c>
      <c r="V177" s="95" t="str">
        <f t="shared" si="594"/>
        <v/>
      </c>
      <c r="W177" s="96"/>
      <c r="X177" s="153" t="str">
        <f>IF(ISERROR(VLOOKUP(X176,$K$394:$W$428,9,FALSE)),"",VLOOKUP(X176,$K$394:$W$428,9,FALSE))</f>
        <v/>
      </c>
      <c r="Y177" s="294"/>
      <c r="Z177" s="294"/>
      <c r="AA177" s="94" t="str">
        <f t="shared" ref="AA177:AB177" si="595">IF(ISERROR(VLOOKUP(AA176,$K$394:$W$428,9,FALSE)),"",VLOOKUP(AA176,$K$394:$W$428,9,FALSE))</f>
        <v/>
      </c>
      <c r="AB177" s="94">
        <f t="shared" si="595"/>
        <v>105342</v>
      </c>
      <c r="AC177" s="95" t="str">
        <f t="shared" ref="AC177" si="596">IF(ISERROR(VLOOKUP(AC176,$K$394:$W$428,9,FALSE)),"",VLOOKUP(AC176,$K$394:$W$428,9,FALSE))</f>
        <v/>
      </c>
      <c r="AD177" s="96"/>
      <c r="AE177" s="43" t="str">
        <f t="shared" ref="AE177" si="597">IF(ISERROR(VLOOKUP(AE176,$K$394:$W$428,9,FALSE)),"",VLOOKUP(AE176,$K$394:$W$428,9,FALSE))</f>
        <v/>
      </c>
      <c r="AF177" s="43" t="str">
        <f t="shared" ref="AF177" si="598">IF(ISERROR(VLOOKUP(AF176,$K$394:$W$428,9,FALSE)),"",VLOOKUP(AF176,$K$394:$W$428,9,FALSE))</f>
        <v/>
      </c>
      <c r="AG177" s="299"/>
      <c r="AH177" s="97"/>
      <c r="AI177" s="71"/>
    </row>
    <row r="178" spans="1:35" ht="15" hidden="1" customHeight="1" outlineLevel="1">
      <c r="A178" s="221"/>
      <c r="B178" s="216" t="s">
        <v>23</v>
      </c>
      <c r="C178" s="37"/>
      <c r="D178" s="37"/>
      <c r="E178" s="37"/>
      <c r="F178" s="211"/>
      <c r="G178" s="37"/>
      <c r="H178" s="38"/>
      <c r="I178" s="39"/>
      <c r="J178" s="37"/>
      <c r="K178" s="37"/>
      <c r="L178" s="37"/>
      <c r="M178" s="37"/>
      <c r="N178" s="37"/>
      <c r="O178" s="211"/>
      <c r="P178" s="39"/>
      <c r="Q178" s="37"/>
      <c r="R178" s="37"/>
      <c r="S178" s="37"/>
      <c r="T178" s="37"/>
      <c r="U178" s="37"/>
      <c r="V178" s="38"/>
      <c r="W178" s="39"/>
      <c r="X178" s="152"/>
      <c r="Y178" s="211"/>
      <c r="Z178" s="211"/>
      <c r="AA178" s="37"/>
      <c r="AB178" s="37"/>
      <c r="AC178" s="38"/>
      <c r="AD178" s="39"/>
      <c r="AE178" s="37"/>
      <c r="AF178" s="37"/>
      <c r="AG178" s="299"/>
      <c r="AH178" s="93"/>
      <c r="AI178" s="71">
        <f>COUNTA($C178:$AF178)</f>
        <v>0</v>
      </c>
    </row>
    <row r="179" spans="1:35" ht="15" hidden="1" customHeight="1" outlineLevel="1">
      <c r="A179" s="223"/>
      <c r="B179" s="294"/>
      <c r="C179" s="94"/>
      <c r="D179" s="94" t="str">
        <f t="shared" ref="D179:E179" si="599">IF(ISERROR(VLOOKUP(D178,$K$394:$W$428,9,FALSE)),"",VLOOKUP(D178,$K$394:$W$428,9,FALSE))</f>
        <v/>
      </c>
      <c r="E179" s="94" t="str">
        <f t="shared" si="599"/>
        <v/>
      </c>
      <c r="F179" s="294"/>
      <c r="G179" s="94" t="str">
        <f t="shared" ref="G179:H179" si="600">IF(ISERROR(VLOOKUP(G178,$K$394:$W$428,9,FALSE)),"",VLOOKUP(G178,$K$394:$W$428,9,FALSE))</f>
        <v/>
      </c>
      <c r="H179" s="95" t="str">
        <f t="shared" si="600"/>
        <v/>
      </c>
      <c r="I179" s="96"/>
      <c r="J179" s="94" t="str">
        <f t="shared" ref="J179:N179" si="601">IF(ISERROR(VLOOKUP(J178,$K$394:$W$428,9,FALSE)),"",VLOOKUP(J178,$K$394:$W$428,9,FALSE))</f>
        <v/>
      </c>
      <c r="K179" s="94" t="str">
        <f t="shared" si="601"/>
        <v/>
      </c>
      <c r="L179" s="94" t="str">
        <f t="shared" si="601"/>
        <v/>
      </c>
      <c r="M179" s="94" t="str">
        <f t="shared" si="601"/>
        <v/>
      </c>
      <c r="N179" s="94" t="str">
        <f t="shared" si="601"/>
        <v/>
      </c>
      <c r="O179" s="294"/>
      <c r="P179" s="96"/>
      <c r="Q179" s="94" t="str">
        <f t="shared" ref="Q179:V179" si="602">IF(ISERROR(VLOOKUP(Q178,$K$394:$W$428,9,FALSE)),"",VLOOKUP(Q178,$K$394:$W$428,9,FALSE))</f>
        <v/>
      </c>
      <c r="R179" s="94" t="str">
        <f t="shared" si="602"/>
        <v/>
      </c>
      <c r="S179" s="94" t="str">
        <f t="shared" si="602"/>
        <v/>
      </c>
      <c r="T179" s="94" t="str">
        <f t="shared" si="602"/>
        <v/>
      </c>
      <c r="U179" s="94" t="str">
        <f t="shared" si="602"/>
        <v/>
      </c>
      <c r="V179" s="95" t="str">
        <f t="shared" si="602"/>
        <v/>
      </c>
      <c r="W179" s="96"/>
      <c r="X179" s="153" t="str">
        <f>IF(ISERROR(VLOOKUP(X178,$K$394:$W$428,9,FALSE)),"",VLOOKUP(X178,$K$394:$W$428,9,FALSE))</f>
        <v/>
      </c>
      <c r="Y179" s="294"/>
      <c r="Z179" s="294"/>
      <c r="AA179" s="94" t="str">
        <f t="shared" ref="AA179:AC179" si="603">IF(ISERROR(VLOOKUP(AA178,$K$394:$W$428,9,FALSE)),"",VLOOKUP(AA178,$K$394:$W$428,9,FALSE))</f>
        <v/>
      </c>
      <c r="AB179" s="94" t="str">
        <f t="shared" si="603"/>
        <v/>
      </c>
      <c r="AC179" s="95" t="str">
        <f t="shared" si="603"/>
        <v/>
      </c>
      <c r="AD179" s="96"/>
      <c r="AE179" s="94" t="str">
        <f t="shared" ref="AE179:AF179" si="604">IF(ISERROR(VLOOKUP(AE178,$K$394:$W$428,9,FALSE)),"",VLOOKUP(AE178,$K$394:$W$428,9,FALSE))</f>
        <v/>
      </c>
      <c r="AF179" s="94" t="str">
        <f t="shared" si="604"/>
        <v/>
      </c>
      <c r="AG179" s="299"/>
      <c r="AH179" s="97"/>
      <c r="AI179" s="71"/>
    </row>
    <row r="180" spans="1:35" ht="15" hidden="1" customHeight="1" outlineLevel="1">
      <c r="A180" s="221" t="s">
        <v>24</v>
      </c>
      <c r="B180" s="216" t="s">
        <v>19</v>
      </c>
      <c r="C180" s="157" t="s">
        <v>36</v>
      </c>
      <c r="D180" s="37" t="s">
        <v>40</v>
      </c>
      <c r="E180" s="157" t="s">
        <v>36</v>
      </c>
      <c r="F180" s="211"/>
      <c r="G180" s="37"/>
      <c r="H180" s="38"/>
      <c r="I180" s="39"/>
      <c r="J180" s="157" t="s">
        <v>36</v>
      </c>
      <c r="K180" s="37" t="s">
        <v>40</v>
      </c>
      <c r="L180" s="157" t="s">
        <v>36</v>
      </c>
      <c r="M180" s="157" t="s">
        <v>36</v>
      </c>
      <c r="N180" s="157" t="s">
        <v>36</v>
      </c>
      <c r="O180" s="211"/>
      <c r="P180" s="39"/>
      <c r="Q180" s="157"/>
      <c r="R180" s="157" t="s">
        <v>36</v>
      </c>
      <c r="S180" s="157" t="s">
        <v>36</v>
      </c>
      <c r="T180" s="157" t="s">
        <v>36</v>
      </c>
      <c r="U180" s="157" t="s">
        <v>36</v>
      </c>
      <c r="V180" s="38"/>
      <c r="W180" s="39"/>
      <c r="X180" s="152"/>
      <c r="Y180" s="211"/>
      <c r="Z180" s="211"/>
      <c r="AA180" s="157" t="s">
        <v>36</v>
      </c>
      <c r="AB180" s="157" t="s">
        <v>36</v>
      </c>
      <c r="AC180" s="38"/>
      <c r="AD180" s="39"/>
      <c r="AE180" s="157" t="s">
        <v>36</v>
      </c>
      <c r="AF180" s="157" t="s">
        <v>36</v>
      </c>
      <c r="AG180" s="299"/>
      <c r="AH180" s="93"/>
      <c r="AI180" s="71">
        <f>COUNTA($C180:$AF180)</f>
        <v>16</v>
      </c>
    </row>
    <row r="181" spans="1:35" ht="15" hidden="1" customHeight="1" outlineLevel="1">
      <c r="A181" s="221"/>
      <c r="B181" s="293"/>
      <c r="C181" s="94">
        <f t="shared" ref="C181" si="605">IF(ISERROR(VLOOKUP(C180,$K$394:$W$428,9,FALSE)),"",VLOOKUP(C180,$K$394:$W$428,9,FALSE))</f>
        <v>101706</v>
      </c>
      <c r="D181" s="94">
        <f>IF(ISERROR(VLOOKUP(D180,$K$394:$W$428,9,FALSE)),"",VLOOKUP(D180,$K$394:$W$428,9,FALSE))</f>
        <v>96378</v>
      </c>
      <c r="E181" s="94">
        <f t="shared" ref="E181" si="606">IF(ISERROR(VLOOKUP(E180,$K$394:$W$428,9,FALSE)),"",VLOOKUP(E180,$K$394:$W$428,9,FALSE))</f>
        <v>101706</v>
      </c>
      <c r="F181" s="294"/>
      <c r="G181" s="94" t="str">
        <f t="shared" ref="G181:H181" si="607">IF(ISERROR(VLOOKUP(G180,$K$394:$W$428,9,FALSE)),"",VLOOKUP(G180,$K$394:$W$428,9,FALSE))</f>
        <v/>
      </c>
      <c r="H181" s="95" t="str">
        <f t="shared" si="607"/>
        <v/>
      </c>
      <c r="I181" s="96"/>
      <c r="J181" s="94">
        <f t="shared" ref="J181" si="608">IF(ISERROR(VLOOKUP(J180,$K$394:$W$428,9,FALSE)),"",VLOOKUP(J180,$K$394:$W$428,9,FALSE))</f>
        <v>101706</v>
      </c>
      <c r="K181" s="94">
        <f>IF(ISERROR(VLOOKUP(K180,$K$394:$W$428,9,FALSE)),"",VLOOKUP(K180,$K$394:$W$428,9,FALSE))</f>
        <v>96378</v>
      </c>
      <c r="L181" s="94">
        <f t="shared" ref="L181:N181" si="609">IF(ISERROR(VLOOKUP(L180,$K$394:$W$428,9,FALSE)),"",VLOOKUP(L180,$K$394:$W$428,9,FALSE))</f>
        <v>101706</v>
      </c>
      <c r="M181" s="94">
        <f t="shared" si="609"/>
        <v>101706</v>
      </c>
      <c r="N181" s="94">
        <f t="shared" si="609"/>
        <v>101706</v>
      </c>
      <c r="O181" s="294"/>
      <c r="P181" s="96"/>
      <c r="Q181" s="94"/>
      <c r="R181" s="94">
        <f t="shared" ref="R181" si="610">IF(ISERROR(VLOOKUP(R180,$K$394:$W$428,9,FALSE)),"",VLOOKUP(R180,$K$394:$W$428,9,FALSE))</f>
        <v>101706</v>
      </c>
      <c r="S181" s="94">
        <f t="shared" ref="S181:V181" si="611">IF(ISERROR(VLOOKUP(S180,$K$394:$W$428,9,FALSE)),"",VLOOKUP(S180,$K$394:$W$428,9,FALSE))</f>
        <v>101706</v>
      </c>
      <c r="T181" s="94">
        <f t="shared" si="611"/>
        <v>101706</v>
      </c>
      <c r="U181" s="94">
        <f t="shared" si="611"/>
        <v>101706</v>
      </c>
      <c r="V181" s="95" t="str">
        <f t="shared" si="611"/>
        <v/>
      </c>
      <c r="W181" s="96"/>
      <c r="X181" s="153" t="str">
        <f>IF(ISERROR(VLOOKUP(X180,$K$394:$W$428,9,FALSE)),"",VLOOKUP(X180,$K$394:$W$428,9,FALSE))</f>
        <v/>
      </c>
      <c r="Y181" s="294"/>
      <c r="Z181" s="294"/>
      <c r="AA181" s="94">
        <f t="shared" ref="AA181:AB181" si="612">IF(ISERROR(VLOOKUP(AA180,$K$394:$W$428,9,FALSE)),"",VLOOKUP(AA180,$K$394:$W$428,9,FALSE))</f>
        <v>101706</v>
      </c>
      <c r="AB181" s="94">
        <f t="shared" si="612"/>
        <v>101706</v>
      </c>
      <c r="AC181" s="95" t="str">
        <f t="shared" ref="AC181" si="613">IF(ISERROR(VLOOKUP(AC180,$K$394:$W$428,9,FALSE)),"",VLOOKUP(AC180,$K$394:$W$428,9,FALSE))</f>
        <v/>
      </c>
      <c r="AD181" s="96"/>
      <c r="AE181" s="94">
        <f t="shared" ref="AE181:AF181" si="614">IF(ISERROR(VLOOKUP(AE180,$K$394:$W$428,9,FALSE)),"",VLOOKUP(AE180,$K$394:$W$428,9,FALSE))</f>
        <v>101706</v>
      </c>
      <c r="AF181" s="94">
        <f t="shared" si="614"/>
        <v>101706</v>
      </c>
      <c r="AG181" s="299"/>
      <c r="AH181" s="97"/>
      <c r="AI181" s="71"/>
    </row>
    <row r="182" spans="1:35" ht="15" hidden="1" customHeight="1" outlineLevel="1">
      <c r="A182" s="221"/>
      <c r="B182" s="216" t="s">
        <v>20</v>
      </c>
      <c r="C182" s="157" t="s">
        <v>36</v>
      </c>
      <c r="D182" s="37" t="s">
        <v>40</v>
      </c>
      <c r="E182" s="157" t="s">
        <v>36</v>
      </c>
      <c r="F182" s="211"/>
      <c r="G182" s="37"/>
      <c r="H182" s="38"/>
      <c r="I182" s="39"/>
      <c r="J182" s="157" t="s">
        <v>36</v>
      </c>
      <c r="K182" s="37" t="s">
        <v>40</v>
      </c>
      <c r="L182" s="157" t="s">
        <v>36</v>
      </c>
      <c r="M182" s="157" t="s">
        <v>36</v>
      </c>
      <c r="N182" s="157" t="s">
        <v>36</v>
      </c>
      <c r="O182" s="211"/>
      <c r="P182" s="39"/>
      <c r="Q182" s="157"/>
      <c r="R182" s="157" t="s">
        <v>36</v>
      </c>
      <c r="S182" s="157" t="s">
        <v>36</v>
      </c>
      <c r="T182" s="157" t="s">
        <v>36</v>
      </c>
      <c r="U182" s="157" t="s">
        <v>36</v>
      </c>
      <c r="V182" s="38"/>
      <c r="W182" s="39"/>
      <c r="X182" s="152"/>
      <c r="Y182" s="211"/>
      <c r="Z182" s="211"/>
      <c r="AA182" s="157" t="s">
        <v>36</v>
      </c>
      <c r="AB182" s="157" t="s">
        <v>36</v>
      </c>
      <c r="AC182" s="38"/>
      <c r="AD182" s="39"/>
      <c r="AE182" s="157" t="s">
        <v>36</v>
      </c>
      <c r="AF182" s="157" t="s">
        <v>36</v>
      </c>
      <c r="AG182" s="299"/>
      <c r="AH182" s="93"/>
      <c r="AI182" s="71">
        <f>COUNTA($C182:$AF182)</f>
        <v>16</v>
      </c>
    </row>
    <row r="183" spans="1:35" ht="15" hidden="1" customHeight="1" outlineLevel="1">
      <c r="A183" s="221"/>
      <c r="B183" s="294"/>
      <c r="C183" s="94">
        <f t="shared" ref="C183" si="615">IF(ISERROR(VLOOKUP(C182,$K$394:$W$428,9,FALSE)),"",VLOOKUP(C182,$K$394:$W$428,9,FALSE))</f>
        <v>101706</v>
      </c>
      <c r="D183" s="94">
        <f t="shared" ref="D183:E183" si="616">IF(ISERROR(VLOOKUP(D182,$K$394:$W$428,9,FALSE)),"",VLOOKUP(D182,$K$394:$W$428,9,FALSE))</f>
        <v>96378</v>
      </c>
      <c r="E183" s="94">
        <f t="shared" si="616"/>
        <v>101706</v>
      </c>
      <c r="F183" s="294"/>
      <c r="G183" s="40" t="str">
        <f t="shared" ref="G183:H183" si="617">IF(ISERROR(VLOOKUP(G182,$K$394:$W$428,9,FALSE)),"",VLOOKUP(G182,$K$394:$W$428,9,FALSE))</f>
        <v/>
      </c>
      <c r="H183" s="41" t="str">
        <f t="shared" si="617"/>
        <v/>
      </c>
      <c r="I183" s="42"/>
      <c r="J183" s="94">
        <f t="shared" ref="J183" si="618">IF(ISERROR(VLOOKUP(J182,$K$394:$W$428,9,FALSE)),"",VLOOKUP(J182,$K$394:$W$428,9,FALSE))</f>
        <v>101706</v>
      </c>
      <c r="K183" s="94">
        <f t="shared" ref="K183:N183" si="619">IF(ISERROR(VLOOKUP(K182,$K$394:$W$428,9,FALSE)),"",VLOOKUP(K182,$K$394:$W$428,9,FALSE))</f>
        <v>96378</v>
      </c>
      <c r="L183" s="94">
        <f t="shared" si="619"/>
        <v>101706</v>
      </c>
      <c r="M183" s="94">
        <f t="shared" si="619"/>
        <v>101706</v>
      </c>
      <c r="N183" s="94">
        <f t="shared" si="619"/>
        <v>101706</v>
      </c>
      <c r="O183" s="294"/>
      <c r="P183" s="42"/>
      <c r="Q183" s="94"/>
      <c r="R183" s="94">
        <f t="shared" ref="R183" si="620">IF(ISERROR(VLOOKUP(R182,$K$394:$W$428,9,FALSE)),"",VLOOKUP(R182,$K$394:$W$428,9,FALSE))</f>
        <v>101706</v>
      </c>
      <c r="S183" s="94">
        <f t="shared" ref="S183:V183" si="621">IF(ISERROR(VLOOKUP(S182,$K$394:$W$428,9,FALSE)),"",VLOOKUP(S182,$K$394:$W$428,9,FALSE))</f>
        <v>101706</v>
      </c>
      <c r="T183" s="94">
        <f t="shared" si="621"/>
        <v>101706</v>
      </c>
      <c r="U183" s="94">
        <f t="shared" si="621"/>
        <v>101706</v>
      </c>
      <c r="V183" s="41" t="str">
        <f t="shared" si="621"/>
        <v/>
      </c>
      <c r="W183" s="42"/>
      <c r="X183" s="154" t="str">
        <f>IF(ISERROR(VLOOKUP(X182,$K$394:$W$428,9,FALSE)),"",VLOOKUP(X182,$K$394:$W$428,9,FALSE))</f>
        <v/>
      </c>
      <c r="Y183" s="294"/>
      <c r="Z183" s="294"/>
      <c r="AA183" s="94">
        <f t="shared" ref="AA183:AB183" si="622">IF(ISERROR(VLOOKUP(AA182,$K$394:$W$428,9,FALSE)),"",VLOOKUP(AA182,$K$394:$W$428,9,FALSE))</f>
        <v>101706</v>
      </c>
      <c r="AB183" s="94">
        <f t="shared" si="622"/>
        <v>101706</v>
      </c>
      <c r="AC183" s="41" t="str">
        <f t="shared" ref="AC183" si="623">IF(ISERROR(VLOOKUP(AC182,$K$394:$W$428,9,FALSE)),"",VLOOKUP(AC182,$K$394:$W$428,9,FALSE))</f>
        <v/>
      </c>
      <c r="AD183" s="42"/>
      <c r="AE183" s="94">
        <f t="shared" ref="AE183:AF183" si="624">IF(ISERROR(VLOOKUP(AE182,$K$394:$W$428,9,FALSE)),"",VLOOKUP(AE182,$K$394:$W$428,9,FALSE))</f>
        <v>101706</v>
      </c>
      <c r="AF183" s="94">
        <f t="shared" si="624"/>
        <v>101706</v>
      </c>
      <c r="AG183" s="299"/>
      <c r="AH183" s="97"/>
      <c r="AI183" s="71"/>
    </row>
    <row r="184" spans="1:35" ht="15" hidden="1" customHeight="1" outlineLevel="1">
      <c r="A184" s="221"/>
      <c r="B184" s="216" t="s">
        <v>21</v>
      </c>
      <c r="C184" s="157" t="s">
        <v>36</v>
      </c>
      <c r="D184" s="37" t="s">
        <v>40</v>
      </c>
      <c r="E184" s="157" t="s">
        <v>36</v>
      </c>
      <c r="F184" s="211"/>
      <c r="G184" s="37"/>
      <c r="H184" s="38"/>
      <c r="I184" s="39"/>
      <c r="J184" s="157" t="s">
        <v>36</v>
      </c>
      <c r="K184" s="37" t="s">
        <v>40</v>
      </c>
      <c r="L184" s="157" t="s">
        <v>36</v>
      </c>
      <c r="M184" s="157" t="s">
        <v>36</v>
      </c>
      <c r="N184" s="157" t="s">
        <v>36</v>
      </c>
      <c r="O184" s="211"/>
      <c r="P184" s="39"/>
      <c r="Q184" s="157"/>
      <c r="R184" s="157" t="s">
        <v>36</v>
      </c>
      <c r="S184" s="157" t="s">
        <v>36</v>
      </c>
      <c r="T184" s="157" t="s">
        <v>36</v>
      </c>
      <c r="U184" s="157" t="s">
        <v>36</v>
      </c>
      <c r="V184" s="38"/>
      <c r="W184" s="39"/>
      <c r="X184" s="152"/>
      <c r="Y184" s="211"/>
      <c r="Z184" s="211"/>
      <c r="AA184" s="157" t="s">
        <v>36</v>
      </c>
      <c r="AB184" s="157" t="s">
        <v>36</v>
      </c>
      <c r="AC184" s="38"/>
      <c r="AD184" s="39"/>
      <c r="AE184" s="157" t="s">
        <v>36</v>
      </c>
      <c r="AF184" s="157" t="s">
        <v>36</v>
      </c>
      <c r="AG184" s="299"/>
      <c r="AH184" s="93"/>
      <c r="AI184" s="71">
        <f>COUNTA($C184:$AF184)</f>
        <v>16</v>
      </c>
    </row>
    <row r="185" spans="1:35" ht="15" hidden="1" customHeight="1" outlineLevel="1">
      <c r="A185" s="221"/>
      <c r="B185" s="294"/>
      <c r="C185" s="94">
        <f t="shared" ref="C185" si="625">IF(ISERROR(VLOOKUP(C184,$K$394:$W$428,9,FALSE)),"",VLOOKUP(C184,$K$394:$W$428,9,FALSE))</f>
        <v>101706</v>
      </c>
      <c r="D185" s="94">
        <f t="shared" ref="D185:E185" si="626">IF(ISERROR(VLOOKUP(D184,$K$394:$W$428,9,FALSE)),"",VLOOKUP(D184,$K$394:$W$428,9,FALSE))</f>
        <v>96378</v>
      </c>
      <c r="E185" s="94">
        <f t="shared" si="626"/>
        <v>101706</v>
      </c>
      <c r="F185" s="294"/>
      <c r="G185" s="94" t="str">
        <f t="shared" ref="G185:H185" si="627">IF(ISERROR(VLOOKUP(G184,$K$394:$W$428,9,FALSE)),"",VLOOKUP(G184,$K$394:$W$428,9,FALSE))</f>
        <v/>
      </c>
      <c r="H185" s="95" t="str">
        <f t="shared" si="627"/>
        <v/>
      </c>
      <c r="I185" s="96"/>
      <c r="J185" s="94">
        <f t="shared" ref="J185" si="628">IF(ISERROR(VLOOKUP(J184,$K$394:$W$428,9,FALSE)),"",VLOOKUP(J184,$K$394:$W$428,9,FALSE))</f>
        <v>101706</v>
      </c>
      <c r="K185" s="94">
        <f t="shared" ref="K185:N185" si="629">IF(ISERROR(VLOOKUP(K184,$K$394:$W$428,9,FALSE)),"",VLOOKUP(K184,$K$394:$W$428,9,FALSE))</f>
        <v>96378</v>
      </c>
      <c r="L185" s="94">
        <f t="shared" si="629"/>
        <v>101706</v>
      </c>
      <c r="M185" s="94">
        <f t="shared" si="629"/>
        <v>101706</v>
      </c>
      <c r="N185" s="94">
        <f t="shared" si="629"/>
        <v>101706</v>
      </c>
      <c r="O185" s="294"/>
      <c r="P185" s="96"/>
      <c r="Q185" s="94"/>
      <c r="R185" s="94">
        <f t="shared" ref="R185" si="630">IF(ISERROR(VLOOKUP(R184,$K$394:$W$428,9,FALSE)),"",VLOOKUP(R184,$K$394:$W$428,9,FALSE))</f>
        <v>101706</v>
      </c>
      <c r="S185" s="94">
        <f t="shared" ref="S185:V185" si="631">IF(ISERROR(VLOOKUP(S184,$K$394:$W$428,9,FALSE)),"",VLOOKUP(S184,$K$394:$W$428,9,FALSE))</f>
        <v>101706</v>
      </c>
      <c r="T185" s="94">
        <f t="shared" si="631"/>
        <v>101706</v>
      </c>
      <c r="U185" s="94">
        <f t="shared" si="631"/>
        <v>101706</v>
      </c>
      <c r="V185" s="95" t="str">
        <f t="shared" si="631"/>
        <v/>
      </c>
      <c r="W185" s="96"/>
      <c r="X185" s="153" t="str">
        <f>IF(ISERROR(VLOOKUP(X184,$K$394:$W$428,9,FALSE)),"",VLOOKUP(X184,$K$394:$W$428,9,FALSE))</f>
        <v/>
      </c>
      <c r="Y185" s="294"/>
      <c r="Z185" s="294"/>
      <c r="AA185" s="94">
        <f t="shared" ref="AA185:AB185" si="632">IF(ISERROR(VLOOKUP(AA184,$K$394:$W$428,9,FALSE)),"",VLOOKUP(AA184,$K$394:$W$428,9,FALSE))</f>
        <v>101706</v>
      </c>
      <c r="AB185" s="94">
        <f t="shared" si="632"/>
        <v>101706</v>
      </c>
      <c r="AC185" s="95" t="str">
        <f t="shared" ref="AC185" si="633">IF(ISERROR(VLOOKUP(AC184,$K$394:$W$428,9,FALSE)),"",VLOOKUP(AC184,$K$394:$W$428,9,FALSE))</f>
        <v/>
      </c>
      <c r="AD185" s="96"/>
      <c r="AE185" s="94">
        <f t="shared" ref="AE185:AF185" si="634">IF(ISERROR(VLOOKUP(AE184,$K$394:$W$428,9,FALSE)),"",VLOOKUP(AE184,$K$394:$W$428,9,FALSE))</f>
        <v>101706</v>
      </c>
      <c r="AF185" s="94">
        <f t="shared" si="634"/>
        <v>101706</v>
      </c>
      <c r="AG185" s="299"/>
      <c r="AH185" s="97"/>
      <c r="AI185" s="71"/>
    </row>
    <row r="186" spans="1:35" ht="15" hidden="1" customHeight="1" outlineLevel="1">
      <c r="A186" s="221"/>
      <c r="B186" s="216" t="s">
        <v>22</v>
      </c>
      <c r="C186" s="157" t="s">
        <v>36</v>
      </c>
      <c r="D186" s="37" t="s">
        <v>40</v>
      </c>
      <c r="E186" s="157" t="s">
        <v>36</v>
      </c>
      <c r="F186" s="211"/>
      <c r="G186" s="37"/>
      <c r="H186" s="38"/>
      <c r="I186" s="39"/>
      <c r="J186" s="157" t="s">
        <v>36</v>
      </c>
      <c r="K186" s="37" t="s">
        <v>40</v>
      </c>
      <c r="L186" s="157" t="s">
        <v>36</v>
      </c>
      <c r="M186" s="157" t="s">
        <v>36</v>
      </c>
      <c r="N186" s="157" t="s">
        <v>36</v>
      </c>
      <c r="O186" s="211"/>
      <c r="P186" s="39"/>
      <c r="Q186" s="157"/>
      <c r="R186" s="157" t="s">
        <v>36</v>
      </c>
      <c r="S186" s="157" t="s">
        <v>36</v>
      </c>
      <c r="T186" s="157" t="s">
        <v>36</v>
      </c>
      <c r="U186" s="157" t="s">
        <v>36</v>
      </c>
      <c r="V186" s="38"/>
      <c r="W186" s="39"/>
      <c r="X186" s="152"/>
      <c r="Y186" s="211"/>
      <c r="Z186" s="211"/>
      <c r="AA186" s="157" t="s">
        <v>36</v>
      </c>
      <c r="AB186" s="157" t="s">
        <v>36</v>
      </c>
      <c r="AC186" s="38"/>
      <c r="AD186" s="39"/>
      <c r="AE186" s="157" t="s">
        <v>36</v>
      </c>
      <c r="AF186" s="157" t="s">
        <v>36</v>
      </c>
      <c r="AG186" s="299"/>
      <c r="AH186" s="93"/>
      <c r="AI186" s="71">
        <f>COUNTA($C186:$AF186)</f>
        <v>16</v>
      </c>
    </row>
    <row r="187" spans="1:35" ht="15" hidden="1" customHeight="1" outlineLevel="1">
      <c r="A187" s="221"/>
      <c r="B187" s="294"/>
      <c r="C187" s="94">
        <f t="shared" ref="C187" si="635">IF(ISERROR(VLOOKUP(C186,$K$394:$W$428,9,FALSE)),"",VLOOKUP(C186,$K$394:$W$428,9,FALSE))</f>
        <v>101706</v>
      </c>
      <c r="D187" s="94">
        <f t="shared" ref="D187:E187" si="636">IF(ISERROR(VLOOKUP(D186,$K$394:$W$428,9,FALSE)),"",VLOOKUP(D186,$K$394:$W$428,9,FALSE))</f>
        <v>96378</v>
      </c>
      <c r="E187" s="94">
        <f t="shared" si="636"/>
        <v>101706</v>
      </c>
      <c r="F187" s="294"/>
      <c r="G187" s="94" t="str">
        <f t="shared" ref="G187:H187" si="637">IF(ISERROR(VLOOKUP(G186,$K$394:$W$428,9,FALSE)),"",VLOOKUP(G186,$K$394:$W$428,9,FALSE))</f>
        <v/>
      </c>
      <c r="H187" s="95" t="str">
        <f t="shared" si="637"/>
        <v/>
      </c>
      <c r="I187" s="96"/>
      <c r="J187" s="94">
        <f t="shared" ref="J187" si="638">IF(ISERROR(VLOOKUP(J186,$K$394:$W$428,9,FALSE)),"",VLOOKUP(J186,$K$394:$W$428,9,FALSE))</f>
        <v>101706</v>
      </c>
      <c r="K187" s="94">
        <f t="shared" ref="K187:N187" si="639">IF(ISERROR(VLOOKUP(K186,$K$394:$W$428,9,FALSE)),"",VLOOKUP(K186,$K$394:$W$428,9,FALSE))</f>
        <v>96378</v>
      </c>
      <c r="L187" s="94">
        <f t="shared" si="639"/>
        <v>101706</v>
      </c>
      <c r="M187" s="94">
        <f t="shared" si="639"/>
        <v>101706</v>
      </c>
      <c r="N187" s="94">
        <f t="shared" si="639"/>
        <v>101706</v>
      </c>
      <c r="O187" s="294"/>
      <c r="P187" s="96"/>
      <c r="Q187" s="94" t="str">
        <f t="shared" ref="Q187:R187" si="640">IF(ISERROR(VLOOKUP(Q186,$K$394:$W$428,9,FALSE)),"",VLOOKUP(Q186,$K$394:$W$428,9,FALSE))</f>
        <v/>
      </c>
      <c r="R187" s="94">
        <f t="shared" si="640"/>
        <v>101706</v>
      </c>
      <c r="S187" s="94">
        <f t="shared" ref="S187:V187" si="641">IF(ISERROR(VLOOKUP(S186,$K$394:$W$428,9,FALSE)),"",VLOOKUP(S186,$K$394:$W$428,9,FALSE))</f>
        <v>101706</v>
      </c>
      <c r="T187" s="94">
        <f t="shared" si="641"/>
        <v>101706</v>
      </c>
      <c r="U187" s="94">
        <f t="shared" si="641"/>
        <v>101706</v>
      </c>
      <c r="V187" s="95" t="str">
        <f t="shared" si="641"/>
        <v/>
      </c>
      <c r="W187" s="96"/>
      <c r="X187" s="153" t="str">
        <f>IF(ISERROR(VLOOKUP(X186,$K$394:$W$428,9,FALSE)),"",VLOOKUP(X186,$K$394:$W$428,9,FALSE))</f>
        <v/>
      </c>
      <c r="Y187" s="294"/>
      <c r="Z187" s="294"/>
      <c r="AA187" s="94">
        <f t="shared" ref="AA187:AB187" si="642">IF(ISERROR(VLOOKUP(AA186,$K$394:$W$428,9,FALSE)),"",VLOOKUP(AA186,$K$394:$W$428,9,FALSE))</f>
        <v>101706</v>
      </c>
      <c r="AB187" s="94">
        <f t="shared" si="642"/>
        <v>101706</v>
      </c>
      <c r="AC187" s="95" t="str">
        <f t="shared" ref="AC187" si="643">IF(ISERROR(VLOOKUP(AC186,$K$394:$W$428,9,FALSE)),"",VLOOKUP(AC186,$K$394:$W$428,9,FALSE))</f>
        <v/>
      </c>
      <c r="AD187" s="96"/>
      <c r="AE187" s="94">
        <f t="shared" ref="AE187:AF187" si="644">IF(ISERROR(VLOOKUP(AE186,$K$394:$W$428,9,FALSE)),"",VLOOKUP(AE186,$K$394:$W$428,9,FALSE))</f>
        <v>101706</v>
      </c>
      <c r="AF187" s="94">
        <f t="shared" si="644"/>
        <v>101706</v>
      </c>
      <c r="AG187" s="299"/>
      <c r="AH187" s="97"/>
      <c r="AI187" s="71"/>
    </row>
    <row r="188" spans="1:35" ht="15" hidden="1" customHeight="1" outlineLevel="1">
      <c r="A188" s="221"/>
      <c r="B188" s="216" t="s">
        <v>23</v>
      </c>
      <c r="C188" s="37"/>
      <c r="D188" s="37"/>
      <c r="E188" s="37"/>
      <c r="F188" s="211"/>
      <c r="G188" s="37"/>
      <c r="H188" s="38"/>
      <c r="I188" s="39"/>
      <c r="J188" s="37"/>
      <c r="K188" s="37"/>
      <c r="L188" s="37"/>
      <c r="M188" s="37"/>
      <c r="N188" s="37"/>
      <c r="O188" s="211"/>
      <c r="P188" s="39"/>
      <c r="Q188" s="37"/>
      <c r="R188" s="37"/>
      <c r="S188" s="37"/>
      <c r="T188" s="37"/>
      <c r="U188" s="37"/>
      <c r="V188" s="38"/>
      <c r="W188" s="39"/>
      <c r="X188" s="152"/>
      <c r="Y188" s="211"/>
      <c r="Z188" s="211"/>
      <c r="AA188" s="37"/>
      <c r="AB188" s="37"/>
      <c r="AC188" s="38"/>
      <c r="AD188" s="39"/>
      <c r="AE188" s="37"/>
      <c r="AF188" s="37"/>
      <c r="AG188" s="299"/>
      <c r="AH188" s="93"/>
      <c r="AI188" s="71">
        <f>COUNTA($C188:$AF188)</f>
        <v>0</v>
      </c>
    </row>
    <row r="189" spans="1:35" ht="15" hidden="1" customHeight="1" outlineLevel="1">
      <c r="A189" s="223"/>
      <c r="B189" s="294"/>
      <c r="C189" s="94"/>
      <c r="D189" s="94" t="str">
        <f t="shared" ref="D189:E189" si="645">IF(ISERROR(VLOOKUP(D188,$K$394:$W$428,9,FALSE)),"",VLOOKUP(D188,$K$394:$W$428,9,FALSE))</f>
        <v/>
      </c>
      <c r="E189" s="94" t="str">
        <f t="shared" si="645"/>
        <v/>
      </c>
      <c r="F189" s="294"/>
      <c r="G189" s="94" t="str">
        <f t="shared" ref="G189:H189" si="646">IF(ISERROR(VLOOKUP(G188,$K$394:$W$428,9,FALSE)),"",VLOOKUP(G188,$K$394:$W$428,9,FALSE))</f>
        <v/>
      </c>
      <c r="H189" s="95" t="str">
        <f t="shared" si="646"/>
        <v/>
      </c>
      <c r="I189" s="96"/>
      <c r="J189" s="94" t="str">
        <f t="shared" ref="J189:N189" si="647">IF(ISERROR(VLOOKUP(J188,$K$394:$W$428,9,FALSE)),"",VLOOKUP(J188,$K$394:$W$428,9,FALSE))</f>
        <v/>
      </c>
      <c r="K189" s="94" t="str">
        <f t="shared" si="647"/>
        <v/>
      </c>
      <c r="L189" s="94" t="str">
        <f t="shared" si="647"/>
        <v/>
      </c>
      <c r="M189" s="94" t="str">
        <f t="shared" si="647"/>
        <v/>
      </c>
      <c r="N189" s="94" t="str">
        <f t="shared" si="647"/>
        <v/>
      </c>
      <c r="O189" s="294"/>
      <c r="P189" s="96"/>
      <c r="Q189" s="94" t="str">
        <f t="shared" ref="Q189:V189" si="648">IF(ISERROR(VLOOKUP(Q188,$K$394:$W$428,9,FALSE)),"",VLOOKUP(Q188,$K$394:$W$428,9,FALSE))</f>
        <v/>
      </c>
      <c r="R189" s="94" t="str">
        <f t="shared" si="648"/>
        <v/>
      </c>
      <c r="S189" s="94" t="str">
        <f t="shared" si="648"/>
        <v/>
      </c>
      <c r="T189" s="94" t="str">
        <f t="shared" si="648"/>
        <v/>
      </c>
      <c r="U189" s="94" t="str">
        <f t="shared" si="648"/>
        <v/>
      </c>
      <c r="V189" s="95" t="str">
        <f t="shared" si="648"/>
        <v/>
      </c>
      <c r="W189" s="96"/>
      <c r="X189" s="153" t="str">
        <f>IF(ISERROR(VLOOKUP(X188,$K$394:$W$428,9,FALSE)),"",VLOOKUP(X188,$K$394:$W$428,9,FALSE))</f>
        <v/>
      </c>
      <c r="Y189" s="294"/>
      <c r="Z189" s="294"/>
      <c r="AA189" s="94" t="str">
        <f t="shared" ref="AA189:AC189" si="649">IF(ISERROR(VLOOKUP(AA188,$K$394:$W$428,9,FALSE)),"",VLOOKUP(AA188,$K$394:$W$428,9,FALSE))</f>
        <v/>
      </c>
      <c r="AB189" s="94" t="str">
        <f t="shared" si="649"/>
        <v/>
      </c>
      <c r="AC189" s="95" t="str">
        <f t="shared" si="649"/>
        <v/>
      </c>
      <c r="AD189" s="96"/>
      <c r="AE189" s="94" t="str">
        <f t="shared" ref="AE189:AF189" si="650">IF(ISERROR(VLOOKUP(AE188,$K$394:$W$428,9,FALSE)),"",VLOOKUP(AE188,$K$394:$W$428,9,FALSE))</f>
        <v/>
      </c>
      <c r="AF189" s="94" t="str">
        <f t="shared" si="650"/>
        <v/>
      </c>
      <c r="AG189" s="299"/>
      <c r="AH189" s="97"/>
      <c r="AI189" s="71"/>
    </row>
    <row r="190" spans="1:35" ht="15" hidden="1" customHeight="1" outlineLevel="1">
      <c r="A190" s="221" t="s">
        <v>25</v>
      </c>
      <c r="B190" s="215" t="s">
        <v>19</v>
      </c>
      <c r="C190" s="37"/>
      <c r="D190" s="37"/>
      <c r="E190" s="148" t="s">
        <v>32</v>
      </c>
      <c r="F190" s="211"/>
      <c r="G190" s="37"/>
      <c r="H190" s="38"/>
      <c r="I190" s="39"/>
      <c r="J190" s="37"/>
      <c r="K190" s="37"/>
      <c r="L190" s="37"/>
      <c r="M190" s="148" t="s">
        <v>32</v>
      </c>
      <c r="N190" s="148" t="s">
        <v>32</v>
      </c>
      <c r="O190" s="211"/>
      <c r="P190" s="39"/>
      <c r="Q190" s="37"/>
      <c r="R190" s="37"/>
      <c r="S190" s="37"/>
      <c r="T190" s="148" t="s">
        <v>32</v>
      </c>
      <c r="U190" s="148" t="s">
        <v>32</v>
      </c>
      <c r="V190" s="38"/>
      <c r="W190" s="39"/>
      <c r="X190" s="152"/>
      <c r="Y190" s="211"/>
      <c r="Z190" s="211"/>
      <c r="AA190" s="37"/>
      <c r="AB190" s="37"/>
      <c r="AC190" s="38"/>
      <c r="AD190" s="39"/>
      <c r="AE190" s="37"/>
      <c r="AF190" s="148" t="s">
        <v>32</v>
      </c>
      <c r="AG190" s="299"/>
      <c r="AH190" s="93"/>
      <c r="AI190" s="71">
        <f>COUNTA($C190:$AF190)</f>
        <v>6</v>
      </c>
    </row>
    <row r="191" spans="1:35" ht="15" hidden="1" customHeight="1" outlineLevel="1">
      <c r="A191" s="293"/>
      <c r="B191" s="293"/>
      <c r="C191" s="40"/>
      <c r="D191" s="40" t="str">
        <f t="shared" ref="D191:E191" si="651">IF(ISERROR(VLOOKUP(D190,$K$394:$W$428,9,FALSE)),"",VLOOKUP(D190,$K$394:$W$428,9,FALSE))</f>
        <v/>
      </c>
      <c r="E191" s="40">
        <f t="shared" si="651"/>
        <v>96379</v>
      </c>
      <c r="F191" s="294"/>
      <c r="G191" s="40" t="str">
        <f t="shared" ref="G191:H191" si="652">IF(ISERROR(VLOOKUP(G190,$K$394:$W$428,9,FALSE)),"",VLOOKUP(G190,$K$394:$W$428,9,FALSE))</f>
        <v/>
      </c>
      <c r="H191" s="41" t="str">
        <f t="shared" si="652"/>
        <v/>
      </c>
      <c r="I191" s="42"/>
      <c r="J191" s="40" t="str">
        <f t="shared" ref="J191:N191" si="653">IF(ISERROR(VLOOKUP(J190,$K$394:$W$428,9,FALSE)),"",VLOOKUP(J190,$K$394:$W$428,9,FALSE))</f>
        <v/>
      </c>
      <c r="K191" s="40" t="str">
        <f t="shared" si="653"/>
        <v/>
      </c>
      <c r="L191" s="40" t="str">
        <f t="shared" ref="L191" si="654">IF(ISERROR(VLOOKUP(L190,$K$394:$W$428,9,FALSE)),"",VLOOKUP(L190,$K$394:$W$428,9,FALSE))</f>
        <v/>
      </c>
      <c r="M191" s="40">
        <f t="shared" si="653"/>
        <v>96379</v>
      </c>
      <c r="N191" s="40">
        <f t="shared" si="653"/>
        <v>96379</v>
      </c>
      <c r="O191" s="294"/>
      <c r="P191" s="42"/>
      <c r="Q191" s="40" t="str">
        <f t="shared" ref="Q191:V191" si="655">IF(ISERROR(VLOOKUP(Q190,$K$394:$W$428,9,FALSE)),"",VLOOKUP(Q190,$K$394:$W$428,9,FALSE))</f>
        <v/>
      </c>
      <c r="R191" s="40" t="str">
        <f t="shared" si="655"/>
        <v/>
      </c>
      <c r="S191" s="40" t="str">
        <f t="shared" ref="S191" si="656">IF(ISERROR(VLOOKUP(S190,$K$394:$W$428,9,FALSE)),"",VLOOKUP(S190,$K$394:$W$428,9,FALSE))</f>
        <v/>
      </c>
      <c r="T191" s="40">
        <f t="shared" si="655"/>
        <v>96379</v>
      </c>
      <c r="U191" s="40">
        <f t="shared" si="655"/>
        <v>96379</v>
      </c>
      <c r="V191" s="41" t="str">
        <f t="shared" si="655"/>
        <v/>
      </c>
      <c r="W191" s="42"/>
      <c r="X191" s="154" t="str">
        <f>IF(ISERROR(VLOOKUP(X190,$K$394:$W$428,9,FALSE)),"",VLOOKUP(X190,$K$394:$W$428,9,FALSE))</f>
        <v/>
      </c>
      <c r="Y191" s="294"/>
      <c r="Z191" s="294"/>
      <c r="AA191" s="40" t="str">
        <f t="shared" ref="AA191:AB191" si="657">IF(ISERROR(VLOOKUP(AA190,$K$394:$W$428,9,FALSE)),"",VLOOKUP(AA190,$K$394:$W$428,9,FALSE))</f>
        <v/>
      </c>
      <c r="AB191" s="40" t="str">
        <f t="shared" si="657"/>
        <v/>
      </c>
      <c r="AC191" s="41" t="str">
        <f t="shared" ref="AC191" si="658">IF(ISERROR(VLOOKUP(AC190,$K$394:$W$428,9,FALSE)),"",VLOOKUP(AC190,$K$394:$W$428,9,FALSE))</f>
        <v/>
      </c>
      <c r="AD191" s="42"/>
      <c r="AE191" s="40" t="str">
        <f t="shared" ref="AE191:AF191" si="659">IF(ISERROR(VLOOKUP(AE190,$K$394:$W$428,9,FALSE)),"",VLOOKUP(AE190,$K$394:$W$428,9,FALSE))</f>
        <v/>
      </c>
      <c r="AF191" s="40">
        <f t="shared" si="659"/>
        <v>96379</v>
      </c>
      <c r="AG191" s="299"/>
      <c r="AH191" s="97"/>
      <c r="AI191" s="71"/>
    </row>
    <row r="192" spans="1:35" ht="15" hidden="1" customHeight="1" outlineLevel="1">
      <c r="A192" s="293"/>
      <c r="B192" s="216" t="s">
        <v>20</v>
      </c>
      <c r="C192" s="37"/>
      <c r="D192" s="37"/>
      <c r="E192" s="148" t="s">
        <v>32</v>
      </c>
      <c r="F192" s="211"/>
      <c r="G192" s="37"/>
      <c r="H192" s="38"/>
      <c r="I192" s="39"/>
      <c r="J192" s="37"/>
      <c r="K192" s="37"/>
      <c r="L192" s="37"/>
      <c r="M192" s="148" t="s">
        <v>32</v>
      </c>
      <c r="N192" s="148" t="s">
        <v>32</v>
      </c>
      <c r="O192" s="211"/>
      <c r="P192" s="39"/>
      <c r="Q192" s="37"/>
      <c r="R192" s="37"/>
      <c r="S192" s="37"/>
      <c r="T192" s="148" t="s">
        <v>32</v>
      </c>
      <c r="U192" s="148" t="s">
        <v>32</v>
      </c>
      <c r="V192" s="38"/>
      <c r="W192" s="39"/>
      <c r="X192" s="152"/>
      <c r="Y192" s="211"/>
      <c r="Z192" s="211"/>
      <c r="AA192" s="37"/>
      <c r="AB192" s="37"/>
      <c r="AC192" s="38"/>
      <c r="AD192" s="39"/>
      <c r="AE192" s="37"/>
      <c r="AF192" s="148" t="s">
        <v>32</v>
      </c>
      <c r="AG192" s="299"/>
      <c r="AH192" s="93"/>
      <c r="AI192" s="71">
        <f>COUNTA($C192:$AF192)</f>
        <v>6</v>
      </c>
    </row>
    <row r="193" spans="1:35" ht="15" hidden="1" customHeight="1" outlineLevel="1">
      <c r="A193" s="293"/>
      <c r="B193" s="294"/>
      <c r="C193" s="94"/>
      <c r="D193" s="94" t="str">
        <f t="shared" ref="D193:E193" si="660">IF(ISERROR(VLOOKUP(D192,$K$394:$W$428,9,FALSE)),"",VLOOKUP(D192,$K$394:$W$428,9,FALSE))</f>
        <v/>
      </c>
      <c r="E193" s="40">
        <f t="shared" si="660"/>
        <v>96379</v>
      </c>
      <c r="F193" s="294"/>
      <c r="G193" s="94" t="str">
        <f t="shared" ref="G193:H193" si="661">IF(ISERROR(VLOOKUP(G192,$K$394:$W$428,9,FALSE)),"",VLOOKUP(G192,$K$394:$W$428,9,FALSE))</f>
        <v/>
      </c>
      <c r="H193" s="95" t="str">
        <f t="shared" si="661"/>
        <v/>
      </c>
      <c r="I193" s="96"/>
      <c r="J193" s="94" t="str">
        <f t="shared" ref="J193:N193" si="662">IF(ISERROR(VLOOKUP(J192,$K$394:$W$428,9,FALSE)),"",VLOOKUP(J192,$K$394:$W$428,9,FALSE))</f>
        <v/>
      </c>
      <c r="K193" s="94" t="str">
        <f t="shared" si="662"/>
        <v/>
      </c>
      <c r="L193" s="94" t="str">
        <f t="shared" ref="L193" si="663">IF(ISERROR(VLOOKUP(L192,$K$394:$W$428,9,FALSE)),"",VLOOKUP(L192,$K$394:$W$428,9,FALSE))</f>
        <v/>
      </c>
      <c r="M193" s="40">
        <f t="shared" si="662"/>
        <v>96379</v>
      </c>
      <c r="N193" s="40">
        <f t="shared" si="662"/>
        <v>96379</v>
      </c>
      <c r="O193" s="294"/>
      <c r="P193" s="96"/>
      <c r="Q193" s="94" t="str">
        <f t="shared" ref="Q193:V193" si="664">IF(ISERROR(VLOOKUP(Q192,$K$394:$W$428,9,FALSE)),"",VLOOKUP(Q192,$K$394:$W$428,9,FALSE))</f>
        <v/>
      </c>
      <c r="R193" s="94" t="str">
        <f t="shared" si="664"/>
        <v/>
      </c>
      <c r="S193" s="94" t="str">
        <f t="shared" ref="S193" si="665">IF(ISERROR(VLOOKUP(S192,$K$394:$W$428,9,FALSE)),"",VLOOKUP(S192,$K$394:$W$428,9,FALSE))</f>
        <v/>
      </c>
      <c r="T193" s="40">
        <f t="shared" si="664"/>
        <v>96379</v>
      </c>
      <c r="U193" s="40">
        <f t="shared" si="664"/>
        <v>96379</v>
      </c>
      <c r="V193" s="95" t="str">
        <f t="shared" si="664"/>
        <v/>
      </c>
      <c r="W193" s="96"/>
      <c r="X193" s="153" t="str">
        <f>IF(ISERROR(VLOOKUP(X192,$K$394:$W$428,9,FALSE)),"",VLOOKUP(X192,$K$394:$W$428,9,FALSE))</f>
        <v/>
      </c>
      <c r="Y193" s="294"/>
      <c r="Z193" s="294"/>
      <c r="AA193" s="94" t="str">
        <f t="shared" ref="AA193:AB193" si="666">IF(ISERROR(VLOOKUP(AA192,$K$394:$W$428,9,FALSE)),"",VLOOKUP(AA192,$K$394:$W$428,9,FALSE))</f>
        <v/>
      </c>
      <c r="AB193" s="94" t="str">
        <f t="shared" si="666"/>
        <v/>
      </c>
      <c r="AC193" s="95" t="str">
        <f t="shared" ref="AC193" si="667">IF(ISERROR(VLOOKUP(AC192,$K$394:$W$428,9,FALSE)),"",VLOOKUP(AC192,$K$394:$W$428,9,FALSE))</f>
        <v/>
      </c>
      <c r="AD193" s="96"/>
      <c r="AE193" s="94" t="str">
        <f t="shared" ref="AE193:AF193" si="668">IF(ISERROR(VLOOKUP(AE192,$K$394:$W$428,9,FALSE)),"",VLOOKUP(AE192,$K$394:$W$428,9,FALSE))</f>
        <v/>
      </c>
      <c r="AF193" s="40">
        <f t="shared" si="668"/>
        <v>96379</v>
      </c>
      <c r="AG193" s="299"/>
      <c r="AH193" s="97"/>
      <c r="AI193" s="71"/>
    </row>
    <row r="194" spans="1:35" ht="15" hidden="1" customHeight="1" outlineLevel="1">
      <c r="A194" s="293"/>
      <c r="B194" s="216" t="s">
        <v>21</v>
      </c>
      <c r="C194" s="37"/>
      <c r="D194" s="37"/>
      <c r="E194" s="148" t="s">
        <v>32</v>
      </c>
      <c r="F194" s="211"/>
      <c r="G194" s="37"/>
      <c r="H194" s="38"/>
      <c r="I194" s="39"/>
      <c r="J194" s="37"/>
      <c r="K194" s="37"/>
      <c r="L194" s="37"/>
      <c r="M194" s="148" t="s">
        <v>32</v>
      </c>
      <c r="N194" s="148" t="s">
        <v>32</v>
      </c>
      <c r="O194" s="211"/>
      <c r="P194" s="39"/>
      <c r="Q194" s="37"/>
      <c r="R194" s="37"/>
      <c r="S194" s="37"/>
      <c r="T194" s="148" t="s">
        <v>32</v>
      </c>
      <c r="U194" s="148" t="s">
        <v>32</v>
      </c>
      <c r="V194" s="38"/>
      <c r="W194" s="39"/>
      <c r="X194" s="152"/>
      <c r="Y194" s="211"/>
      <c r="Z194" s="211"/>
      <c r="AA194" s="37"/>
      <c r="AB194" s="37"/>
      <c r="AC194" s="38"/>
      <c r="AD194" s="39"/>
      <c r="AE194" s="37"/>
      <c r="AF194" s="148" t="s">
        <v>32</v>
      </c>
      <c r="AG194" s="299"/>
      <c r="AH194" s="93"/>
      <c r="AI194" s="71">
        <f>COUNTA($C194:$AF194)</f>
        <v>6</v>
      </c>
    </row>
    <row r="195" spans="1:35" ht="15" hidden="1" customHeight="1" outlineLevel="1">
      <c r="A195" s="293"/>
      <c r="B195" s="294"/>
      <c r="C195" s="40"/>
      <c r="D195" s="40" t="str">
        <f t="shared" ref="D195:E195" si="669">IF(ISERROR(VLOOKUP(D194,$K$394:$W$428,9,FALSE)),"",VLOOKUP(D194,$K$394:$W$428,9,FALSE))</f>
        <v/>
      </c>
      <c r="E195" s="40">
        <f t="shared" si="669"/>
        <v>96379</v>
      </c>
      <c r="F195" s="294"/>
      <c r="G195" s="40" t="str">
        <f t="shared" ref="G195:H195" si="670">IF(ISERROR(VLOOKUP(G194,$K$394:$W$428,9,FALSE)),"",VLOOKUP(G194,$K$394:$W$428,9,FALSE))</f>
        <v/>
      </c>
      <c r="H195" s="41" t="str">
        <f t="shared" si="670"/>
        <v/>
      </c>
      <c r="I195" s="42"/>
      <c r="J195" s="40" t="str">
        <f t="shared" ref="J195:N195" si="671">IF(ISERROR(VLOOKUP(J194,$K$394:$W$428,9,FALSE)),"",VLOOKUP(J194,$K$394:$W$428,9,FALSE))</f>
        <v/>
      </c>
      <c r="K195" s="40" t="str">
        <f t="shared" si="671"/>
        <v/>
      </c>
      <c r="L195" s="40" t="str">
        <f t="shared" ref="L195" si="672">IF(ISERROR(VLOOKUP(L194,$K$394:$W$428,9,FALSE)),"",VLOOKUP(L194,$K$394:$W$428,9,FALSE))</f>
        <v/>
      </c>
      <c r="M195" s="40">
        <f t="shared" si="671"/>
        <v>96379</v>
      </c>
      <c r="N195" s="40">
        <f t="shared" si="671"/>
        <v>96379</v>
      </c>
      <c r="O195" s="294"/>
      <c r="P195" s="42"/>
      <c r="Q195" s="40" t="str">
        <f t="shared" ref="Q195:V195" si="673">IF(ISERROR(VLOOKUP(Q194,$K$394:$W$428,9,FALSE)),"",VLOOKUP(Q194,$K$394:$W$428,9,FALSE))</f>
        <v/>
      </c>
      <c r="R195" s="40" t="str">
        <f t="shared" si="673"/>
        <v/>
      </c>
      <c r="S195" s="40" t="str">
        <f t="shared" ref="S195" si="674">IF(ISERROR(VLOOKUP(S194,$K$394:$W$428,9,FALSE)),"",VLOOKUP(S194,$K$394:$W$428,9,FALSE))</f>
        <v/>
      </c>
      <c r="T195" s="40">
        <f t="shared" si="673"/>
        <v>96379</v>
      </c>
      <c r="U195" s="40">
        <f t="shared" si="673"/>
        <v>96379</v>
      </c>
      <c r="V195" s="41" t="str">
        <f t="shared" si="673"/>
        <v/>
      </c>
      <c r="W195" s="42"/>
      <c r="X195" s="154" t="str">
        <f>IF(ISERROR(VLOOKUP(X194,$K$394:$W$428,9,FALSE)),"",VLOOKUP(X194,$K$394:$W$428,9,FALSE))</f>
        <v/>
      </c>
      <c r="Y195" s="294"/>
      <c r="Z195" s="294"/>
      <c r="AA195" s="40" t="str">
        <f t="shared" ref="AA195:AB195" si="675">IF(ISERROR(VLOOKUP(AA194,$K$394:$W$428,9,FALSE)),"",VLOOKUP(AA194,$K$394:$W$428,9,FALSE))</f>
        <v/>
      </c>
      <c r="AB195" s="40" t="str">
        <f t="shared" si="675"/>
        <v/>
      </c>
      <c r="AC195" s="41" t="str">
        <f t="shared" ref="AC195" si="676">IF(ISERROR(VLOOKUP(AC194,$K$394:$W$428,9,FALSE)),"",VLOOKUP(AC194,$K$394:$W$428,9,FALSE))</f>
        <v/>
      </c>
      <c r="AD195" s="42"/>
      <c r="AE195" s="40" t="str">
        <f t="shared" ref="AE195:AF195" si="677">IF(ISERROR(VLOOKUP(AE194,$K$394:$W$428,9,FALSE)),"",VLOOKUP(AE194,$K$394:$W$428,9,FALSE))</f>
        <v/>
      </c>
      <c r="AF195" s="40">
        <f t="shared" si="677"/>
        <v>96379</v>
      </c>
      <c r="AG195" s="299"/>
      <c r="AH195" s="97"/>
      <c r="AI195" s="71"/>
    </row>
    <row r="196" spans="1:35" ht="15" hidden="1" customHeight="1" outlineLevel="1">
      <c r="A196" s="293"/>
      <c r="B196" s="215" t="s">
        <v>22</v>
      </c>
      <c r="C196" s="98"/>
      <c r="D196" s="98"/>
      <c r="E196" s="98"/>
      <c r="F196" s="211"/>
      <c r="G196" s="98"/>
      <c r="H196" s="99"/>
      <c r="I196" s="100"/>
      <c r="J196" s="98"/>
      <c r="K196" s="98"/>
      <c r="L196" s="98"/>
      <c r="M196" s="98"/>
      <c r="N196" s="98"/>
      <c r="O196" s="211"/>
      <c r="P196" s="100"/>
      <c r="Q196" s="98"/>
      <c r="R196" s="98"/>
      <c r="S196" s="98"/>
      <c r="T196" s="98"/>
      <c r="U196" s="98"/>
      <c r="V196" s="99"/>
      <c r="W196" s="100"/>
      <c r="X196" s="155"/>
      <c r="Y196" s="211"/>
      <c r="Z196" s="211"/>
      <c r="AA196" s="98"/>
      <c r="AB196" s="98"/>
      <c r="AC196" s="99"/>
      <c r="AD196" s="100"/>
      <c r="AE196" s="98"/>
      <c r="AF196" s="98"/>
      <c r="AG196" s="299"/>
      <c r="AH196" s="93"/>
      <c r="AI196" s="71">
        <f>COUNTA($C196:$AF196)</f>
        <v>0</v>
      </c>
    </row>
    <row r="197" spans="1:35" ht="15" hidden="1" customHeight="1" outlineLevel="1">
      <c r="A197" s="295"/>
      <c r="B197" s="295"/>
      <c r="C197" s="43"/>
      <c r="D197" s="43" t="str">
        <f t="shared" ref="D197:E197" si="678">IF(ISERROR(VLOOKUP(D196,$K$394:$W$428,9,FALSE)),"",VLOOKUP(D196,$K$394:$W$428,9,FALSE))</f>
        <v/>
      </c>
      <c r="E197" s="43" t="str">
        <f t="shared" si="678"/>
        <v/>
      </c>
      <c r="F197" s="295"/>
      <c r="G197" s="43" t="str">
        <f t="shared" ref="G197:H197" si="679">IF(ISERROR(VLOOKUP(G196,$K$394:$W$428,9,FALSE)),"",VLOOKUP(G196,$K$394:$W$428,9,FALSE))</f>
        <v/>
      </c>
      <c r="H197" s="44" t="str">
        <f t="shared" si="679"/>
        <v/>
      </c>
      <c r="I197" s="45"/>
      <c r="J197" s="43" t="str">
        <f t="shared" ref="J197:N197" si="680">IF(ISERROR(VLOOKUP(J196,$K$394:$W$428,9,FALSE)),"",VLOOKUP(J196,$K$394:$W$428,9,FALSE))</f>
        <v/>
      </c>
      <c r="K197" s="43" t="str">
        <f t="shared" si="680"/>
        <v/>
      </c>
      <c r="L197" s="43" t="str">
        <f t="shared" si="680"/>
        <v/>
      </c>
      <c r="M197" s="43" t="str">
        <f t="shared" si="680"/>
        <v/>
      </c>
      <c r="N197" s="43" t="str">
        <f t="shared" si="680"/>
        <v/>
      </c>
      <c r="O197" s="295"/>
      <c r="P197" s="45"/>
      <c r="Q197" s="43" t="str">
        <f t="shared" ref="Q197:V197" si="681">IF(ISERROR(VLOOKUP(Q196,$K$394:$W$428,9,FALSE)),"",VLOOKUP(Q196,$K$394:$W$428,9,FALSE))</f>
        <v/>
      </c>
      <c r="R197" s="43" t="str">
        <f t="shared" si="681"/>
        <v/>
      </c>
      <c r="S197" s="43" t="str">
        <f t="shared" si="681"/>
        <v/>
      </c>
      <c r="T197" s="43" t="str">
        <f t="shared" si="681"/>
        <v/>
      </c>
      <c r="U197" s="43" t="str">
        <f t="shared" si="681"/>
        <v/>
      </c>
      <c r="V197" s="44" t="str">
        <f t="shared" si="681"/>
        <v/>
      </c>
      <c r="W197" s="45"/>
      <c r="X197" s="156" t="str">
        <f>IF(ISERROR(VLOOKUP(X196,$K$394:$W$428,9,FALSE)),"",VLOOKUP(X196,$K$394:$W$428,9,FALSE))</f>
        <v/>
      </c>
      <c r="Y197" s="295"/>
      <c r="Z197" s="295"/>
      <c r="AA197" s="43" t="str">
        <f t="shared" ref="AA197:AC197" si="682">IF(ISERROR(VLOOKUP(AA196,$K$394:$W$428,9,FALSE)),"",VLOOKUP(AA196,$K$394:$W$428,9,FALSE))</f>
        <v/>
      </c>
      <c r="AB197" s="43" t="str">
        <f t="shared" si="682"/>
        <v/>
      </c>
      <c r="AC197" s="44" t="str">
        <f t="shared" si="682"/>
        <v/>
      </c>
      <c r="AD197" s="45"/>
      <c r="AE197" s="43" t="str">
        <f t="shared" ref="AE197:AF197" si="683">IF(ISERROR(VLOOKUP(AE196,$K$394:$W$428,9,FALSE)),"",VLOOKUP(AE196,$K$394:$W$428,9,FALSE))</f>
        <v/>
      </c>
      <c r="AF197" s="43" t="str">
        <f t="shared" si="683"/>
        <v/>
      </c>
      <c r="AG197" s="292"/>
      <c r="AH197" s="97"/>
      <c r="AI197" s="71"/>
    </row>
    <row r="198" spans="1:35" ht="15" hidden="1" customHeight="1" collapsed="1">
      <c r="A198" s="49"/>
      <c r="B198" s="50"/>
      <c r="C198" s="31"/>
      <c r="D198" s="31"/>
      <c r="E198" s="31"/>
      <c r="F198" s="31"/>
      <c r="G198" s="31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59"/>
    </row>
    <row r="199" spans="1:35" ht="23.25" hidden="1" customHeight="1" outlineLevel="1">
      <c r="A199" s="218">
        <f>A167+30</f>
        <v>46204</v>
      </c>
      <c r="B199" s="219"/>
      <c r="C199" s="219"/>
      <c r="D199" s="219"/>
      <c r="E199" s="219"/>
      <c r="F199" s="219"/>
      <c r="G199" s="219"/>
      <c r="H199" s="219"/>
      <c r="I199" s="219"/>
      <c r="J199" s="219"/>
      <c r="K199" s="219"/>
      <c r="L199" s="219"/>
      <c r="M199" s="220"/>
      <c r="N199" s="213" t="s">
        <v>14</v>
      </c>
      <c r="O199" s="214"/>
      <c r="P199" s="214"/>
      <c r="Q199" s="214"/>
      <c r="R199" s="68">
        <v>22</v>
      </c>
      <c r="S199" s="212" t="s">
        <v>15</v>
      </c>
      <c r="T199" s="212"/>
      <c r="U199" s="212"/>
      <c r="V199" s="212"/>
      <c r="W199" s="69">
        <f>SUM(AI202:AI229)</f>
        <v>107</v>
      </c>
      <c r="X199" s="212" t="s">
        <v>16</v>
      </c>
      <c r="Y199" s="212"/>
      <c r="Z199" s="212"/>
      <c r="AA199" s="212"/>
      <c r="AB199" s="69">
        <f>IF($M$2="Mensalista",R199*8,IF($M$2="Horista",90,IF($M$2="Intermitente",(ROUNDDOWN((R199*8*0.909),0)),"")))</f>
        <v>176</v>
      </c>
      <c r="AC199" s="212" t="s">
        <v>17</v>
      </c>
      <c r="AD199" s="245"/>
      <c r="AE199" s="245"/>
      <c r="AF199" s="246">
        <f>IF($M$2="","",IF($M$2="RSA","",W199/AB199))</f>
        <v>0.60795454545454541</v>
      </c>
      <c r="AG199" s="289"/>
      <c r="AH199" s="101"/>
      <c r="AI199" s="70"/>
    </row>
    <row r="200" spans="1:35" ht="15" hidden="1" customHeight="1" outlineLevel="1">
      <c r="A200" s="217"/>
      <c r="B200" s="290"/>
      <c r="C200" s="47">
        <f>A199</f>
        <v>46204</v>
      </c>
      <c r="D200" s="32">
        <f t="shared" ref="D200:AG200" si="684">C200+1</f>
        <v>46205</v>
      </c>
      <c r="E200" s="32">
        <f t="shared" si="684"/>
        <v>46206</v>
      </c>
      <c r="F200" s="33">
        <f t="shared" si="684"/>
        <v>46207</v>
      </c>
      <c r="G200" s="34">
        <f t="shared" si="684"/>
        <v>46208</v>
      </c>
      <c r="H200" s="32">
        <f t="shared" si="684"/>
        <v>46209</v>
      </c>
      <c r="I200" s="32">
        <f t="shared" si="684"/>
        <v>46210</v>
      </c>
      <c r="J200" s="32">
        <f t="shared" si="684"/>
        <v>46211</v>
      </c>
      <c r="K200" s="32">
        <f t="shared" si="684"/>
        <v>46212</v>
      </c>
      <c r="L200" s="32">
        <f t="shared" si="684"/>
        <v>46213</v>
      </c>
      <c r="M200" s="33">
        <f t="shared" si="684"/>
        <v>46214</v>
      </c>
      <c r="N200" s="34">
        <f t="shared" si="684"/>
        <v>46215</v>
      </c>
      <c r="O200" s="32">
        <f t="shared" si="684"/>
        <v>46216</v>
      </c>
      <c r="P200" s="32">
        <f t="shared" si="684"/>
        <v>46217</v>
      </c>
      <c r="Q200" s="32">
        <f t="shared" si="684"/>
        <v>46218</v>
      </c>
      <c r="R200" s="32">
        <f t="shared" si="684"/>
        <v>46219</v>
      </c>
      <c r="S200" s="32">
        <f t="shared" si="684"/>
        <v>46220</v>
      </c>
      <c r="T200" s="33">
        <f t="shared" si="684"/>
        <v>46221</v>
      </c>
      <c r="U200" s="34">
        <f t="shared" si="684"/>
        <v>46222</v>
      </c>
      <c r="V200" s="32">
        <f t="shared" si="684"/>
        <v>46223</v>
      </c>
      <c r="W200" s="32">
        <f t="shared" si="684"/>
        <v>46224</v>
      </c>
      <c r="X200" s="32">
        <f t="shared" si="684"/>
        <v>46225</v>
      </c>
      <c r="Y200" s="32">
        <f t="shared" si="684"/>
        <v>46226</v>
      </c>
      <c r="Z200" s="32">
        <f t="shared" si="684"/>
        <v>46227</v>
      </c>
      <c r="AA200" s="33">
        <f t="shared" si="684"/>
        <v>46228</v>
      </c>
      <c r="AB200" s="34">
        <f t="shared" si="684"/>
        <v>46229</v>
      </c>
      <c r="AC200" s="32">
        <f t="shared" si="684"/>
        <v>46230</v>
      </c>
      <c r="AD200" s="32">
        <f t="shared" si="684"/>
        <v>46231</v>
      </c>
      <c r="AE200" s="32">
        <f t="shared" si="684"/>
        <v>46232</v>
      </c>
      <c r="AF200" s="32">
        <f t="shared" si="684"/>
        <v>46233</v>
      </c>
      <c r="AG200" s="134">
        <f t="shared" si="684"/>
        <v>46234</v>
      </c>
      <c r="AH200" s="90"/>
      <c r="AI200" s="71"/>
    </row>
    <row r="201" spans="1:35" ht="15.75" hidden="1" customHeight="1" outlineLevel="1">
      <c r="A201" s="291"/>
      <c r="B201" s="292"/>
      <c r="C201" s="48">
        <f>A199</f>
        <v>46204</v>
      </c>
      <c r="D201" s="91">
        <f t="shared" ref="D201:AG201" si="685">C201+1</f>
        <v>46205</v>
      </c>
      <c r="E201" s="91">
        <f t="shared" si="685"/>
        <v>46206</v>
      </c>
      <c r="F201" s="35">
        <f t="shared" si="685"/>
        <v>46207</v>
      </c>
      <c r="G201" s="36">
        <f t="shared" si="685"/>
        <v>46208</v>
      </c>
      <c r="H201" s="91">
        <f t="shared" si="685"/>
        <v>46209</v>
      </c>
      <c r="I201" s="91">
        <f t="shared" si="685"/>
        <v>46210</v>
      </c>
      <c r="J201" s="91">
        <f t="shared" si="685"/>
        <v>46211</v>
      </c>
      <c r="K201" s="91">
        <f t="shared" si="685"/>
        <v>46212</v>
      </c>
      <c r="L201" s="91">
        <f t="shared" si="685"/>
        <v>46213</v>
      </c>
      <c r="M201" s="35">
        <f t="shared" si="685"/>
        <v>46214</v>
      </c>
      <c r="N201" s="36">
        <f t="shared" si="685"/>
        <v>46215</v>
      </c>
      <c r="O201" s="91">
        <f t="shared" si="685"/>
        <v>46216</v>
      </c>
      <c r="P201" s="91">
        <f t="shared" si="685"/>
        <v>46217</v>
      </c>
      <c r="Q201" s="91">
        <f t="shared" si="685"/>
        <v>46218</v>
      </c>
      <c r="R201" s="91">
        <f t="shared" si="685"/>
        <v>46219</v>
      </c>
      <c r="S201" s="91">
        <f t="shared" si="685"/>
        <v>46220</v>
      </c>
      <c r="T201" s="35">
        <f t="shared" si="685"/>
        <v>46221</v>
      </c>
      <c r="U201" s="36">
        <f t="shared" si="685"/>
        <v>46222</v>
      </c>
      <c r="V201" s="91">
        <f t="shared" si="685"/>
        <v>46223</v>
      </c>
      <c r="W201" s="91">
        <f t="shared" si="685"/>
        <v>46224</v>
      </c>
      <c r="X201" s="91">
        <f t="shared" si="685"/>
        <v>46225</v>
      </c>
      <c r="Y201" s="91">
        <f t="shared" si="685"/>
        <v>46226</v>
      </c>
      <c r="Z201" s="91">
        <f t="shared" si="685"/>
        <v>46227</v>
      </c>
      <c r="AA201" s="35">
        <f t="shared" si="685"/>
        <v>46228</v>
      </c>
      <c r="AB201" s="36">
        <f t="shared" si="685"/>
        <v>46229</v>
      </c>
      <c r="AC201" s="91">
        <f t="shared" si="685"/>
        <v>46230</v>
      </c>
      <c r="AD201" s="91">
        <f t="shared" si="685"/>
        <v>46231</v>
      </c>
      <c r="AE201" s="91">
        <f t="shared" si="685"/>
        <v>46232</v>
      </c>
      <c r="AF201" s="91">
        <f t="shared" si="685"/>
        <v>46233</v>
      </c>
      <c r="AG201" s="135">
        <f t="shared" si="685"/>
        <v>46234</v>
      </c>
      <c r="AH201" s="92"/>
      <c r="AI201" s="70"/>
    </row>
    <row r="202" spans="1:35" ht="15" hidden="1" customHeight="1" outlineLevel="1">
      <c r="A202" s="222" t="s">
        <v>18</v>
      </c>
      <c r="B202" s="215" t="s">
        <v>19</v>
      </c>
      <c r="C202" s="37"/>
      <c r="D202" s="211"/>
      <c r="E202" s="37"/>
      <c r="F202" s="38"/>
      <c r="G202" s="39"/>
      <c r="H202" s="37"/>
      <c r="I202" s="37"/>
      <c r="J202" s="37"/>
      <c r="K202" s="37"/>
      <c r="L202" s="37"/>
      <c r="M202" s="190" t="s">
        <v>32</v>
      </c>
      <c r="N202" s="39"/>
      <c r="O202" s="37"/>
      <c r="P202" s="37"/>
      <c r="Q202" s="37"/>
      <c r="R202" s="143" t="s">
        <v>41</v>
      </c>
      <c r="S202" s="143" t="s">
        <v>41</v>
      </c>
      <c r="T202" s="38"/>
      <c r="U202" s="39"/>
      <c r="V202" s="37"/>
      <c r="W202" s="143" t="s">
        <v>41</v>
      </c>
      <c r="X202" s="37"/>
      <c r="Y202" s="143" t="s">
        <v>41</v>
      </c>
      <c r="Z202" s="143" t="s">
        <v>41</v>
      </c>
      <c r="AA202" s="38"/>
      <c r="AB202" s="39"/>
      <c r="AC202" s="143" t="s">
        <v>41</v>
      </c>
      <c r="AD202" s="143" t="s">
        <v>41</v>
      </c>
      <c r="AE202" s="143" t="s">
        <v>41</v>
      </c>
      <c r="AF202" s="143" t="s">
        <v>41</v>
      </c>
      <c r="AG202" s="136"/>
      <c r="AH202" s="93"/>
      <c r="AI202" s="71">
        <f>COUNTA($C202:$AG202)</f>
        <v>10</v>
      </c>
    </row>
    <row r="203" spans="1:35" ht="15" hidden="1" customHeight="1" outlineLevel="1">
      <c r="A203" s="221"/>
      <c r="B203" s="293"/>
      <c r="C203" s="94" t="str">
        <f>IF(ISERROR(VLOOKUP(C202,$K$394:$W$428,9,FALSE)),"",VLOOKUP(C202,$K$394:$W$428,9,FALSE))</f>
        <v/>
      </c>
      <c r="D203" s="294"/>
      <c r="E203" s="94" t="str">
        <f t="shared" ref="E203:F203" si="686">IF(ISERROR(VLOOKUP(E202,$K$394:$W$428,9,FALSE)),"",VLOOKUP(E202,$K$394:$W$428,9,FALSE))</f>
        <v/>
      </c>
      <c r="F203" s="95" t="str">
        <f t="shared" si="686"/>
        <v/>
      </c>
      <c r="G203" s="96"/>
      <c r="H203" s="94" t="str">
        <f t="shared" ref="H203" si="687">IF(ISERROR(VLOOKUP(H202,$K$394:$W$428,9,FALSE)),"",VLOOKUP(H202,$K$394:$W$428,9,FALSE))</f>
        <v/>
      </c>
      <c r="I203" s="94" t="str">
        <f t="shared" ref="I203" si="688">IF(ISERROR(VLOOKUP(I202,$K$394:$W$428,9,FALSE)),"",VLOOKUP(I202,$K$394:$W$428,9,FALSE))</f>
        <v/>
      </c>
      <c r="J203" s="94" t="str">
        <f t="shared" ref="J203:M203" si="689">IF(ISERROR(VLOOKUP(J202,$K$394:$W$428,9,FALSE)),"",VLOOKUP(J202,$K$394:$W$428,9,FALSE))</f>
        <v/>
      </c>
      <c r="K203" s="94" t="str">
        <f t="shared" si="689"/>
        <v/>
      </c>
      <c r="L203" s="94" t="str">
        <f t="shared" si="689"/>
        <v/>
      </c>
      <c r="M203" s="191">
        <f t="shared" si="689"/>
        <v>96379</v>
      </c>
      <c r="N203" s="96"/>
      <c r="O203" s="94" t="str">
        <f t="shared" ref="O203:Q203" si="690">IF(ISERROR(VLOOKUP(O202,$K$394:$W$428,9,FALSE)),"",VLOOKUP(O202,$K$394:$W$428,9,FALSE))</f>
        <v/>
      </c>
      <c r="P203" s="94" t="str">
        <f t="shared" si="690"/>
        <v/>
      </c>
      <c r="Q203" s="94" t="str">
        <f t="shared" si="690"/>
        <v/>
      </c>
      <c r="R203" s="40">
        <f t="shared" ref="R203:S203" si="691">IF(ISERROR(VLOOKUP(R202,$K$394:$W$428,9,FALSE)),"",VLOOKUP(R202,$K$394:$W$428,9,FALSE))</f>
        <v>105342</v>
      </c>
      <c r="S203" s="40">
        <f t="shared" si="691"/>
        <v>105342</v>
      </c>
      <c r="T203" s="95" t="str">
        <f t="shared" ref="T203" si="692">IF(ISERROR(VLOOKUP(T202,$K$394:$W$428,9,FALSE)),"",VLOOKUP(T202,$K$394:$W$428,9,FALSE))</f>
        <v/>
      </c>
      <c r="U203" s="96"/>
      <c r="V203" s="94" t="str">
        <f t="shared" ref="V203" si="693">IF(ISERROR(VLOOKUP(V202,$K$394:$W$428,9,FALSE)),"",VLOOKUP(V202,$K$394:$W$428,9,FALSE))</f>
        <v/>
      </c>
      <c r="W203" s="40">
        <f t="shared" ref="W203:X203" si="694">IF(ISERROR(VLOOKUP(W202,$K$394:$W$428,9,FALSE)),"",VLOOKUP(W202,$K$394:$W$428,9,FALSE))</f>
        <v>105342</v>
      </c>
      <c r="X203" s="94" t="str">
        <f t="shared" si="694"/>
        <v/>
      </c>
      <c r="Y203" s="40">
        <f t="shared" ref="Y203:Z203" si="695">IF(ISERROR(VLOOKUP(Y202,$K$394:$W$428,9,FALSE)),"",VLOOKUP(Y202,$K$394:$W$428,9,FALSE))</f>
        <v>105342</v>
      </c>
      <c r="Z203" s="40">
        <f t="shared" si="695"/>
        <v>105342</v>
      </c>
      <c r="AA203" s="95" t="str">
        <f t="shared" ref="AA203" si="696">IF(ISERROR(VLOOKUP(AA202,$K$394:$W$428,9,FALSE)),"",VLOOKUP(AA202,$K$394:$W$428,9,FALSE))</f>
        <v/>
      </c>
      <c r="AB203" s="96"/>
      <c r="AC203" s="40">
        <f t="shared" ref="AC203" si="697">IF(ISERROR(VLOOKUP(AC202,$K$394:$W$428,9,FALSE)),"",VLOOKUP(AC202,$K$394:$W$428,9,FALSE))</f>
        <v>105342</v>
      </c>
      <c r="AD203" s="40">
        <f t="shared" ref="AD203" si="698">IF(ISERROR(VLOOKUP(AD202,$K$394:$W$428,9,FALSE)),"",VLOOKUP(AD202,$K$394:$W$428,9,FALSE))</f>
        <v>105342</v>
      </c>
      <c r="AE203" s="40">
        <f t="shared" ref="AE203" si="699">IF(ISERROR(VLOOKUP(AE202,$K$394:$W$428,9,FALSE)),"",VLOOKUP(AE202,$K$394:$W$428,9,FALSE))</f>
        <v>105342</v>
      </c>
      <c r="AF203" s="40">
        <f t="shared" ref="AF203" si="700">IF(ISERROR(VLOOKUP(AF202,$K$394:$W$428,9,FALSE)),"",VLOOKUP(AF202,$K$394:$W$428,9,FALSE))</f>
        <v>105342</v>
      </c>
      <c r="AG203" s="138" t="str">
        <f t="shared" ref="AG203" si="701">IF(ISERROR(VLOOKUP(AG202,$K$394:$W$428,9,FALSE)),"",VLOOKUP(AG202,$K$394:$W$428,9,FALSE))</f>
        <v/>
      </c>
      <c r="AH203" s="97"/>
      <c r="AI203" s="71"/>
    </row>
    <row r="204" spans="1:35" ht="15" hidden="1" customHeight="1" outlineLevel="1">
      <c r="A204" s="221"/>
      <c r="B204" s="216" t="s">
        <v>20</v>
      </c>
      <c r="C204" s="37"/>
      <c r="D204" s="211"/>
      <c r="E204" s="37"/>
      <c r="F204" s="38"/>
      <c r="G204" s="39"/>
      <c r="H204" s="37"/>
      <c r="I204" s="37"/>
      <c r="J204" s="37"/>
      <c r="K204" s="37"/>
      <c r="L204" s="37"/>
      <c r="M204" s="190" t="s">
        <v>32</v>
      </c>
      <c r="N204" s="39"/>
      <c r="O204" s="37"/>
      <c r="P204" s="37"/>
      <c r="Q204" s="37"/>
      <c r="R204" s="143" t="s">
        <v>41</v>
      </c>
      <c r="S204" s="143" t="s">
        <v>41</v>
      </c>
      <c r="T204" s="38"/>
      <c r="U204" s="39"/>
      <c r="V204" s="37"/>
      <c r="W204" s="143" t="s">
        <v>41</v>
      </c>
      <c r="X204" s="37"/>
      <c r="Y204" s="143" t="s">
        <v>41</v>
      </c>
      <c r="Z204" s="143" t="s">
        <v>41</v>
      </c>
      <c r="AA204" s="38"/>
      <c r="AB204" s="39"/>
      <c r="AC204" s="143" t="s">
        <v>41</v>
      </c>
      <c r="AD204" s="143" t="s">
        <v>41</v>
      </c>
      <c r="AE204" s="143" t="s">
        <v>41</v>
      </c>
      <c r="AF204" s="143" t="s">
        <v>41</v>
      </c>
      <c r="AG204" s="136"/>
      <c r="AH204" s="93"/>
      <c r="AI204" s="71">
        <f>COUNTA($C204:$AG204)</f>
        <v>10</v>
      </c>
    </row>
    <row r="205" spans="1:35" ht="15" hidden="1" customHeight="1" outlineLevel="1">
      <c r="A205" s="221"/>
      <c r="B205" s="294"/>
      <c r="C205" s="94" t="str">
        <f>IF(ISERROR(VLOOKUP(C204,$K$394:$W$428,9,FALSE)),"",VLOOKUP(C204,$K$394:$W$428,9,FALSE))</f>
        <v/>
      </c>
      <c r="D205" s="294"/>
      <c r="E205" s="94" t="str">
        <f t="shared" ref="E205:F205" si="702">IF(ISERROR(VLOOKUP(E204,$K$394:$W$428,9,FALSE)),"",VLOOKUP(E204,$K$394:$W$428,9,FALSE))</f>
        <v/>
      </c>
      <c r="F205" s="95" t="str">
        <f t="shared" si="702"/>
        <v/>
      </c>
      <c r="G205" s="96"/>
      <c r="H205" s="40" t="str">
        <f t="shared" ref="H205" si="703">IF(ISERROR(VLOOKUP(H204,$K$394:$W$428,9,FALSE)),"",VLOOKUP(H204,$K$394:$W$428,9,FALSE))</f>
        <v/>
      </c>
      <c r="I205" s="40" t="str">
        <f t="shared" ref="I205" si="704">IF(ISERROR(VLOOKUP(I204,$K$394:$W$428,9,FALSE)),"",VLOOKUP(I204,$K$394:$W$428,9,FALSE))</f>
        <v/>
      </c>
      <c r="J205" s="94" t="str">
        <f t="shared" ref="J205:M205" si="705">IF(ISERROR(VLOOKUP(J204,$K$394:$W$428,9,FALSE)),"",VLOOKUP(J204,$K$394:$W$428,9,FALSE))</f>
        <v/>
      </c>
      <c r="K205" s="40" t="str">
        <f t="shared" si="705"/>
        <v/>
      </c>
      <c r="L205" s="40" t="str">
        <f t="shared" si="705"/>
        <v/>
      </c>
      <c r="M205" s="191">
        <f t="shared" si="705"/>
        <v>96379</v>
      </c>
      <c r="N205" s="96"/>
      <c r="O205" s="40" t="str">
        <f t="shared" ref="O205:Q205" si="706">IF(ISERROR(VLOOKUP(O204,$K$394:$W$428,9,FALSE)),"",VLOOKUP(O204,$K$394:$W$428,9,FALSE))</f>
        <v/>
      </c>
      <c r="P205" s="40" t="str">
        <f t="shared" si="706"/>
        <v/>
      </c>
      <c r="Q205" s="40" t="str">
        <f t="shared" si="706"/>
        <v/>
      </c>
      <c r="R205" s="94">
        <f t="shared" ref="R205:S205" si="707">IF(ISERROR(VLOOKUP(R204,$K$394:$W$428,9,FALSE)),"",VLOOKUP(R204,$K$394:$W$428,9,FALSE))</f>
        <v>105342</v>
      </c>
      <c r="S205" s="94">
        <f t="shared" si="707"/>
        <v>105342</v>
      </c>
      <c r="T205" s="95" t="str">
        <f t="shared" ref="T205" si="708">IF(ISERROR(VLOOKUP(T204,$K$394:$W$428,9,FALSE)),"",VLOOKUP(T204,$K$394:$W$428,9,FALSE))</f>
        <v/>
      </c>
      <c r="U205" s="96"/>
      <c r="V205" s="40" t="str">
        <f t="shared" ref="V205" si="709">IF(ISERROR(VLOOKUP(V204,$K$394:$W$428,9,FALSE)),"",VLOOKUP(V204,$K$394:$W$428,9,FALSE))</f>
        <v/>
      </c>
      <c r="W205" s="94">
        <f t="shared" ref="W205:X205" si="710">IF(ISERROR(VLOOKUP(W204,$K$394:$W$428,9,FALSE)),"",VLOOKUP(W204,$K$394:$W$428,9,FALSE))</f>
        <v>105342</v>
      </c>
      <c r="X205" s="40" t="str">
        <f t="shared" si="710"/>
        <v/>
      </c>
      <c r="Y205" s="94">
        <f t="shared" ref="Y205:Z205" si="711">IF(ISERROR(VLOOKUP(Y204,$K$394:$W$428,9,FALSE)),"",VLOOKUP(Y204,$K$394:$W$428,9,FALSE))</f>
        <v>105342</v>
      </c>
      <c r="Z205" s="94">
        <f t="shared" si="711"/>
        <v>105342</v>
      </c>
      <c r="AA205" s="95" t="str">
        <f t="shared" ref="AA205" si="712">IF(ISERROR(VLOOKUP(AA204,$K$394:$W$428,9,FALSE)),"",VLOOKUP(AA204,$K$394:$W$428,9,FALSE))</f>
        <v/>
      </c>
      <c r="AB205" s="96"/>
      <c r="AC205" s="94">
        <f t="shared" ref="AC205" si="713">IF(ISERROR(VLOOKUP(AC204,$K$394:$W$428,9,FALSE)),"",VLOOKUP(AC204,$K$394:$W$428,9,FALSE))</f>
        <v>105342</v>
      </c>
      <c r="AD205" s="94">
        <f t="shared" ref="AD205" si="714">IF(ISERROR(VLOOKUP(AD204,$K$394:$W$428,9,FALSE)),"",VLOOKUP(AD204,$K$394:$W$428,9,FALSE))</f>
        <v>105342</v>
      </c>
      <c r="AE205" s="94">
        <f t="shared" ref="AE205" si="715">IF(ISERROR(VLOOKUP(AE204,$K$394:$W$428,9,FALSE)),"",VLOOKUP(AE204,$K$394:$W$428,9,FALSE))</f>
        <v>105342</v>
      </c>
      <c r="AF205" s="94">
        <f t="shared" ref="AF205" si="716">IF(ISERROR(VLOOKUP(AF204,$K$394:$W$428,9,FALSE)),"",VLOOKUP(AF204,$K$394:$W$428,9,FALSE))</f>
        <v>105342</v>
      </c>
      <c r="AG205" s="137" t="str">
        <f t="shared" ref="AG205" si="717">IF(ISERROR(VLOOKUP(AG204,$K$394:$W$428,9,FALSE)),"",VLOOKUP(AG204,$K$394:$W$428,9,FALSE))</f>
        <v/>
      </c>
      <c r="AH205" s="97"/>
      <c r="AI205" s="71"/>
    </row>
    <row r="206" spans="1:35" ht="15" hidden="1" customHeight="1" outlineLevel="1">
      <c r="A206" s="221"/>
      <c r="B206" s="216" t="s">
        <v>21</v>
      </c>
      <c r="C206" s="37"/>
      <c r="D206" s="211"/>
      <c r="E206" s="37"/>
      <c r="F206" s="38"/>
      <c r="G206" s="39"/>
      <c r="H206" s="37"/>
      <c r="I206" s="37"/>
      <c r="J206" s="37"/>
      <c r="K206" s="37"/>
      <c r="L206" s="37"/>
      <c r="M206" s="190" t="s">
        <v>32</v>
      </c>
      <c r="N206" s="39"/>
      <c r="O206" s="37"/>
      <c r="P206" s="37"/>
      <c r="Q206" s="37"/>
      <c r="R206" s="143" t="s">
        <v>41</v>
      </c>
      <c r="S206" s="143" t="s">
        <v>41</v>
      </c>
      <c r="T206" s="38"/>
      <c r="U206" s="39"/>
      <c r="V206" s="37"/>
      <c r="W206" s="143" t="s">
        <v>41</v>
      </c>
      <c r="X206" s="37"/>
      <c r="Y206" s="143" t="s">
        <v>41</v>
      </c>
      <c r="Z206" s="143" t="s">
        <v>41</v>
      </c>
      <c r="AA206" s="38"/>
      <c r="AB206" s="39"/>
      <c r="AC206" s="143" t="s">
        <v>41</v>
      </c>
      <c r="AD206" s="143" t="s">
        <v>41</v>
      </c>
      <c r="AE206" s="143" t="s">
        <v>41</v>
      </c>
      <c r="AF206" s="143" t="s">
        <v>41</v>
      </c>
      <c r="AG206" s="136"/>
      <c r="AH206" s="93"/>
      <c r="AI206" s="71">
        <f>COUNTA($C206:$AG206)</f>
        <v>10</v>
      </c>
    </row>
    <row r="207" spans="1:35" ht="15" hidden="1" customHeight="1" outlineLevel="1">
      <c r="A207" s="221"/>
      <c r="B207" s="294"/>
      <c r="C207" s="40" t="str">
        <f>IF(ISERROR(VLOOKUP(C206,$K$394:$W$428,9,FALSE)),"",VLOOKUP(C206,$K$394:$W$428,9,FALSE))</f>
        <v/>
      </c>
      <c r="D207" s="294"/>
      <c r="E207" s="40" t="str">
        <f t="shared" ref="E207:F207" si="718">IF(ISERROR(VLOOKUP(E206,$K$394:$W$428,9,FALSE)),"",VLOOKUP(E206,$K$394:$W$428,9,FALSE))</f>
        <v/>
      </c>
      <c r="F207" s="41" t="str">
        <f t="shared" si="718"/>
        <v/>
      </c>
      <c r="G207" s="42"/>
      <c r="H207" s="94" t="str">
        <f t="shared" ref="H207" si="719">IF(ISERROR(VLOOKUP(H206,$K$394:$W$428,9,FALSE)),"",VLOOKUP(H206,$K$394:$W$428,9,FALSE))</f>
        <v/>
      </c>
      <c r="I207" s="94" t="str">
        <f t="shared" ref="I207" si="720">IF(ISERROR(VLOOKUP(I206,$K$394:$W$428,9,FALSE)),"",VLOOKUP(I206,$K$394:$W$428,9,FALSE))</f>
        <v/>
      </c>
      <c r="J207" s="40" t="str">
        <f t="shared" ref="J207:M207" si="721">IF(ISERROR(VLOOKUP(J206,$K$394:$W$428,9,FALSE)),"",VLOOKUP(J206,$K$394:$W$428,9,FALSE))</f>
        <v/>
      </c>
      <c r="K207" s="94" t="str">
        <f t="shared" si="721"/>
        <v/>
      </c>
      <c r="L207" s="94" t="str">
        <f t="shared" si="721"/>
        <v/>
      </c>
      <c r="M207" s="191">
        <f t="shared" si="721"/>
        <v>96379</v>
      </c>
      <c r="N207" s="42"/>
      <c r="O207" s="94" t="str">
        <f t="shared" ref="O207:Q207" si="722">IF(ISERROR(VLOOKUP(O206,$K$394:$W$428,9,FALSE)),"",VLOOKUP(O206,$K$394:$W$428,9,FALSE))</f>
        <v/>
      </c>
      <c r="P207" s="94" t="str">
        <f t="shared" si="722"/>
        <v/>
      </c>
      <c r="Q207" s="94" t="str">
        <f t="shared" si="722"/>
        <v/>
      </c>
      <c r="R207" s="40">
        <f t="shared" ref="R207:S207" si="723">IF(ISERROR(VLOOKUP(R206,$K$394:$W$428,9,FALSE)),"",VLOOKUP(R206,$K$394:$W$428,9,FALSE))</f>
        <v>105342</v>
      </c>
      <c r="S207" s="40">
        <f t="shared" si="723"/>
        <v>105342</v>
      </c>
      <c r="T207" s="41" t="str">
        <f t="shared" ref="T207" si="724">IF(ISERROR(VLOOKUP(T206,$K$394:$W$428,9,FALSE)),"",VLOOKUP(T206,$K$394:$W$428,9,FALSE))</f>
        <v/>
      </c>
      <c r="U207" s="42"/>
      <c r="V207" s="94" t="str">
        <f t="shared" ref="V207" si="725">IF(ISERROR(VLOOKUP(V206,$K$394:$W$428,9,FALSE)),"",VLOOKUP(V206,$K$394:$W$428,9,FALSE))</f>
        <v/>
      </c>
      <c r="W207" s="40">
        <f t="shared" ref="W207:X207" si="726">IF(ISERROR(VLOOKUP(W206,$K$394:$W$428,9,FALSE)),"",VLOOKUP(W206,$K$394:$W$428,9,FALSE))</f>
        <v>105342</v>
      </c>
      <c r="X207" s="94" t="str">
        <f t="shared" si="726"/>
        <v/>
      </c>
      <c r="Y207" s="40">
        <f t="shared" ref="Y207:Z207" si="727">IF(ISERROR(VLOOKUP(Y206,$K$394:$W$428,9,FALSE)),"",VLOOKUP(Y206,$K$394:$W$428,9,FALSE))</f>
        <v>105342</v>
      </c>
      <c r="Z207" s="40">
        <f t="shared" si="727"/>
        <v>105342</v>
      </c>
      <c r="AA207" s="41" t="str">
        <f t="shared" ref="AA207" si="728">IF(ISERROR(VLOOKUP(AA206,$K$394:$W$428,9,FALSE)),"",VLOOKUP(AA206,$K$394:$W$428,9,FALSE))</f>
        <v/>
      </c>
      <c r="AB207" s="42"/>
      <c r="AC207" s="40">
        <f t="shared" ref="AC207" si="729">IF(ISERROR(VLOOKUP(AC206,$K$394:$W$428,9,FALSE)),"",VLOOKUP(AC206,$K$394:$W$428,9,FALSE))</f>
        <v>105342</v>
      </c>
      <c r="AD207" s="40">
        <f t="shared" ref="AD207" si="730">IF(ISERROR(VLOOKUP(AD206,$K$394:$W$428,9,FALSE)),"",VLOOKUP(AD206,$K$394:$W$428,9,FALSE))</f>
        <v>105342</v>
      </c>
      <c r="AE207" s="40">
        <f t="shared" ref="AE207" si="731">IF(ISERROR(VLOOKUP(AE206,$K$394:$W$428,9,FALSE)),"",VLOOKUP(AE206,$K$394:$W$428,9,FALSE))</f>
        <v>105342</v>
      </c>
      <c r="AF207" s="40">
        <f t="shared" ref="AF207" si="732">IF(ISERROR(VLOOKUP(AF206,$K$394:$W$428,9,FALSE)),"",VLOOKUP(AF206,$K$394:$W$428,9,FALSE))</f>
        <v>105342</v>
      </c>
      <c r="AG207" s="138" t="str">
        <f t="shared" ref="AG207" si="733">IF(ISERROR(VLOOKUP(AG206,$K$394:$W$428,9,FALSE)),"",VLOOKUP(AG206,$K$394:$W$428,9,FALSE))</f>
        <v/>
      </c>
      <c r="AH207" s="97"/>
      <c r="AI207" s="71"/>
    </row>
    <row r="208" spans="1:35" ht="15" hidden="1" customHeight="1" outlineLevel="1">
      <c r="A208" s="221"/>
      <c r="B208" s="216" t="s">
        <v>22</v>
      </c>
      <c r="C208" s="37"/>
      <c r="D208" s="211"/>
      <c r="E208" s="37"/>
      <c r="F208" s="38"/>
      <c r="G208" s="39"/>
      <c r="H208" s="37"/>
      <c r="I208" s="37"/>
      <c r="J208" s="37"/>
      <c r="K208" s="37"/>
      <c r="L208" s="37"/>
      <c r="M208" s="38"/>
      <c r="N208" s="39"/>
      <c r="O208" s="37"/>
      <c r="P208" s="37"/>
      <c r="Q208" s="37"/>
      <c r="R208" s="143" t="s">
        <v>41</v>
      </c>
      <c r="S208" s="143" t="s">
        <v>41</v>
      </c>
      <c r="T208" s="38"/>
      <c r="U208" s="39"/>
      <c r="V208" s="37"/>
      <c r="W208" s="143" t="s">
        <v>41</v>
      </c>
      <c r="X208" s="37"/>
      <c r="Y208" s="143" t="s">
        <v>41</v>
      </c>
      <c r="Z208" s="143" t="s">
        <v>41</v>
      </c>
      <c r="AA208" s="38"/>
      <c r="AB208" s="39"/>
      <c r="AC208" s="143" t="s">
        <v>41</v>
      </c>
      <c r="AD208" s="143" t="s">
        <v>41</v>
      </c>
      <c r="AE208" s="143" t="s">
        <v>41</v>
      </c>
      <c r="AF208" s="143" t="s">
        <v>41</v>
      </c>
      <c r="AG208" s="136"/>
      <c r="AH208" s="93"/>
      <c r="AI208" s="71">
        <f>COUNTA($C208:$AG208)</f>
        <v>9</v>
      </c>
    </row>
    <row r="209" spans="1:35" ht="15" hidden="1" customHeight="1" outlineLevel="1">
      <c r="A209" s="221"/>
      <c r="B209" s="294"/>
      <c r="C209" s="94" t="str">
        <f>IF(ISERROR(VLOOKUP(C208,$K$394:$W$428,9,FALSE)),"",VLOOKUP(C208,$K$394:$W$428,9,FALSE))</f>
        <v/>
      </c>
      <c r="D209" s="294"/>
      <c r="E209" s="94" t="str">
        <f t="shared" ref="E209:F209" si="734">IF(ISERROR(VLOOKUP(E208,$K$394:$W$428,9,FALSE)),"",VLOOKUP(E208,$K$394:$W$428,9,FALSE))</f>
        <v/>
      </c>
      <c r="F209" s="95" t="str">
        <f t="shared" si="734"/>
        <v/>
      </c>
      <c r="G209" s="96"/>
      <c r="H209" s="94" t="str">
        <f t="shared" ref="H209" si="735">IF(ISERROR(VLOOKUP(H208,$K$394:$W$428,9,FALSE)),"",VLOOKUP(H208,$K$394:$W$428,9,FALSE))</f>
        <v/>
      </c>
      <c r="I209" s="94" t="str">
        <f t="shared" ref="I209" si="736">IF(ISERROR(VLOOKUP(I208,$K$394:$W$428,9,FALSE)),"",VLOOKUP(I208,$K$394:$W$428,9,FALSE))</f>
        <v/>
      </c>
      <c r="J209" s="94" t="str">
        <f t="shared" ref="J209:M209" si="737">IF(ISERROR(VLOOKUP(J208,$K$394:$W$428,9,FALSE)),"",VLOOKUP(J208,$K$394:$W$428,9,FALSE))</f>
        <v/>
      </c>
      <c r="K209" s="94" t="str">
        <f t="shared" si="737"/>
        <v/>
      </c>
      <c r="L209" s="94" t="str">
        <f t="shared" si="737"/>
        <v/>
      </c>
      <c r="M209" s="95" t="str">
        <f t="shared" si="737"/>
        <v/>
      </c>
      <c r="N209" s="96"/>
      <c r="O209" s="94" t="str">
        <f t="shared" ref="O209:Q209" si="738">IF(ISERROR(VLOOKUP(O208,$K$394:$W$428,9,FALSE)),"",VLOOKUP(O208,$K$394:$W$428,9,FALSE))</f>
        <v/>
      </c>
      <c r="P209" s="94" t="str">
        <f t="shared" si="738"/>
        <v/>
      </c>
      <c r="Q209" s="94" t="str">
        <f t="shared" si="738"/>
        <v/>
      </c>
      <c r="R209" s="43">
        <f t="shared" ref="R209:S209" si="739">IF(ISERROR(VLOOKUP(R208,$K$394:$W$428,9,FALSE)),"",VLOOKUP(R208,$K$394:$W$428,9,FALSE))</f>
        <v>105342</v>
      </c>
      <c r="S209" s="43">
        <f t="shared" si="739"/>
        <v>105342</v>
      </c>
      <c r="T209" s="95" t="str">
        <f t="shared" ref="T209" si="740">IF(ISERROR(VLOOKUP(T208,$K$394:$W$428,9,FALSE)),"",VLOOKUP(T208,$K$394:$W$428,9,FALSE))</f>
        <v/>
      </c>
      <c r="U209" s="96"/>
      <c r="V209" s="94" t="str">
        <f t="shared" ref="V209" si="741">IF(ISERROR(VLOOKUP(V208,$K$394:$W$428,9,FALSE)),"",VLOOKUP(V208,$K$394:$W$428,9,FALSE))</f>
        <v/>
      </c>
      <c r="W209" s="43">
        <f t="shared" ref="W209:X209" si="742">IF(ISERROR(VLOOKUP(W208,$K$394:$W$428,9,FALSE)),"",VLOOKUP(W208,$K$394:$W$428,9,FALSE))</f>
        <v>105342</v>
      </c>
      <c r="X209" s="94" t="str">
        <f t="shared" si="742"/>
        <v/>
      </c>
      <c r="Y209" s="43">
        <f t="shared" ref="Y209:Z209" si="743">IF(ISERROR(VLOOKUP(Y208,$K$394:$W$428,9,FALSE)),"",VLOOKUP(Y208,$K$394:$W$428,9,FALSE))</f>
        <v>105342</v>
      </c>
      <c r="Z209" s="43">
        <f t="shared" si="743"/>
        <v>105342</v>
      </c>
      <c r="AA209" s="95" t="str">
        <f t="shared" ref="AA209" si="744">IF(ISERROR(VLOOKUP(AA208,$K$394:$W$428,9,FALSE)),"",VLOOKUP(AA208,$K$394:$W$428,9,FALSE))</f>
        <v/>
      </c>
      <c r="AB209" s="96"/>
      <c r="AC209" s="43">
        <f t="shared" ref="AC209" si="745">IF(ISERROR(VLOOKUP(AC208,$K$394:$W$428,9,FALSE)),"",VLOOKUP(AC208,$K$394:$W$428,9,FALSE))</f>
        <v>105342</v>
      </c>
      <c r="AD209" s="43">
        <f t="shared" ref="AD209" si="746">IF(ISERROR(VLOOKUP(AD208,$K$394:$W$428,9,FALSE)),"",VLOOKUP(AD208,$K$394:$W$428,9,FALSE))</f>
        <v>105342</v>
      </c>
      <c r="AE209" s="43">
        <f t="shared" ref="AE209" si="747">IF(ISERROR(VLOOKUP(AE208,$K$394:$W$428,9,FALSE)),"",VLOOKUP(AE208,$K$394:$W$428,9,FALSE))</f>
        <v>105342</v>
      </c>
      <c r="AF209" s="43">
        <f t="shared" ref="AF209" si="748">IF(ISERROR(VLOOKUP(AF208,$K$394:$W$428,9,FALSE)),"",VLOOKUP(AF208,$K$394:$W$428,9,FALSE))</f>
        <v>105342</v>
      </c>
      <c r="AG209" s="137" t="str">
        <f t="shared" ref="AG209" si="749">IF(ISERROR(VLOOKUP(AG208,$K$394:$W$428,9,FALSE)),"",VLOOKUP(AG208,$K$394:$W$428,9,FALSE))</f>
        <v/>
      </c>
      <c r="AH209" s="97"/>
      <c r="AI209" s="71"/>
    </row>
    <row r="210" spans="1:35" ht="15" hidden="1" customHeight="1" outlineLevel="1">
      <c r="A210" s="221"/>
      <c r="B210" s="216" t="s">
        <v>23</v>
      </c>
      <c r="C210" s="37"/>
      <c r="D210" s="211"/>
      <c r="E210" s="37"/>
      <c r="F210" s="38"/>
      <c r="G210" s="39"/>
      <c r="H210" s="37"/>
      <c r="I210" s="37"/>
      <c r="J210" s="37"/>
      <c r="K210" s="37"/>
      <c r="L210" s="37"/>
      <c r="M210" s="38"/>
      <c r="N210" s="39"/>
      <c r="O210" s="37"/>
      <c r="P210" s="37"/>
      <c r="Q210" s="37"/>
      <c r="R210" s="37"/>
      <c r="S210" s="37"/>
      <c r="T210" s="38"/>
      <c r="U210" s="39"/>
      <c r="V210" s="37"/>
      <c r="W210" s="37"/>
      <c r="X210" s="37"/>
      <c r="Y210" s="37"/>
      <c r="Z210" s="37"/>
      <c r="AA210" s="38"/>
      <c r="AB210" s="39"/>
      <c r="AC210" s="37"/>
      <c r="AD210" s="37"/>
      <c r="AE210" s="37"/>
      <c r="AF210" s="37"/>
      <c r="AG210" s="136"/>
      <c r="AH210" s="93"/>
      <c r="AI210" s="71">
        <f>COUNTA($C210:$AG210)</f>
        <v>0</v>
      </c>
    </row>
    <row r="211" spans="1:35" ht="15" hidden="1" customHeight="1" outlineLevel="1">
      <c r="A211" s="223"/>
      <c r="B211" s="294"/>
      <c r="C211" s="40" t="str">
        <f>IF(ISERROR(VLOOKUP(C210,$K$394:$W$428,9,FALSE)),"",VLOOKUP(C210,$K$394:$W$428,9,FALSE))</f>
        <v/>
      </c>
      <c r="D211" s="294"/>
      <c r="E211" s="40" t="str">
        <f t="shared" ref="E211:F211" si="750">IF(ISERROR(VLOOKUP(E210,$K$394:$W$428,9,FALSE)),"",VLOOKUP(E210,$K$394:$W$428,9,FALSE))</f>
        <v/>
      </c>
      <c r="F211" s="41" t="str">
        <f t="shared" si="750"/>
        <v/>
      </c>
      <c r="G211" s="42"/>
      <c r="H211" s="40" t="str">
        <f t="shared" ref="H211:M211" si="751">IF(ISERROR(VLOOKUP(H210,$K$394:$W$428,9,FALSE)),"",VLOOKUP(H210,$K$394:$W$428,9,FALSE))</f>
        <v/>
      </c>
      <c r="I211" s="40" t="str">
        <f t="shared" si="751"/>
        <v/>
      </c>
      <c r="J211" s="40" t="str">
        <f t="shared" si="751"/>
        <v/>
      </c>
      <c r="K211" s="40" t="str">
        <f t="shared" si="751"/>
        <v/>
      </c>
      <c r="L211" s="40" t="str">
        <f t="shared" si="751"/>
        <v/>
      </c>
      <c r="M211" s="41" t="str">
        <f t="shared" si="751"/>
        <v/>
      </c>
      <c r="N211" s="42"/>
      <c r="O211" s="94" t="str">
        <f t="shared" ref="O211:S211" si="752">IF(ISERROR(VLOOKUP(O210,$K$394:$W$428,9,FALSE)),"",VLOOKUP(O210,$K$394:$W$428,9,FALSE))</f>
        <v/>
      </c>
      <c r="P211" s="94" t="str">
        <f t="shared" si="752"/>
        <v/>
      </c>
      <c r="Q211" s="94" t="str">
        <f t="shared" si="752"/>
        <v/>
      </c>
      <c r="R211" s="94" t="str">
        <f t="shared" si="752"/>
        <v/>
      </c>
      <c r="S211" s="94" t="str">
        <f t="shared" si="752"/>
        <v/>
      </c>
      <c r="T211" s="41" t="str">
        <f t="shared" ref="T211" si="753">IF(ISERROR(VLOOKUP(T210,$K$394:$W$428,9,FALSE)),"",VLOOKUP(T210,$K$394:$W$428,9,FALSE))</f>
        <v/>
      </c>
      <c r="U211" s="42"/>
      <c r="V211" s="40" t="str">
        <f t="shared" ref="V211:AA211" si="754">IF(ISERROR(VLOOKUP(V210,$K$394:$W$428,9,FALSE)),"",VLOOKUP(V210,$K$394:$W$428,9,FALSE))</f>
        <v/>
      </c>
      <c r="W211" s="40" t="str">
        <f t="shared" si="754"/>
        <v/>
      </c>
      <c r="X211" s="40" t="str">
        <f t="shared" si="754"/>
        <v/>
      </c>
      <c r="Y211" s="40" t="str">
        <f t="shared" si="754"/>
        <v/>
      </c>
      <c r="Z211" s="40" t="str">
        <f t="shared" si="754"/>
        <v/>
      </c>
      <c r="AA211" s="41" t="str">
        <f t="shared" si="754"/>
        <v/>
      </c>
      <c r="AB211" s="42"/>
      <c r="AC211" s="40" t="str">
        <f t="shared" ref="AC211:AG211" si="755">IF(ISERROR(VLOOKUP(AC210,$K$394:$W$428,9,FALSE)),"",VLOOKUP(AC210,$K$394:$W$428,9,FALSE))</f>
        <v/>
      </c>
      <c r="AD211" s="40" t="str">
        <f t="shared" si="755"/>
        <v/>
      </c>
      <c r="AE211" s="40" t="str">
        <f t="shared" si="755"/>
        <v/>
      </c>
      <c r="AF211" s="40" t="str">
        <f t="shared" si="755"/>
        <v/>
      </c>
      <c r="AG211" s="138" t="str">
        <f t="shared" si="755"/>
        <v/>
      </c>
      <c r="AH211" s="97"/>
      <c r="AI211" s="71"/>
    </row>
    <row r="212" spans="1:35" ht="15" hidden="1" customHeight="1" outlineLevel="1">
      <c r="A212" s="221" t="s">
        <v>24</v>
      </c>
      <c r="B212" s="216" t="s">
        <v>19</v>
      </c>
      <c r="C212" s="157" t="s">
        <v>36</v>
      </c>
      <c r="D212" s="211"/>
      <c r="E212" s="37"/>
      <c r="F212" s="38"/>
      <c r="G212" s="39"/>
      <c r="H212" s="157"/>
      <c r="I212" s="157" t="s">
        <v>36</v>
      </c>
      <c r="J212" s="157" t="s">
        <v>36</v>
      </c>
      <c r="K212" s="157" t="s">
        <v>36</v>
      </c>
      <c r="L212" s="157" t="s">
        <v>36</v>
      </c>
      <c r="M212" s="38"/>
      <c r="N212" s="39"/>
      <c r="O212" s="37" t="s">
        <v>42</v>
      </c>
      <c r="P212" s="146"/>
      <c r="Q212" s="185"/>
      <c r="R212" s="37" t="s">
        <v>42</v>
      </c>
      <c r="S212" s="37" t="s">
        <v>42</v>
      </c>
      <c r="T212" s="38"/>
      <c r="U212" s="39"/>
      <c r="V212" s="37" t="s">
        <v>42</v>
      </c>
      <c r="W212" s="37" t="s">
        <v>42</v>
      </c>
      <c r="X212" s="37" t="s">
        <v>42</v>
      </c>
      <c r="Y212" s="37" t="s">
        <v>42</v>
      </c>
      <c r="Z212" s="37" t="s">
        <v>42</v>
      </c>
      <c r="AA212" s="38"/>
      <c r="AB212" s="39"/>
      <c r="AC212" s="37"/>
      <c r="AD212" s="37"/>
      <c r="AE212" s="37"/>
      <c r="AF212" s="37"/>
      <c r="AG212" s="136"/>
      <c r="AH212" s="93"/>
      <c r="AI212" s="71">
        <f>COUNTA($C212:$AG212)</f>
        <v>13</v>
      </c>
    </row>
    <row r="213" spans="1:35" ht="15" hidden="1" customHeight="1" outlineLevel="1">
      <c r="A213" s="221"/>
      <c r="B213" s="293"/>
      <c r="C213" s="94">
        <f t="shared" ref="C213" si="756">IF(ISERROR(VLOOKUP(C212,$K$394:$W$428,9,FALSE)),"",VLOOKUP(C212,$K$394:$W$428,9,FALSE))</f>
        <v>101706</v>
      </c>
      <c r="D213" s="294"/>
      <c r="E213" s="94" t="str">
        <f t="shared" ref="E213:F213" si="757">IF(ISERROR(VLOOKUP(E212,$K$394:$W$428,9,FALSE)),"",VLOOKUP(E212,$K$394:$W$428,9,FALSE))</f>
        <v/>
      </c>
      <c r="F213" s="95" t="str">
        <f t="shared" si="757"/>
        <v/>
      </c>
      <c r="G213" s="96"/>
      <c r="H213" s="94"/>
      <c r="I213" s="94">
        <f t="shared" ref="I213" si="758">IF(ISERROR(VLOOKUP(I212,$K$394:$W$428,9,FALSE)),"",VLOOKUP(I212,$K$394:$W$428,9,FALSE))</f>
        <v>101706</v>
      </c>
      <c r="J213" s="94">
        <f t="shared" ref="J213:M213" si="759">IF(ISERROR(VLOOKUP(J212,$K$394:$W$428,9,FALSE)),"",VLOOKUP(J212,$K$394:$W$428,9,FALSE))</f>
        <v>101706</v>
      </c>
      <c r="K213" s="94">
        <f t="shared" si="759"/>
        <v>101706</v>
      </c>
      <c r="L213" s="94">
        <f t="shared" si="759"/>
        <v>101706</v>
      </c>
      <c r="M213" s="95" t="str">
        <f t="shared" si="759"/>
        <v/>
      </c>
      <c r="N213" s="96"/>
      <c r="O213" s="94" t="str">
        <f t="shared" ref="O213:T213" si="760">IF(ISERROR(VLOOKUP(O212,$K$394:$W$428,9,FALSE)),"",VLOOKUP(O212,$K$394:$W$428,9,FALSE))</f>
        <v/>
      </c>
      <c r="P213" s="151" t="str">
        <f t="shared" si="760"/>
        <v/>
      </c>
      <c r="Q213" s="186" t="str">
        <f t="shared" si="760"/>
        <v/>
      </c>
      <c r="R213" s="94" t="str">
        <f t="shared" ref="R213:S213" si="761">IF(ISERROR(VLOOKUP(R212,$K$394:$W$428,9,FALSE)),"",VLOOKUP(R212,$K$394:$W$428,9,FALSE))</f>
        <v/>
      </c>
      <c r="S213" s="94" t="str">
        <f t="shared" si="761"/>
        <v/>
      </c>
      <c r="T213" s="95" t="str">
        <f t="shared" si="760"/>
        <v/>
      </c>
      <c r="U213" s="96"/>
      <c r="V213" s="94" t="str">
        <f t="shared" ref="V213:Z213" si="762">IF(ISERROR(VLOOKUP(V212,$K$394:$W$428,9,FALSE)),"",VLOOKUP(V212,$K$394:$W$428,9,FALSE))</f>
        <v/>
      </c>
      <c r="W213" s="94" t="str">
        <f t="shared" si="762"/>
        <v/>
      </c>
      <c r="X213" s="94" t="str">
        <f t="shared" si="762"/>
        <v/>
      </c>
      <c r="Y213" s="94" t="str">
        <f t="shared" si="762"/>
        <v/>
      </c>
      <c r="Z213" s="94" t="str">
        <f t="shared" si="762"/>
        <v/>
      </c>
      <c r="AA213" s="95" t="str">
        <f t="shared" ref="AA213" si="763">IF(ISERROR(VLOOKUP(AA212,$K$394:$W$428,9,FALSE)),"",VLOOKUP(AA212,$K$394:$W$428,9,FALSE))</f>
        <v/>
      </c>
      <c r="AB213" s="96"/>
      <c r="AC213" s="94" t="str">
        <f t="shared" ref="AC213:AG213" si="764">IF(ISERROR(VLOOKUP(AC212,$K$394:$W$428,9,FALSE)),"",VLOOKUP(AC212,$K$394:$W$428,9,FALSE))</f>
        <v/>
      </c>
      <c r="AD213" s="94" t="str">
        <f t="shared" si="764"/>
        <v/>
      </c>
      <c r="AE213" s="94" t="str">
        <f t="shared" si="764"/>
        <v/>
      </c>
      <c r="AF213" s="94" t="str">
        <f t="shared" si="764"/>
        <v/>
      </c>
      <c r="AG213" s="137" t="str">
        <f t="shared" si="764"/>
        <v/>
      </c>
      <c r="AH213" s="97"/>
      <c r="AI213" s="71"/>
    </row>
    <row r="214" spans="1:35" ht="15" hidden="1" customHeight="1" outlineLevel="1">
      <c r="A214" s="221"/>
      <c r="B214" s="216" t="s">
        <v>20</v>
      </c>
      <c r="C214" s="157" t="s">
        <v>36</v>
      </c>
      <c r="D214" s="211"/>
      <c r="E214" s="37"/>
      <c r="F214" s="38"/>
      <c r="G214" s="39"/>
      <c r="H214" s="157"/>
      <c r="I214" s="157" t="s">
        <v>36</v>
      </c>
      <c r="J214" s="157" t="s">
        <v>36</v>
      </c>
      <c r="K214" s="157" t="s">
        <v>36</v>
      </c>
      <c r="L214" s="157" t="s">
        <v>36</v>
      </c>
      <c r="M214" s="38"/>
      <c r="N214" s="39"/>
      <c r="O214" s="37" t="s">
        <v>42</v>
      </c>
      <c r="P214" s="146"/>
      <c r="Q214" s="185"/>
      <c r="R214" s="37" t="s">
        <v>42</v>
      </c>
      <c r="S214" s="37" t="s">
        <v>42</v>
      </c>
      <c r="T214" s="38"/>
      <c r="U214" s="39"/>
      <c r="V214" s="37" t="s">
        <v>42</v>
      </c>
      <c r="W214" s="37" t="s">
        <v>42</v>
      </c>
      <c r="X214" s="37" t="s">
        <v>42</v>
      </c>
      <c r="Y214" s="37" t="s">
        <v>42</v>
      </c>
      <c r="Z214" s="37" t="s">
        <v>42</v>
      </c>
      <c r="AA214" s="38"/>
      <c r="AB214" s="39"/>
      <c r="AC214" s="37"/>
      <c r="AD214" s="37"/>
      <c r="AE214" s="37"/>
      <c r="AF214" s="37"/>
      <c r="AG214" s="136"/>
      <c r="AH214" s="93"/>
      <c r="AI214" s="71">
        <f>COUNTA($C214:$AG214)</f>
        <v>13</v>
      </c>
    </row>
    <row r="215" spans="1:35" ht="15" hidden="1" customHeight="1" outlineLevel="1">
      <c r="A215" s="221"/>
      <c r="B215" s="294"/>
      <c r="C215" s="94">
        <f t="shared" ref="C215" si="765">IF(ISERROR(VLOOKUP(C214,$K$394:$W$428,9,FALSE)),"",VLOOKUP(C214,$K$394:$W$428,9,FALSE))</f>
        <v>101706</v>
      </c>
      <c r="D215" s="294"/>
      <c r="E215" s="40" t="str">
        <f t="shared" ref="E215:F215" si="766">IF(ISERROR(VLOOKUP(E214,$K$394:$W$428,9,FALSE)),"",VLOOKUP(E214,$K$394:$W$428,9,FALSE))</f>
        <v/>
      </c>
      <c r="F215" s="41" t="str">
        <f t="shared" si="766"/>
        <v/>
      </c>
      <c r="G215" s="42"/>
      <c r="H215" s="94"/>
      <c r="I215" s="94">
        <f t="shared" ref="I215" si="767">IF(ISERROR(VLOOKUP(I214,$K$394:$W$428,9,FALSE)),"",VLOOKUP(I214,$K$394:$W$428,9,FALSE))</f>
        <v>101706</v>
      </c>
      <c r="J215" s="94">
        <f t="shared" ref="J215:M215" si="768">IF(ISERROR(VLOOKUP(J214,$K$394:$W$428,9,FALSE)),"",VLOOKUP(J214,$K$394:$W$428,9,FALSE))</f>
        <v>101706</v>
      </c>
      <c r="K215" s="94">
        <f t="shared" si="768"/>
        <v>101706</v>
      </c>
      <c r="L215" s="94">
        <f t="shared" si="768"/>
        <v>101706</v>
      </c>
      <c r="M215" s="41" t="str">
        <f t="shared" si="768"/>
        <v/>
      </c>
      <c r="N215" s="42"/>
      <c r="O215" s="40" t="str">
        <f t="shared" ref="O215:T215" si="769">IF(ISERROR(VLOOKUP(O214,$K$394:$W$428,9,FALSE)),"",VLOOKUP(O214,$K$394:$W$428,9,FALSE))</f>
        <v/>
      </c>
      <c r="P215" s="147" t="str">
        <f t="shared" si="769"/>
        <v/>
      </c>
      <c r="Q215" s="187" t="str">
        <f t="shared" si="769"/>
        <v/>
      </c>
      <c r="R215" s="40" t="str">
        <f t="shared" ref="R215:S215" si="770">IF(ISERROR(VLOOKUP(R214,$K$394:$W$428,9,FALSE)),"",VLOOKUP(R214,$K$394:$W$428,9,FALSE))</f>
        <v/>
      </c>
      <c r="S215" s="40" t="str">
        <f t="shared" si="770"/>
        <v/>
      </c>
      <c r="T215" s="41" t="str">
        <f t="shared" si="769"/>
        <v/>
      </c>
      <c r="U215" s="42"/>
      <c r="V215" s="40" t="str">
        <f t="shared" ref="V215:Z215" si="771">IF(ISERROR(VLOOKUP(V214,$K$394:$W$428,9,FALSE)),"",VLOOKUP(V214,$K$394:$W$428,9,FALSE))</f>
        <v/>
      </c>
      <c r="W215" s="40" t="str">
        <f t="shared" si="771"/>
        <v/>
      </c>
      <c r="X215" s="40" t="str">
        <f t="shared" si="771"/>
        <v/>
      </c>
      <c r="Y215" s="40" t="str">
        <f t="shared" si="771"/>
        <v/>
      </c>
      <c r="Z215" s="40" t="str">
        <f t="shared" si="771"/>
        <v/>
      </c>
      <c r="AA215" s="41" t="str">
        <f t="shared" ref="AA215" si="772">IF(ISERROR(VLOOKUP(AA214,$K$394:$W$428,9,FALSE)),"",VLOOKUP(AA214,$K$394:$W$428,9,FALSE))</f>
        <v/>
      </c>
      <c r="AB215" s="42"/>
      <c r="AC215" s="40" t="str">
        <f t="shared" ref="AC215:AG215" si="773">IF(ISERROR(VLOOKUP(AC214,$K$394:$W$428,9,FALSE)),"",VLOOKUP(AC214,$K$394:$W$428,9,FALSE))</f>
        <v/>
      </c>
      <c r="AD215" s="40" t="str">
        <f t="shared" si="773"/>
        <v/>
      </c>
      <c r="AE215" s="40" t="str">
        <f>IF(ISERROR(VLOOKUP(AE214,$K$394:$W$428,9,FALSE)),"",VLOOKUP(AE214,$K$394:$W$428,9,FALSE))</f>
        <v/>
      </c>
      <c r="AF215" s="40" t="str">
        <f t="shared" si="773"/>
        <v/>
      </c>
      <c r="AG215" s="138" t="str">
        <f t="shared" si="773"/>
        <v/>
      </c>
      <c r="AH215" s="97"/>
      <c r="AI215" s="71"/>
    </row>
    <row r="216" spans="1:35" ht="15" hidden="1" customHeight="1" outlineLevel="1">
      <c r="A216" s="221"/>
      <c r="B216" s="216" t="s">
        <v>21</v>
      </c>
      <c r="C216" s="157" t="s">
        <v>36</v>
      </c>
      <c r="D216" s="211"/>
      <c r="E216" s="37"/>
      <c r="F216" s="38"/>
      <c r="G216" s="39"/>
      <c r="H216" s="157"/>
      <c r="I216" s="157" t="s">
        <v>36</v>
      </c>
      <c r="J216" s="157" t="s">
        <v>36</v>
      </c>
      <c r="K216" s="157" t="s">
        <v>36</v>
      </c>
      <c r="L216" s="157"/>
      <c r="M216" s="38"/>
      <c r="N216" s="39"/>
      <c r="O216" s="37" t="s">
        <v>42</v>
      </c>
      <c r="P216" s="146"/>
      <c r="Q216" s="185"/>
      <c r="R216" s="37" t="s">
        <v>42</v>
      </c>
      <c r="S216" s="37" t="s">
        <v>42</v>
      </c>
      <c r="T216" s="38"/>
      <c r="U216" s="39"/>
      <c r="V216" s="37" t="s">
        <v>42</v>
      </c>
      <c r="W216" s="37" t="s">
        <v>42</v>
      </c>
      <c r="X216" s="37" t="s">
        <v>42</v>
      </c>
      <c r="Y216" s="37" t="s">
        <v>42</v>
      </c>
      <c r="Z216" s="37" t="s">
        <v>42</v>
      </c>
      <c r="AA216" s="38"/>
      <c r="AB216" s="39"/>
      <c r="AC216" s="37"/>
      <c r="AD216" s="37"/>
      <c r="AE216" s="37"/>
      <c r="AF216" s="37"/>
      <c r="AG216" s="136"/>
      <c r="AH216" s="93"/>
      <c r="AI216" s="71">
        <f>COUNTA($C216:$AG216)</f>
        <v>12</v>
      </c>
    </row>
    <row r="217" spans="1:35" ht="15" hidden="1" customHeight="1" outlineLevel="1">
      <c r="A217" s="221"/>
      <c r="B217" s="294"/>
      <c r="C217" s="94">
        <f t="shared" ref="C217" si="774">IF(ISERROR(VLOOKUP(C216,$K$394:$W$428,9,FALSE)),"",VLOOKUP(C216,$K$394:$W$428,9,FALSE))</f>
        <v>101706</v>
      </c>
      <c r="D217" s="294"/>
      <c r="E217" s="94" t="str">
        <f t="shared" ref="E217:F217" si="775">IF(ISERROR(VLOOKUP(E216,$K$394:$W$428,9,FALSE)),"",VLOOKUP(E216,$K$394:$W$428,9,FALSE))</f>
        <v/>
      </c>
      <c r="F217" s="95" t="str">
        <f t="shared" si="775"/>
        <v/>
      </c>
      <c r="G217" s="96"/>
      <c r="H217" s="94"/>
      <c r="I217" s="94">
        <f t="shared" ref="I217" si="776">IF(ISERROR(VLOOKUP(I216,$K$394:$W$428,9,FALSE)),"",VLOOKUP(I216,$K$394:$W$428,9,FALSE))</f>
        <v>101706</v>
      </c>
      <c r="J217" s="94">
        <f t="shared" ref="J217:M217" si="777">IF(ISERROR(VLOOKUP(J216,$K$394:$W$428,9,FALSE)),"",VLOOKUP(J216,$K$394:$W$428,9,FALSE))</f>
        <v>101706</v>
      </c>
      <c r="K217" s="94">
        <f t="shared" si="777"/>
        <v>101706</v>
      </c>
      <c r="L217" s="94"/>
      <c r="M217" s="95" t="str">
        <f t="shared" si="777"/>
        <v/>
      </c>
      <c r="N217" s="96"/>
      <c r="O217" s="40" t="str">
        <f t="shared" ref="O217:O219" si="778">IF(ISERROR(VLOOKUP(O216,$K$394:$W$428,9,FALSE)),"",VLOOKUP(O216,$K$394:$W$428,9,FALSE))</f>
        <v/>
      </c>
      <c r="P217" s="151" t="str">
        <f t="shared" ref="P217:T219" si="779">IF(ISERROR(VLOOKUP(P216,$K$394:$W$428,9,FALSE)),"",VLOOKUP(P216,$K$394:$W$428,9,FALSE))</f>
        <v/>
      </c>
      <c r="Q217" s="186" t="str">
        <f t="shared" si="779"/>
        <v/>
      </c>
      <c r="R217" s="40" t="str">
        <f t="shared" si="779"/>
        <v/>
      </c>
      <c r="S217" s="40" t="str">
        <f t="shared" si="779"/>
        <v/>
      </c>
      <c r="T217" s="95" t="str">
        <f t="shared" si="779"/>
        <v/>
      </c>
      <c r="U217" s="96"/>
      <c r="V217" s="40" t="str">
        <f t="shared" ref="V217:Z219" si="780">IF(ISERROR(VLOOKUP(V216,$K$394:$W$428,9,FALSE)),"",VLOOKUP(V216,$K$394:$W$428,9,FALSE))</f>
        <v/>
      </c>
      <c r="W217" s="40" t="str">
        <f t="shared" si="780"/>
        <v/>
      </c>
      <c r="X217" s="40" t="str">
        <f t="shared" si="780"/>
        <v/>
      </c>
      <c r="Y217" s="40" t="str">
        <f t="shared" si="780"/>
        <v/>
      </c>
      <c r="Z217" s="40" t="str">
        <f t="shared" si="780"/>
        <v/>
      </c>
      <c r="AA217" s="95" t="str">
        <f t="shared" ref="AA217" si="781">IF(ISERROR(VLOOKUP(AA216,$K$394:$W$428,9,FALSE)),"",VLOOKUP(AA216,$K$394:$W$428,9,FALSE))</f>
        <v/>
      </c>
      <c r="AB217" s="96"/>
      <c r="AC217" s="94" t="str">
        <f t="shared" ref="AC217:AG217" si="782">IF(ISERROR(VLOOKUP(AC216,$K$394:$W$428,9,FALSE)),"",VLOOKUP(AC216,$K$394:$W$428,9,FALSE))</f>
        <v/>
      </c>
      <c r="AD217" s="94" t="str">
        <f t="shared" si="782"/>
        <v/>
      </c>
      <c r="AE217" s="94" t="str">
        <f t="shared" si="782"/>
        <v/>
      </c>
      <c r="AF217" s="94" t="str">
        <f t="shared" si="782"/>
        <v/>
      </c>
      <c r="AG217" s="137" t="str">
        <f t="shared" si="782"/>
        <v/>
      </c>
      <c r="AH217" s="97"/>
      <c r="AI217" s="71"/>
    </row>
    <row r="218" spans="1:35" ht="15" hidden="1" customHeight="1" outlineLevel="1">
      <c r="A218" s="221"/>
      <c r="B218" s="216" t="s">
        <v>22</v>
      </c>
      <c r="C218" s="157" t="s">
        <v>36</v>
      </c>
      <c r="D218" s="211"/>
      <c r="E218" s="37"/>
      <c r="F218" s="38"/>
      <c r="G218" s="39"/>
      <c r="H218" s="157"/>
      <c r="I218" s="157" t="s">
        <v>36</v>
      </c>
      <c r="J218" s="157" t="s">
        <v>36</v>
      </c>
      <c r="K218" s="157" t="s">
        <v>36</v>
      </c>
      <c r="L218" s="157"/>
      <c r="M218" s="38"/>
      <c r="N218" s="39"/>
      <c r="O218" s="37" t="s">
        <v>42</v>
      </c>
      <c r="P218" s="146"/>
      <c r="Q218" s="188"/>
      <c r="R218" s="37" t="s">
        <v>42</v>
      </c>
      <c r="S218" s="37" t="s">
        <v>42</v>
      </c>
      <c r="T218" s="38"/>
      <c r="U218" s="39"/>
      <c r="V218" s="37" t="s">
        <v>42</v>
      </c>
      <c r="W218" s="37" t="s">
        <v>42</v>
      </c>
      <c r="X218" s="37" t="s">
        <v>42</v>
      </c>
      <c r="Y218" s="37" t="s">
        <v>42</v>
      </c>
      <c r="Z218" s="37" t="s">
        <v>42</v>
      </c>
      <c r="AA218" s="38"/>
      <c r="AB218" s="39"/>
      <c r="AC218" s="37"/>
      <c r="AD218" s="37"/>
      <c r="AE218" s="37"/>
      <c r="AF218" s="37"/>
      <c r="AG218" s="136"/>
      <c r="AH218" s="93"/>
      <c r="AI218" s="71">
        <f>COUNTA($C218:$AG218)</f>
        <v>12</v>
      </c>
    </row>
    <row r="219" spans="1:35" ht="15" hidden="1" customHeight="1" outlineLevel="1">
      <c r="A219" s="221"/>
      <c r="B219" s="294"/>
      <c r="C219" s="94">
        <f t="shared" ref="C219" si="783">IF(ISERROR(VLOOKUP(C218,$K$394:$W$428,9,FALSE)),"",VLOOKUP(C218,$K$394:$W$428,9,FALSE))</f>
        <v>101706</v>
      </c>
      <c r="D219" s="294"/>
      <c r="E219" s="94" t="str">
        <f t="shared" ref="E219:F219" si="784">IF(ISERROR(VLOOKUP(E218,$K$394:$W$428,9,FALSE)),"",VLOOKUP(E218,$K$394:$W$428,9,FALSE))</f>
        <v/>
      </c>
      <c r="F219" s="95" t="str">
        <f t="shared" si="784"/>
        <v/>
      </c>
      <c r="G219" s="96"/>
      <c r="H219" s="94" t="str">
        <f t="shared" ref="H219:I219" si="785">IF(ISERROR(VLOOKUP(H218,$K$394:$W$428,9,FALSE)),"",VLOOKUP(H218,$K$394:$W$428,9,FALSE))</f>
        <v/>
      </c>
      <c r="I219" s="94">
        <f t="shared" si="785"/>
        <v>101706</v>
      </c>
      <c r="J219" s="94">
        <f t="shared" ref="J219:M219" si="786">IF(ISERROR(VLOOKUP(J218,$K$394:$W$428,9,FALSE)),"",VLOOKUP(J218,$K$394:$W$428,9,FALSE))</f>
        <v>101706</v>
      </c>
      <c r="K219" s="94">
        <f t="shared" si="786"/>
        <v>101706</v>
      </c>
      <c r="L219" s="94" t="str">
        <f t="shared" si="786"/>
        <v/>
      </c>
      <c r="M219" s="95" t="str">
        <f t="shared" si="786"/>
        <v/>
      </c>
      <c r="N219" s="96"/>
      <c r="O219" s="40" t="str">
        <f t="shared" si="778"/>
        <v/>
      </c>
      <c r="P219" s="151" t="str">
        <f t="shared" ref="P219:T219" si="787">IF(ISERROR(VLOOKUP(P218,$K$394:$W$428,9,FALSE)),"",VLOOKUP(P218,$K$394:$W$428,9,FALSE))</f>
        <v/>
      </c>
      <c r="Q219" s="189" t="str">
        <f t="shared" si="787"/>
        <v/>
      </c>
      <c r="R219" s="40" t="str">
        <f t="shared" si="779"/>
        <v/>
      </c>
      <c r="S219" s="40" t="str">
        <f t="shared" si="779"/>
        <v/>
      </c>
      <c r="T219" s="95" t="str">
        <f t="shared" si="787"/>
        <v/>
      </c>
      <c r="U219" s="96"/>
      <c r="V219" s="40" t="str">
        <f t="shared" si="780"/>
        <v/>
      </c>
      <c r="W219" s="40" t="str">
        <f t="shared" si="780"/>
        <v/>
      </c>
      <c r="X219" s="40" t="str">
        <f t="shared" si="780"/>
        <v/>
      </c>
      <c r="Y219" s="40" t="str">
        <f t="shared" si="780"/>
        <v/>
      </c>
      <c r="Z219" s="40" t="str">
        <f t="shared" si="780"/>
        <v/>
      </c>
      <c r="AA219" s="95" t="str">
        <f t="shared" ref="AA219" si="788">IF(ISERROR(VLOOKUP(AA218,$K$394:$W$428,9,FALSE)),"",VLOOKUP(AA218,$K$394:$W$428,9,FALSE))</f>
        <v/>
      </c>
      <c r="AB219" s="96"/>
      <c r="AC219" s="94" t="str">
        <f t="shared" ref="AC219:AG219" si="789">IF(ISERROR(VLOOKUP(AC218,$K$394:$W$428,9,FALSE)),"",VLOOKUP(AC218,$K$394:$W$428,9,FALSE))</f>
        <v/>
      </c>
      <c r="AD219" s="94" t="str">
        <f t="shared" si="789"/>
        <v/>
      </c>
      <c r="AE219" s="94" t="str">
        <f t="shared" si="789"/>
        <v/>
      </c>
      <c r="AF219" s="94" t="str">
        <f t="shared" si="789"/>
        <v/>
      </c>
      <c r="AG219" s="137" t="str">
        <f t="shared" si="789"/>
        <v/>
      </c>
      <c r="AH219" s="97"/>
      <c r="AI219" s="71"/>
    </row>
    <row r="220" spans="1:35" ht="15" hidden="1" customHeight="1" outlineLevel="1">
      <c r="A220" s="221"/>
      <c r="B220" s="216" t="s">
        <v>23</v>
      </c>
      <c r="C220" s="37"/>
      <c r="D220" s="211"/>
      <c r="E220" s="37"/>
      <c r="F220" s="38"/>
      <c r="G220" s="39"/>
      <c r="H220" s="37"/>
      <c r="I220" s="37"/>
      <c r="J220" s="37"/>
      <c r="K220" s="37"/>
      <c r="L220" s="37"/>
      <c r="M220" s="38"/>
      <c r="N220" s="39"/>
      <c r="O220" s="37"/>
      <c r="P220" s="37"/>
      <c r="Q220" s="37"/>
      <c r="R220" s="37"/>
      <c r="S220" s="37"/>
      <c r="T220" s="38"/>
      <c r="U220" s="39"/>
      <c r="V220" s="37"/>
      <c r="W220" s="37"/>
      <c r="X220" s="37"/>
      <c r="Y220" s="37"/>
      <c r="Z220" s="37"/>
      <c r="AA220" s="38"/>
      <c r="AB220" s="39"/>
      <c r="AC220" s="37"/>
      <c r="AD220" s="37"/>
      <c r="AE220" s="37"/>
      <c r="AF220" s="37"/>
      <c r="AG220" s="136"/>
      <c r="AH220" s="93"/>
      <c r="AI220" s="71">
        <f>COUNTA($C220:$AG220)</f>
        <v>0</v>
      </c>
    </row>
    <row r="221" spans="1:35" ht="15" hidden="1" customHeight="1" outlineLevel="1">
      <c r="A221" s="223"/>
      <c r="B221" s="294"/>
      <c r="C221" s="40" t="str">
        <f>IF(ISERROR(VLOOKUP(C220,$K$394:$W$428,9,FALSE)),"",VLOOKUP(C220,$K$394:$W$428,9,FALSE))</f>
        <v/>
      </c>
      <c r="D221" s="294"/>
      <c r="E221" s="40" t="str">
        <f t="shared" ref="E221:F221" si="790">IF(ISERROR(VLOOKUP(E220,$K$394:$W$428,9,FALSE)),"",VLOOKUP(E220,$K$394:$W$428,9,FALSE))</f>
        <v/>
      </c>
      <c r="F221" s="41" t="str">
        <f t="shared" si="790"/>
        <v/>
      </c>
      <c r="G221" s="42"/>
      <c r="H221" s="40" t="str">
        <f t="shared" ref="H221:M221" si="791">IF(ISERROR(VLOOKUP(H220,$K$394:$W$428,9,FALSE)),"",VLOOKUP(H220,$K$394:$W$428,9,FALSE))</f>
        <v/>
      </c>
      <c r="I221" s="40" t="str">
        <f t="shared" si="791"/>
        <v/>
      </c>
      <c r="J221" s="40" t="str">
        <f t="shared" si="791"/>
        <v/>
      </c>
      <c r="K221" s="40" t="str">
        <f t="shared" si="791"/>
        <v/>
      </c>
      <c r="L221" s="40" t="str">
        <f t="shared" si="791"/>
        <v/>
      </c>
      <c r="M221" s="41" t="str">
        <f t="shared" si="791"/>
        <v/>
      </c>
      <c r="N221" s="42"/>
      <c r="O221" s="40" t="str">
        <f t="shared" ref="O221:T221" si="792">IF(ISERROR(VLOOKUP(O220,$K$394:$W$428,9,FALSE)),"",VLOOKUP(O220,$K$394:$W$428,9,FALSE))</f>
        <v/>
      </c>
      <c r="P221" s="40" t="str">
        <f t="shared" si="792"/>
        <v/>
      </c>
      <c r="Q221" s="40" t="str">
        <f t="shared" si="792"/>
        <v/>
      </c>
      <c r="R221" s="40" t="str">
        <f t="shared" si="792"/>
        <v/>
      </c>
      <c r="S221" s="40" t="str">
        <f t="shared" si="792"/>
        <v/>
      </c>
      <c r="T221" s="41" t="str">
        <f t="shared" si="792"/>
        <v/>
      </c>
      <c r="U221" s="42"/>
      <c r="V221" s="40" t="str">
        <f t="shared" ref="V221:AA221" si="793">IF(ISERROR(VLOOKUP(V220,$K$394:$W$428,9,FALSE)),"",VLOOKUP(V220,$K$394:$W$428,9,FALSE))</f>
        <v/>
      </c>
      <c r="W221" s="40" t="str">
        <f t="shared" si="793"/>
        <v/>
      </c>
      <c r="X221" s="40" t="str">
        <f t="shared" si="793"/>
        <v/>
      </c>
      <c r="Y221" s="40" t="str">
        <f t="shared" si="793"/>
        <v/>
      </c>
      <c r="Z221" s="40" t="str">
        <f t="shared" si="793"/>
        <v/>
      </c>
      <c r="AA221" s="41" t="str">
        <f t="shared" si="793"/>
        <v/>
      </c>
      <c r="AB221" s="42"/>
      <c r="AC221" s="40" t="str">
        <f t="shared" ref="AC221:AG221" si="794">IF(ISERROR(VLOOKUP(AC220,$K$394:$W$428,9,FALSE)),"",VLOOKUP(AC220,$K$394:$W$428,9,FALSE))</f>
        <v/>
      </c>
      <c r="AD221" s="40" t="str">
        <f t="shared" si="794"/>
        <v/>
      </c>
      <c r="AE221" s="40" t="str">
        <f t="shared" si="794"/>
        <v/>
      </c>
      <c r="AF221" s="40" t="str">
        <f t="shared" si="794"/>
        <v/>
      </c>
      <c r="AG221" s="138" t="str">
        <f t="shared" si="794"/>
        <v/>
      </c>
      <c r="AH221" s="97"/>
      <c r="AI221" s="71"/>
    </row>
    <row r="222" spans="1:35" ht="15" hidden="1" customHeight="1" outlineLevel="1">
      <c r="A222" s="221" t="s">
        <v>25</v>
      </c>
      <c r="B222" s="215" t="s">
        <v>19</v>
      </c>
      <c r="C222" s="148" t="s">
        <v>32</v>
      </c>
      <c r="D222" s="211"/>
      <c r="E222" s="148" t="s">
        <v>32</v>
      </c>
      <c r="F222" s="38"/>
      <c r="G222" s="39"/>
      <c r="H222" s="37"/>
      <c r="I222" s="148" t="s">
        <v>32</v>
      </c>
      <c r="J222" s="148" t="s">
        <v>32</v>
      </c>
      <c r="K222" s="148" t="s">
        <v>32</v>
      </c>
      <c r="L222" s="148" t="s">
        <v>32</v>
      </c>
      <c r="M222" s="38"/>
      <c r="N222" s="39"/>
      <c r="O222" s="146"/>
      <c r="P222" s="146"/>
      <c r="Q222" s="104"/>
      <c r="R222" s="37"/>
      <c r="S222" s="37"/>
      <c r="T222" s="38"/>
      <c r="U222" s="39"/>
      <c r="V222" s="146"/>
      <c r="W222" s="146"/>
      <c r="X222" s="146"/>
      <c r="Y222" s="146"/>
      <c r="Z222" s="146"/>
      <c r="AA222" s="38"/>
      <c r="AB222" s="39"/>
      <c r="AC222" s="37"/>
      <c r="AD222" s="37"/>
      <c r="AE222" s="37"/>
      <c r="AF222" s="37"/>
      <c r="AG222" s="136"/>
      <c r="AH222" s="93"/>
      <c r="AI222" s="71">
        <f>COUNTA($C222:$AG222)</f>
        <v>6</v>
      </c>
    </row>
    <row r="223" spans="1:35" ht="15" hidden="1" customHeight="1" outlineLevel="1">
      <c r="A223" s="293"/>
      <c r="B223" s="293"/>
      <c r="C223" s="40">
        <f t="shared" ref="C223" si="795">IF(ISERROR(VLOOKUP(C222,$K$394:$W$428,9,FALSE)),"",VLOOKUP(C222,$K$394:$W$428,9,FALSE))</f>
        <v>96379</v>
      </c>
      <c r="D223" s="294"/>
      <c r="E223" s="40">
        <f t="shared" ref="E223" si="796">IF(ISERROR(VLOOKUP(E222,$K$394:$W$428,9,FALSE)),"",VLOOKUP(E222,$K$394:$W$428,9,FALSE))</f>
        <v>96379</v>
      </c>
      <c r="F223" s="41" t="str">
        <f t="shared" ref="F223" si="797">IF(ISERROR(VLOOKUP(F222,$K$394:$W$428,9,FALSE)),"",VLOOKUP(F222,$K$394:$W$428,9,FALSE))</f>
        <v/>
      </c>
      <c r="G223" s="42"/>
      <c r="H223" s="40" t="str">
        <f t="shared" ref="H223" si="798">IF(ISERROR(VLOOKUP(H222,$K$394:$W$428,9,FALSE)),"",VLOOKUP(H222,$K$394:$W$428,9,FALSE))</f>
        <v/>
      </c>
      <c r="I223" s="40">
        <f t="shared" ref="I223:K223" si="799">IF(ISERROR(VLOOKUP(I222,$K$394:$W$428,9,FALSE)),"",VLOOKUP(I222,$K$394:$W$428,9,FALSE))</f>
        <v>96379</v>
      </c>
      <c r="J223" s="40">
        <f t="shared" si="799"/>
        <v>96379</v>
      </c>
      <c r="K223" s="40">
        <f t="shared" si="799"/>
        <v>96379</v>
      </c>
      <c r="L223" s="40">
        <f t="shared" ref="L223:M223" si="800">IF(ISERROR(VLOOKUP(L222,$K$394:$W$428,9,FALSE)),"",VLOOKUP(L222,$K$394:$W$428,9,FALSE))</f>
        <v>96379</v>
      </c>
      <c r="M223" s="41" t="str">
        <f t="shared" si="800"/>
        <v/>
      </c>
      <c r="N223" s="42"/>
      <c r="O223" s="147" t="str">
        <f t="shared" ref="O223:Q223" si="801">IF(ISERROR(VLOOKUP(O222,$K$394:$W$428,9,FALSE)),"",VLOOKUP(O222,$K$394:$W$428,9,FALSE))</f>
        <v/>
      </c>
      <c r="P223" s="147" t="str">
        <f t="shared" si="801"/>
        <v/>
      </c>
      <c r="Q223" s="105" t="str">
        <f t="shared" si="801"/>
        <v/>
      </c>
      <c r="R223" s="40" t="str">
        <f t="shared" ref="R223:S223" si="802">IF(ISERROR(VLOOKUP(R222,$K$394:$W$428,9,FALSE)),"",VLOOKUP(R222,$K$394:$W$428,9,FALSE))</f>
        <v/>
      </c>
      <c r="S223" s="40" t="str">
        <f t="shared" si="802"/>
        <v/>
      </c>
      <c r="T223" s="41" t="str">
        <f t="shared" ref="T223" si="803">IF(ISERROR(VLOOKUP(T222,$K$394:$W$428,9,FALSE)),"",VLOOKUP(T222,$K$394:$W$428,9,FALSE))</f>
        <v/>
      </c>
      <c r="U223" s="42"/>
      <c r="V223" s="147" t="str">
        <f t="shared" ref="V223:Y223" si="804">IF(ISERROR(VLOOKUP(V222,$K$394:$W$428,9,FALSE)),"",VLOOKUP(V222,$K$394:$W$428,9,FALSE))</f>
        <v/>
      </c>
      <c r="W223" s="147" t="str">
        <f t="shared" si="804"/>
        <v/>
      </c>
      <c r="X223" s="147" t="str">
        <f t="shared" si="804"/>
        <v/>
      </c>
      <c r="Y223" s="147" t="str">
        <f t="shared" si="804"/>
        <v/>
      </c>
      <c r="Z223" s="147" t="str">
        <f t="shared" ref="Z223:AA223" si="805">IF(ISERROR(VLOOKUP(Z222,$K$394:$W$428,9,FALSE)),"",VLOOKUP(Z222,$K$394:$W$428,9,FALSE))</f>
        <v/>
      </c>
      <c r="AA223" s="41" t="str">
        <f t="shared" si="805"/>
        <v/>
      </c>
      <c r="AB223" s="42"/>
      <c r="AC223" s="40" t="str">
        <f t="shared" ref="AC223:AG223" si="806">IF(ISERROR(VLOOKUP(AC222,$K$394:$W$428,9,FALSE)),"",VLOOKUP(AC222,$K$394:$W$428,9,FALSE))</f>
        <v/>
      </c>
      <c r="AD223" s="40" t="str">
        <f t="shared" si="806"/>
        <v/>
      </c>
      <c r="AE223" s="40" t="str">
        <f t="shared" si="806"/>
        <v/>
      </c>
      <c r="AF223" s="40" t="str">
        <f t="shared" si="806"/>
        <v/>
      </c>
      <c r="AG223" s="138" t="str">
        <f t="shared" si="806"/>
        <v/>
      </c>
      <c r="AH223" s="97"/>
      <c r="AI223" s="71"/>
    </row>
    <row r="224" spans="1:35" ht="15" hidden="1" customHeight="1" outlineLevel="1">
      <c r="A224" s="293"/>
      <c r="B224" s="216" t="s">
        <v>20</v>
      </c>
      <c r="C224" s="148" t="s">
        <v>32</v>
      </c>
      <c r="D224" s="211"/>
      <c r="E224" s="148" t="s">
        <v>32</v>
      </c>
      <c r="F224" s="38"/>
      <c r="G224" s="39"/>
      <c r="H224" s="37"/>
      <c r="I224" s="148" t="s">
        <v>32</v>
      </c>
      <c r="J224" s="148" t="s">
        <v>32</v>
      </c>
      <c r="K224" s="148" t="s">
        <v>32</v>
      </c>
      <c r="L224" s="148" t="s">
        <v>32</v>
      </c>
      <c r="M224" s="38"/>
      <c r="N224" s="39"/>
      <c r="O224" s="146"/>
      <c r="P224" s="146"/>
      <c r="Q224" s="104"/>
      <c r="R224" s="37"/>
      <c r="S224" s="37"/>
      <c r="T224" s="38"/>
      <c r="U224" s="39"/>
      <c r="V224" s="146"/>
      <c r="W224" s="146"/>
      <c r="X224" s="146"/>
      <c r="Y224" s="146"/>
      <c r="Z224" s="146"/>
      <c r="AA224" s="38"/>
      <c r="AB224" s="39"/>
      <c r="AC224" s="37"/>
      <c r="AD224" s="37"/>
      <c r="AE224" s="37"/>
      <c r="AF224" s="37"/>
      <c r="AG224" s="136"/>
      <c r="AH224" s="93"/>
      <c r="AI224" s="71">
        <f>COUNTA($C224:$AG224)</f>
        <v>6</v>
      </c>
    </row>
    <row r="225" spans="1:35" ht="15" hidden="1" customHeight="1" outlineLevel="1">
      <c r="A225" s="293"/>
      <c r="B225" s="294"/>
      <c r="C225" s="40">
        <f t="shared" ref="C225" si="807">IF(ISERROR(VLOOKUP(C224,$K$394:$W$428,9,FALSE)),"",VLOOKUP(C224,$K$394:$W$428,9,FALSE))</f>
        <v>96379</v>
      </c>
      <c r="D225" s="294"/>
      <c r="E225" s="40">
        <f t="shared" ref="E225" si="808">IF(ISERROR(VLOOKUP(E224,$K$394:$W$428,9,FALSE)),"",VLOOKUP(E224,$K$394:$W$428,9,FALSE))</f>
        <v>96379</v>
      </c>
      <c r="F225" s="95" t="str">
        <f t="shared" ref="F225" si="809">IF(ISERROR(VLOOKUP(F224,$K$394:$W$428,9,FALSE)),"",VLOOKUP(F224,$K$394:$W$428,9,FALSE))</f>
        <v/>
      </c>
      <c r="G225" s="96"/>
      <c r="H225" s="94" t="str">
        <f t="shared" ref="H225" si="810">IF(ISERROR(VLOOKUP(H224,$K$394:$W$428,9,FALSE)),"",VLOOKUP(H224,$K$394:$W$428,9,FALSE))</f>
        <v/>
      </c>
      <c r="I225" s="40">
        <f t="shared" ref="I225:K225" si="811">IF(ISERROR(VLOOKUP(I224,$K$394:$W$428,9,FALSE)),"",VLOOKUP(I224,$K$394:$W$428,9,FALSE))</f>
        <v>96379</v>
      </c>
      <c r="J225" s="40">
        <f t="shared" si="811"/>
        <v>96379</v>
      </c>
      <c r="K225" s="40">
        <f t="shared" si="811"/>
        <v>96379</v>
      </c>
      <c r="L225" s="40">
        <f t="shared" ref="L225:M225" si="812">IF(ISERROR(VLOOKUP(L224,$K$394:$W$428,9,FALSE)),"",VLOOKUP(L224,$K$394:$W$428,9,FALSE))</f>
        <v>96379</v>
      </c>
      <c r="M225" s="95" t="str">
        <f t="shared" si="812"/>
        <v/>
      </c>
      <c r="N225" s="96"/>
      <c r="O225" s="151" t="str">
        <f t="shared" ref="O225:Q225" si="813">IF(ISERROR(VLOOKUP(O224,$K$394:$W$428,9,FALSE)),"",VLOOKUP(O224,$K$394:$W$428,9,FALSE))</f>
        <v/>
      </c>
      <c r="P225" s="151" t="str">
        <f t="shared" si="813"/>
        <v/>
      </c>
      <c r="Q225" s="106" t="str">
        <f t="shared" si="813"/>
        <v/>
      </c>
      <c r="R225" s="94" t="str">
        <f t="shared" ref="R225:S225" si="814">IF(ISERROR(VLOOKUP(R224,$K$394:$W$428,9,FALSE)),"",VLOOKUP(R224,$K$394:$W$428,9,FALSE))</f>
        <v/>
      </c>
      <c r="S225" s="94" t="str">
        <f t="shared" si="814"/>
        <v/>
      </c>
      <c r="T225" s="95" t="str">
        <f t="shared" ref="T225" si="815">IF(ISERROR(VLOOKUP(T224,$K$394:$W$428,9,FALSE)),"",VLOOKUP(T224,$K$394:$W$428,9,FALSE))</f>
        <v/>
      </c>
      <c r="U225" s="96"/>
      <c r="V225" s="151" t="str">
        <f t="shared" ref="V225:Y225" si="816">IF(ISERROR(VLOOKUP(V224,$K$394:$W$428,9,FALSE)),"",VLOOKUP(V224,$K$394:$W$428,9,FALSE))</f>
        <v/>
      </c>
      <c r="W225" s="151" t="str">
        <f t="shared" si="816"/>
        <v/>
      </c>
      <c r="X225" s="151" t="str">
        <f t="shared" si="816"/>
        <v/>
      </c>
      <c r="Y225" s="151" t="str">
        <f t="shared" si="816"/>
        <v/>
      </c>
      <c r="Z225" s="151" t="str">
        <f t="shared" ref="Z225:AA225" si="817">IF(ISERROR(VLOOKUP(Z224,$K$394:$W$428,9,FALSE)),"",VLOOKUP(Z224,$K$394:$W$428,9,FALSE))</f>
        <v/>
      </c>
      <c r="AA225" s="95" t="str">
        <f t="shared" si="817"/>
        <v/>
      </c>
      <c r="AB225" s="96"/>
      <c r="AC225" s="94" t="str">
        <f t="shared" ref="AC225:AG225" si="818">IF(ISERROR(VLOOKUP(AC224,$K$394:$W$428,9,FALSE)),"",VLOOKUP(AC224,$K$394:$W$428,9,FALSE))</f>
        <v/>
      </c>
      <c r="AD225" s="94" t="str">
        <f t="shared" si="818"/>
        <v/>
      </c>
      <c r="AE225" s="94" t="str">
        <f t="shared" si="818"/>
        <v/>
      </c>
      <c r="AF225" s="94" t="str">
        <f t="shared" si="818"/>
        <v/>
      </c>
      <c r="AG225" s="137" t="str">
        <f t="shared" si="818"/>
        <v/>
      </c>
      <c r="AH225" s="97"/>
      <c r="AI225" s="71"/>
    </row>
    <row r="226" spans="1:35" ht="15" hidden="1" customHeight="1" outlineLevel="1">
      <c r="A226" s="293"/>
      <c r="B226" s="216" t="s">
        <v>21</v>
      </c>
      <c r="C226" s="148" t="s">
        <v>32</v>
      </c>
      <c r="D226" s="211"/>
      <c r="E226" s="148" t="s">
        <v>32</v>
      </c>
      <c r="F226" s="38"/>
      <c r="G226" s="39"/>
      <c r="H226" s="37"/>
      <c r="I226" s="148" t="s">
        <v>32</v>
      </c>
      <c r="J226" s="148" t="s">
        <v>32</v>
      </c>
      <c r="K226" s="148" t="s">
        <v>32</v>
      </c>
      <c r="L226" s="148" t="s">
        <v>32</v>
      </c>
      <c r="M226" s="38"/>
      <c r="N226" s="39"/>
      <c r="O226" s="146"/>
      <c r="P226" s="146"/>
      <c r="Q226" s="146"/>
      <c r="R226" s="37"/>
      <c r="S226" s="37"/>
      <c r="T226" s="38"/>
      <c r="U226" s="39"/>
      <c r="V226" s="146"/>
      <c r="W226" s="146"/>
      <c r="X226" s="146"/>
      <c r="Y226" s="146"/>
      <c r="Z226" s="146"/>
      <c r="AA226" s="38"/>
      <c r="AB226" s="39"/>
      <c r="AC226" s="37"/>
      <c r="AD226" s="37"/>
      <c r="AE226" s="37"/>
      <c r="AF226" s="37"/>
      <c r="AG226" s="136"/>
      <c r="AH226" s="93"/>
      <c r="AI226" s="71">
        <f>COUNTA($C226:$AG226)</f>
        <v>6</v>
      </c>
    </row>
    <row r="227" spans="1:35" ht="15" hidden="1" customHeight="1" outlineLevel="1">
      <c r="A227" s="293"/>
      <c r="B227" s="294"/>
      <c r="C227" s="40">
        <f t="shared" ref="C227" si="819">IF(ISERROR(VLOOKUP(C226,$K$394:$W$428,9,FALSE)),"",VLOOKUP(C226,$K$394:$W$428,9,FALSE))</f>
        <v>96379</v>
      </c>
      <c r="D227" s="294"/>
      <c r="E227" s="40">
        <f t="shared" ref="E227" si="820">IF(ISERROR(VLOOKUP(E226,$K$394:$W$428,9,FALSE)),"",VLOOKUP(E226,$K$394:$W$428,9,FALSE))</f>
        <v>96379</v>
      </c>
      <c r="F227" s="41" t="str">
        <f t="shared" ref="F227" si="821">IF(ISERROR(VLOOKUP(F226,$K$394:$W$428,9,FALSE)),"",VLOOKUP(F226,$K$394:$W$428,9,FALSE))</f>
        <v/>
      </c>
      <c r="G227" s="42"/>
      <c r="H227" s="40" t="str">
        <f t="shared" ref="H227" si="822">IF(ISERROR(VLOOKUP(H226,$K$394:$W$428,9,FALSE)),"",VLOOKUP(H226,$K$394:$W$428,9,FALSE))</f>
        <v/>
      </c>
      <c r="I227" s="40">
        <f t="shared" ref="I227:K227" si="823">IF(ISERROR(VLOOKUP(I226,$K$394:$W$428,9,FALSE)),"",VLOOKUP(I226,$K$394:$W$428,9,FALSE))</f>
        <v>96379</v>
      </c>
      <c r="J227" s="40">
        <f t="shared" si="823"/>
        <v>96379</v>
      </c>
      <c r="K227" s="40">
        <f t="shared" si="823"/>
        <v>96379</v>
      </c>
      <c r="L227" s="40">
        <f t="shared" ref="L227:M227" si="824">IF(ISERROR(VLOOKUP(L226,$K$394:$W$428,9,FALSE)),"",VLOOKUP(L226,$K$394:$W$428,9,FALSE))</f>
        <v>96379</v>
      </c>
      <c r="M227" s="41" t="str">
        <f t="shared" si="824"/>
        <v/>
      </c>
      <c r="N227" s="42"/>
      <c r="O227" s="147" t="str">
        <f t="shared" ref="O227:P227" si="825">IF(ISERROR(VLOOKUP(O226,$K$394:$W$428,9,FALSE)),"",VLOOKUP(O226,$K$394:$W$428,9,FALSE))</f>
        <v/>
      </c>
      <c r="P227" s="147" t="str">
        <f t="shared" si="825"/>
        <v/>
      </c>
      <c r="Q227" s="147" t="str">
        <f t="shared" ref="Q227:S227" si="826">IF(ISERROR(VLOOKUP(Q226,$K$394:$W$428,9,FALSE)),"",VLOOKUP(Q226,$K$394:$W$428,9,FALSE))</f>
        <v/>
      </c>
      <c r="R227" s="40" t="str">
        <f t="shared" si="826"/>
        <v/>
      </c>
      <c r="S227" s="40" t="str">
        <f t="shared" si="826"/>
        <v/>
      </c>
      <c r="T227" s="41" t="str">
        <f t="shared" ref="T227" si="827">IF(ISERROR(VLOOKUP(T226,$K$394:$W$428,9,FALSE)),"",VLOOKUP(T226,$K$394:$W$428,9,FALSE))</f>
        <v/>
      </c>
      <c r="U227" s="42"/>
      <c r="V227" s="147" t="str">
        <f t="shared" ref="V227:Y227" si="828">IF(ISERROR(VLOOKUP(V226,$K$394:$W$428,9,FALSE)),"",VLOOKUP(V226,$K$394:$W$428,9,FALSE))</f>
        <v/>
      </c>
      <c r="W227" s="147" t="str">
        <f t="shared" si="828"/>
        <v/>
      </c>
      <c r="X227" s="147" t="str">
        <f t="shared" si="828"/>
        <v/>
      </c>
      <c r="Y227" s="147" t="str">
        <f t="shared" si="828"/>
        <v/>
      </c>
      <c r="Z227" s="147" t="str">
        <f t="shared" ref="Z227:AA227" si="829">IF(ISERROR(VLOOKUP(Z226,$K$394:$W$428,9,FALSE)),"",VLOOKUP(Z226,$K$394:$W$428,9,FALSE))</f>
        <v/>
      </c>
      <c r="AA227" s="41" t="str">
        <f t="shared" si="829"/>
        <v/>
      </c>
      <c r="AB227" s="42"/>
      <c r="AC227" s="40" t="str">
        <f t="shared" ref="AC227:AG227" si="830">IF(ISERROR(VLOOKUP(AC226,$K$394:$W$428,9,FALSE)),"",VLOOKUP(AC226,$K$394:$W$428,9,FALSE))</f>
        <v/>
      </c>
      <c r="AD227" s="40" t="str">
        <f t="shared" si="830"/>
        <v/>
      </c>
      <c r="AE227" s="40" t="str">
        <f t="shared" si="830"/>
        <v/>
      </c>
      <c r="AF227" s="40" t="str">
        <f t="shared" si="830"/>
        <v/>
      </c>
      <c r="AG227" s="138" t="str">
        <f t="shared" si="830"/>
        <v/>
      </c>
      <c r="AH227" s="97"/>
      <c r="AI227" s="71"/>
    </row>
    <row r="228" spans="1:35" ht="15" hidden="1" customHeight="1" outlineLevel="1">
      <c r="A228" s="293"/>
      <c r="B228" s="215" t="s">
        <v>22</v>
      </c>
      <c r="C228" s="98"/>
      <c r="D228" s="211"/>
      <c r="E228" s="98"/>
      <c r="F228" s="99"/>
      <c r="G228" s="100"/>
      <c r="H228" s="98"/>
      <c r="I228" s="98"/>
      <c r="J228" s="98"/>
      <c r="K228" s="98"/>
      <c r="L228" s="98"/>
      <c r="M228" s="99"/>
      <c r="N228" s="100"/>
      <c r="O228" s="183"/>
      <c r="P228" s="183"/>
      <c r="Q228" s="183"/>
      <c r="R228" s="98"/>
      <c r="S228" s="98"/>
      <c r="T228" s="99"/>
      <c r="U228" s="100"/>
      <c r="V228" s="98"/>
      <c r="W228" s="98"/>
      <c r="X228" s="98"/>
      <c r="Y228" s="98"/>
      <c r="Z228" s="98"/>
      <c r="AA228" s="99"/>
      <c r="AB228" s="100"/>
      <c r="AC228" s="98"/>
      <c r="AD228" s="98"/>
      <c r="AE228" s="98"/>
      <c r="AF228" s="98"/>
      <c r="AG228" s="139"/>
      <c r="AH228" s="93"/>
      <c r="AI228" s="71">
        <f>COUNTA($C228:$AG228)</f>
        <v>0</v>
      </c>
    </row>
    <row r="229" spans="1:35" ht="15" hidden="1" customHeight="1" outlineLevel="1">
      <c r="A229" s="295"/>
      <c r="B229" s="295"/>
      <c r="C229" s="43" t="str">
        <f>IF(ISERROR(VLOOKUP(C228,$K$394:$W$428,9,FALSE)),"",VLOOKUP(C228,$K$394:$W$428,9,FALSE))</f>
        <v/>
      </c>
      <c r="D229" s="295"/>
      <c r="E229" s="43" t="str">
        <f t="shared" ref="E229:F229" si="831">IF(ISERROR(VLOOKUP(E228,$K$394:$W$428,9,FALSE)),"",VLOOKUP(E228,$K$394:$W$428,9,FALSE))</f>
        <v/>
      </c>
      <c r="F229" s="44" t="str">
        <f t="shared" si="831"/>
        <v/>
      </c>
      <c r="G229" s="45"/>
      <c r="H229" s="43" t="str">
        <f t="shared" ref="H229:M229" si="832">IF(ISERROR(VLOOKUP(H228,$K$394:$W$428,9,FALSE)),"",VLOOKUP(H228,$K$394:$W$428,9,FALSE))</f>
        <v/>
      </c>
      <c r="I229" s="43" t="str">
        <f t="shared" si="832"/>
        <v/>
      </c>
      <c r="J229" s="43" t="str">
        <f t="shared" si="832"/>
        <v/>
      </c>
      <c r="K229" s="43" t="str">
        <f t="shared" si="832"/>
        <v/>
      </c>
      <c r="L229" s="43" t="str">
        <f t="shared" si="832"/>
        <v/>
      </c>
      <c r="M229" s="44" t="str">
        <f t="shared" si="832"/>
        <v/>
      </c>
      <c r="N229" s="45"/>
      <c r="O229" s="184" t="str">
        <f t="shared" ref="O229:T229" si="833">IF(ISERROR(VLOOKUP(O228,$K$394:$W$428,9,FALSE)),"",VLOOKUP(O228,$K$394:$W$428,9,FALSE))</f>
        <v/>
      </c>
      <c r="P229" s="184" t="str">
        <f t="shared" si="833"/>
        <v/>
      </c>
      <c r="Q229" s="184" t="str">
        <f t="shared" si="833"/>
        <v/>
      </c>
      <c r="R229" s="43" t="str">
        <f t="shared" si="833"/>
        <v/>
      </c>
      <c r="S229" s="43" t="str">
        <f t="shared" si="833"/>
        <v/>
      </c>
      <c r="T229" s="44" t="str">
        <f t="shared" si="833"/>
        <v/>
      </c>
      <c r="U229" s="45"/>
      <c r="V229" s="43" t="str">
        <f t="shared" ref="V229:AA229" si="834">IF(ISERROR(VLOOKUP(V228,$K$394:$W$428,9,FALSE)),"",VLOOKUP(V228,$K$394:$W$428,9,FALSE))</f>
        <v/>
      </c>
      <c r="W229" s="43" t="str">
        <f t="shared" si="834"/>
        <v/>
      </c>
      <c r="X229" s="43" t="str">
        <f t="shared" si="834"/>
        <v/>
      </c>
      <c r="Y229" s="43" t="str">
        <f t="shared" si="834"/>
        <v/>
      </c>
      <c r="Z229" s="43" t="str">
        <f t="shared" si="834"/>
        <v/>
      </c>
      <c r="AA229" s="44" t="str">
        <f t="shared" si="834"/>
        <v/>
      </c>
      <c r="AB229" s="45"/>
      <c r="AC229" s="43" t="str">
        <f t="shared" ref="AC229:AG229" si="835">IF(ISERROR(VLOOKUP(AC228,$K$394:$W$428,9,FALSE)),"",VLOOKUP(AC228,$K$394:$W$428,9,FALSE))</f>
        <v/>
      </c>
      <c r="AD229" s="43" t="str">
        <f t="shared" si="835"/>
        <v/>
      </c>
      <c r="AE229" s="43" t="str">
        <f t="shared" si="835"/>
        <v/>
      </c>
      <c r="AF229" s="43" t="str">
        <f t="shared" si="835"/>
        <v/>
      </c>
      <c r="AG229" s="140" t="str">
        <f t="shared" si="835"/>
        <v/>
      </c>
      <c r="AH229" s="97"/>
      <c r="AI229" s="71"/>
    </row>
    <row r="230" spans="1:35" ht="15.75" hidden="1" customHeight="1" collapsed="1">
      <c r="A230" s="46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 t="s">
        <v>43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 t="s">
        <v>44</v>
      </c>
      <c r="AH230" s="21"/>
      <c r="AI230" s="70"/>
    </row>
    <row r="231" spans="1:35" ht="23.25" customHeight="1" outlineLevel="1">
      <c r="A231" s="218">
        <f>A199+31</f>
        <v>46235</v>
      </c>
      <c r="B231" s="219"/>
      <c r="C231" s="219"/>
      <c r="D231" s="219"/>
      <c r="E231" s="219"/>
      <c r="F231" s="219"/>
      <c r="G231" s="219"/>
      <c r="H231" s="219"/>
      <c r="I231" s="219"/>
      <c r="J231" s="219"/>
      <c r="K231" s="219"/>
      <c r="L231" s="219"/>
      <c r="M231" s="220"/>
      <c r="N231" s="213" t="s">
        <v>14</v>
      </c>
      <c r="O231" s="214"/>
      <c r="P231" s="214"/>
      <c r="Q231" s="214"/>
      <c r="R231" s="68">
        <v>21</v>
      </c>
      <c r="S231" s="212" t="s">
        <v>15</v>
      </c>
      <c r="T231" s="212"/>
      <c r="U231" s="212"/>
      <c r="V231" s="212"/>
      <c r="W231" s="69">
        <f>SUM(AI234:AI261)</f>
        <v>123</v>
      </c>
      <c r="X231" s="212" t="s">
        <v>16</v>
      </c>
      <c r="Y231" s="212"/>
      <c r="Z231" s="212"/>
      <c r="AA231" s="212"/>
      <c r="AB231" s="69">
        <f>IF($M$2="Mensalista",R231*8,IF($M$2="Horista",90,IF($M$2="Intermitente",(ROUNDDOWN((R231*8*0.909),0)),"")))</f>
        <v>168</v>
      </c>
      <c r="AC231" s="212" t="s">
        <v>17</v>
      </c>
      <c r="AD231" s="245"/>
      <c r="AE231" s="245"/>
      <c r="AF231" s="246">
        <f>IF($M$2="","",IF($M$2="RSA","",W231/AB231))</f>
        <v>0.7321428571428571</v>
      </c>
      <c r="AG231" s="289"/>
      <c r="AH231" s="101"/>
      <c r="AI231" s="70"/>
    </row>
    <row r="232" spans="1:35" ht="15.75" customHeight="1" outlineLevel="1">
      <c r="A232" s="217"/>
      <c r="B232" s="290"/>
      <c r="C232" s="33">
        <f>A231</f>
        <v>46235</v>
      </c>
      <c r="D232" s="34">
        <f t="shared" ref="D232:AG232" si="836">C232+1</f>
        <v>46236</v>
      </c>
      <c r="E232" s="32">
        <f t="shared" si="836"/>
        <v>46237</v>
      </c>
      <c r="F232" s="32">
        <f t="shared" si="836"/>
        <v>46238</v>
      </c>
      <c r="G232" s="32">
        <f t="shared" si="836"/>
        <v>46239</v>
      </c>
      <c r="H232" s="32">
        <f t="shared" si="836"/>
        <v>46240</v>
      </c>
      <c r="I232" s="32">
        <f t="shared" si="836"/>
        <v>46241</v>
      </c>
      <c r="J232" s="33">
        <f t="shared" si="836"/>
        <v>46242</v>
      </c>
      <c r="K232" s="34">
        <f t="shared" si="836"/>
        <v>46243</v>
      </c>
      <c r="L232" s="32">
        <f t="shared" si="836"/>
        <v>46244</v>
      </c>
      <c r="M232" s="32">
        <f t="shared" si="836"/>
        <v>46245</v>
      </c>
      <c r="N232" s="32">
        <f t="shared" si="836"/>
        <v>46246</v>
      </c>
      <c r="O232" s="32">
        <f t="shared" si="836"/>
        <v>46247</v>
      </c>
      <c r="P232" s="32">
        <f t="shared" si="836"/>
        <v>46248</v>
      </c>
      <c r="Q232" s="33">
        <f t="shared" si="836"/>
        <v>46249</v>
      </c>
      <c r="R232" s="34">
        <f t="shared" si="836"/>
        <v>46250</v>
      </c>
      <c r="S232" s="32">
        <f t="shared" si="836"/>
        <v>46251</v>
      </c>
      <c r="T232" s="32">
        <f t="shared" si="836"/>
        <v>46252</v>
      </c>
      <c r="U232" s="32">
        <f t="shared" si="836"/>
        <v>46253</v>
      </c>
      <c r="V232" s="32">
        <f t="shared" si="836"/>
        <v>46254</v>
      </c>
      <c r="W232" s="32">
        <f t="shared" si="836"/>
        <v>46255</v>
      </c>
      <c r="X232" s="33">
        <f t="shared" si="836"/>
        <v>46256</v>
      </c>
      <c r="Y232" s="34">
        <f t="shared" si="836"/>
        <v>46257</v>
      </c>
      <c r="Z232" s="32">
        <f t="shared" si="836"/>
        <v>46258</v>
      </c>
      <c r="AA232" s="32">
        <f t="shared" si="836"/>
        <v>46259</v>
      </c>
      <c r="AB232" s="32">
        <f t="shared" si="836"/>
        <v>46260</v>
      </c>
      <c r="AC232" s="32">
        <f t="shared" si="836"/>
        <v>46261</v>
      </c>
      <c r="AD232" s="32">
        <f t="shared" si="836"/>
        <v>46262</v>
      </c>
      <c r="AE232" s="33">
        <f t="shared" si="836"/>
        <v>46263</v>
      </c>
      <c r="AF232" s="34">
        <f t="shared" si="836"/>
        <v>46264</v>
      </c>
      <c r="AG232" s="32">
        <f t="shared" si="836"/>
        <v>46265</v>
      </c>
      <c r="AH232" s="90"/>
      <c r="AI232" s="71"/>
    </row>
    <row r="233" spans="1:35" ht="15.75" customHeight="1" outlineLevel="1">
      <c r="A233" s="291"/>
      <c r="B233" s="292"/>
      <c r="C233" s="35">
        <f>A231</f>
        <v>46235</v>
      </c>
      <c r="D233" s="36">
        <f t="shared" ref="D233:AG233" si="837">C233+1</f>
        <v>46236</v>
      </c>
      <c r="E233" s="91">
        <f t="shared" si="837"/>
        <v>46237</v>
      </c>
      <c r="F233" s="91">
        <f t="shared" si="837"/>
        <v>46238</v>
      </c>
      <c r="G233" s="91">
        <f t="shared" si="837"/>
        <v>46239</v>
      </c>
      <c r="H233" s="91">
        <f t="shared" si="837"/>
        <v>46240</v>
      </c>
      <c r="I233" s="91">
        <f t="shared" si="837"/>
        <v>46241</v>
      </c>
      <c r="J233" s="35">
        <f t="shared" si="837"/>
        <v>46242</v>
      </c>
      <c r="K233" s="36">
        <f t="shared" si="837"/>
        <v>46243</v>
      </c>
      <c r="L233" s="91">
        <f t="shared" si="837"/>
        <v>46244</v>
      </c>
      <c r="M233" s="91">
        <f t="shared" si="837"/>
        <v>46245</v>
      </c>
      <c r="N233" s="91">
        <f t="shared" si="837"/>
        <v>46246</v>
      </c>
      <c r="O233" s="91">
        <f t="shared" si="837"/>
        <v>46247</v>
      </c>
      <c r="P233" s="91">
        <f t="shared" si="837"/>
        <v>46248</v>
      </c>
      <c r="Q233" s="35">
        <f t="shared" si="837"/>
        <v>46249</v>
      </c>
      <c r="R233" s="36">
        <f t="shared" si="837"/>
        <v>46250</v>
      </c>
      <c r="S233" s="91">
        <f t="shared" si="837"/>
        <v>46251</v>
      </c>
      <c r="T233" s="91">
        <f t="shared" si="837"/>
        <v>46252</v>
      </c>
      <c r="U233" s="91">
        <f t="shared" si="837"/>
        <v>46253</v>
      </c>
      <c r="V233" s="91">
        <f t="shared" si="837"/>
        <v>46254</v>
      </c>
      <c r="W233" s="91">
        <f t="shared" si="837"/>
        <v>46255</v>
      </c>
      <c r="X233" s="35">
        <f t="shared" si="837"/>
        <v>46256</v>
      </c>
      <c r="Y233" s="36">
        <f t="shared" si="837"/>
        <v>46257</v>
      </c>
      <c r="Z233" s="91">
        <f t="shared" si="837"/>
        <v>46258</v>
      </c>
      <c r="AA233" s="91">
        <f t="shared" si="837"/>
        <v>46259</v>
      </c>
      <c r="AB233" s="91">
        <f t="shared" si="837"/>
        <v>46260</v>
      </c>
      <c r="AC233" s="91">
        <f t="shared" si="837"/>
        <v>46261</v>
      </c>
      <c r="AD233" s="91">
        <f t="shared" si="837"/>
        <v>46262</v>
      </c>
      <c r="AE233" s="35">
        <f t="shared" si="837"/>
        <v>46263</v>
      </c>
      <c r="AF233" s="36">
        <f t="shared" si="837"/>
        <v>46264</v>
      </c>
      <c r="AG233" s="91">
        <f t="shared" si="837"/>
        <v>46265</v>
      </c>
      <c r="AH233" s="92"/>
      <c r="AI233" s="70"/>
    </row>
    <row r="234" spans="1:35" ht="15" customHeight="1" outlineLevel="1">
      <c r="A234" s="222" t="s">
        <v>18</v>
      </c>
      <c r="B234" s="215" t="s">
        <v>19</v>
      </c>
      <c r="C234" s="38"/>
      <c r="D234" s="39"/>
      <c r="E234" s="175"/>
      <c r="F234" s="175"/>
      <c r="G234" s="175"/>
      <c r="H234" s="175"/>
      <c r="I234" s="175"/>
      <c r="J234" s="38"/>
      <c r="K234" s="39"/>
      <c r="L234" s="192" t="s">
        <v>45</v>
      </c>
      <c r="M234" s="182" t="s">
        <v>46</v>
      </c>
      <c r="N234" s="182" t="s">
        <v>46</v>
      </c>
      <c r="O234" s="148" t="s">
        <v>47</v>
      </c>
      <c r="P234" s="37"/>
      <c r="Q234" s="38"/>
      <c r="R234" s="39"/>
      <c r="S234" s="182" t="s">
        <v>46</v>
      </c>
      <c r="T234" s="182" t="s">
        <v>46</v>
      </c>
      <c r="U234" s="148" t="s">
        <v>47</v>
      </c>
      <c r="V234" s="37"/>
      <c r="W234" s="37"/>
      <c r="X234" s="38"/>
      <c r="Y234" s="39"/>
      <c r="Z234" s="182" t="s">
        <v>46</v>
      </c>
      <c r="AA234" s="182" t="s">
        <v>46</v>
      </c>
      <c r="AB234" s="148" t="s">
        <v>47</v>
      </c>
      <c r="AC234" s="37"/>
      <c r="AD234" s="37"/>
      <c r="AE234" s="38"/>
      <c r="AF234" s="39"/>
      <c r="AG234" s="182" t="s">
        <v>46</v>
      </c>
      <c r="AH234" s="93"/>
      <c r="AI234" s="71">
        <f>COUNTA($C234:$AG234)</f>
        <v>11</v>
      </c>
    </row>
    <row r="235" spans="1:35" ht="15.75" customHeight="1" outlineLevel="1">
      <c r="A235" s="221"/>
      <c r="B235" s="293"/>
      <c r="C235" s="95" t="str">
        <f t="shared" ref="C235" si="838">IF(ISERROR(VLOOKUP(C234,$K$394:$W$428,9,FALSE)),"",VLOOKUP(C234,$K$394:$W$428,9,FALSE))</f>
        <v/>
      </c>
      <c r="D235" s="96"/>
      <c r="E235" s="176" t="str">
        <f t="shared" ref="E235:H235" si="839">IF(ISERROR(VLOOKUP(E234,$K$394:$W$428,9,FALSE)),"",VLOOKUP(E234,$K$394:$W$428,9,FALSE))</f>
        <v/>
      </c>
      <c r="F235" s="176" t="str">
        <f t="shared" si="839"/>
        <v/>
      </c>
      <c r="G235" s="176" t="str">
        <f t="shared" si="839"/>
        <v/>
      </c>
      <c r="H235" s="176" t="str">
        <f t="shared" si="839"/>
        <v/>
      </c>
      <c r="I235" s="176" t="str">
        <f t="shared" ref="I235" si="840">IF(ISERROR(VLOOKUP(I234,$K$394:$W$428,9,FALSE)),"",VLOOKUP(I234,$K$394:$W$428,9,FALSE))</f>
        <v/>
      </c>
      <c r="J235" s="95" t="str">
        <f t="shared" ref="J235" si="841">IF(ISERROR(VLOOKUP(J234,$K$394:$W$428,9,FALSE)),"",VLOOKUP(J234,$K$394:$W$428,9,FALSE))</f>
        <v/>
      </c>
      <c r="K235" s="96"/>
      <c r="L235" s="193" t="str">
        <f t="shared" ref="L235:P235" si="842">IF(ISERROR(VLOOKUP(L234,$K$394:$W$428,9,FALSE)),"",VLOOKUP(L234,$K$394:$W$428,9,FALSE))</f>
        <v/>
      </c>
      <c r="M235" s="94">
        <f t="shared" si="842"/>
        <v>202629</v>
      </c>
      <c r="N235" s="94">
        <f t="shared" ref="N235" si="843">IF(ISERROR(VLOOKUP(N234,$K$394:$W$428,9,FALSE)),"",VLOOKUP(N234,$K$394:$W$428,9,FALSE))</f>
        <v>202629</v>
      </c>
      <c r="O235" s="94">
        <f t="shared" si="842"/>
        <v>202629</v>
      </c>
      <c r="P235" s="94" t="str">
        <f t="shared" si="842"/>
        <v/>
      </c>
      <c r="Q235" s="95" t="str">
        <f t="shared" ref="Q235" si="844">IF(ISERROR(VLOOKUP(Q234,$K$394:$W$428,9,FALSE)),"",VLOOKUP(Q234,$K$394:$W$428,9,FALSE))</f>
        <v/>
      </c>
      <c r="R235" s="96"/>
      <c r="S235" s="94">
        <f t="shared" ref="S235:U235" si="845">IF(ISERROR(VLOOKUP(S234,$K$394:$W$428,9,FALSE)),"",VLOOKUP(S234,$K$394:$W$428,9,FALSE))</f>
        <v>202629</v>
      </c>
      <c r="T235" s="94">
        <f t="shared" si="845"/>
        <v>202629</v>
      </c>
      <c r="U235" s="94">
        <f t="shared" si="845"/>
        <v>202629</v>
      </c>
      <c r="V235" s="94" t="str">
        <f t="shared" ref="V235:W235" si="846">IF(ISERROR(VLOOKUP(V234,$K$394:$W$428,9,FALSE)),"",VLOOKUP(V234,$K$394:$W$428,9,FALSE))</f>
        <v/>
      </c>
      <c r="W235" s="94" t="str">
        <f t="shared" si="846"/>
        <v/>
      </c>
      <c r="X235" s="95" t="str">
        <f t="shared" ref="X235" si="847">IF(ISERROR(VLOOKUP(X234,$K$394:$W$428,9,FALSE)),"",VLOOKUP(X234,$K$394:$W$428,9,FALSE))</f>
        <v/>
      </c>
      <c r="Y235" s="96"/>
      <c r="Z235" s="94">
        <f t="shared" ref="Z235:AB235" si="848">IF(ISERROR(VLOOKUP(Z234,$K$394:$W$428,9,FALSE)),"",VLOOKUP(Z234,$K$394:$W$428,9,FALSE))</f>
        <v>202629</v>
      </c>
      <c r="AA235" s="94">
        <f t="shared" si="848"/>
        <v>202629</v>
      </c>
      <c r="AB235" s="94">
        <f t="shared" si="848"/>
        <v>202629</v>
      </c>
      <c r="AC235" s="94" t="str">
        <f t="shared" ref="AC235:AE235" si="849">IF(ISERROR(VLOOKUP(AC234,$K$394:$W$428,9,FALSE)),"",VLOOKUP(AC234,$K$394:$W$428,9,FALSE))</f>
        <v/>
      </c>
      <c r="AD235" s="94" t="str">
        <f t="shared" si="849"/>
        <v/>
      </c>
      <c r="AE235" s="95" t="str">
        <f t="shared" si="849"/>
        <v/>
      </c>
      <c r="AF235" s="96"/>
      <c r="AG235" s="94">
        <f t="shared" ref="AG235" si="850">IF(ISERROR(VLOOKUP(AG234,$K$394:$W$428,9,FALSE)),"",VLOOKUP(AG234,$K$394:$W$428,9,FALSE))</f>
        <v>202629</v>
      </c>
      <c r="AH235" s="97"/>
      <c r="AI235" s="71"/>
    </row>
    <row r="236" spans="1:35" ht="15" customHeight="1" outlineLevel="1">
      <c r="A236" s="221"/>
      <c r="B236" s="216" t="s">
        <v>20</v>
      </c>
      <c r="C236" s="38"/>
      <c r="D236" s="39"/>
      <c r="E236" s="175"/>
      <c r="F236" s="175"/>
      <c r="G236" s="175"/>
      <c r="H236" s="175"/>
      <c r="I236" s="175"/>
      <c r="J236" s="38"/>
      <c r="K236" s="39"/>
      <c r="L236" s="192" t="s">
        <v>45</v>
      </c>
      <c r="M236" s="182" t="s">
        <v>46</v>
      </c>
      <c r="N236" s="182" t="s">
        <v>46</v>
      </c>
      <c r="O236" s="148" t="s">
        <v>47</v>
      </c>
      <c r="P236" s="37"/>
      <c r="Q236" s="38"/>
      <c r="R236" s="39"/>
      <c r="S236" s="182" t="s">
        <v>46</v>
      </c>
      <c r="T236" s="182" t="s">
        <v>46</v>
      </c>
      <c r="U236" s="148" t="s">
        <v>47</v>
      </c>
      <c r="V236" s="37"/>
      <c r="W236" s="37"/>
      <c r="X236" s="146"/>
      <c r="Y236" s="39"/>
      <c r="Z236" s="182" t="s">
        <v>46</v>
      </c>
      <c r="AA236" s="182" t="s">
        <v>46</v>
      </c>
      <c r="AB236" s="148" t="s">
        <v>47</v>
      </c>
      <c r="AC236" s="37"/>
      <c r="AD236" s="37"/>
      <c r="AE236" s="146"/>
      <c r="AF236" s="39"/>
      <c r="AG236" s="182" t="s">
        <v>46</v>
      </c>
      <c r="AH236" s="93"/>
      <c r="AI236" s="71">
        <f>COUNTA($C236:$AG236)</f>
        <v>11</v>
      </c>
    </row>
    <row r="237" spans="1:35" ht="15.75" customHeight="1" outlineLevel="1">
      <c r="A237" s="221"/>
      <c r="B237" s="294"/>
      <c r="C237" s="95" t="str">
        <f t="shared" ref="C237" si="851">IF(ISERROR(VLOOKUP(C236,$K$394:$W$428,9,FALSE)),"",VLOOKUP(C236,$K$394:$W$428,9,FALSE))</f>
        <v/>
      </c>
      <c r="D237" s="96"/>
      <c r="E237" s="177" t="str">
        <f t="shared" ref="E237:H237" si="852">IF(ISERROR(VLOOKUP(E236,$K$394:$W$428,9,FALSE)),"",VLOOKUP(E236,$K$394:$W$428,9,FALSE))</f>
        <v/>
      </c>
      <c r="F237" s="177" t="str">
        <f t="shared" si="852"/>
        <v/>
      </c>
      <c r="G237" s="177" t="str">
        <f t="shared" si="852"/>
        <v/>
      </c>
      <c r="H237" s="177" t="str">
        <f t="shared" si="852"/>
        <v/>
      </c>
      <c r="I237" s="177" t="str">
        <f t="shared" ref="I237" si="853">IF(ISERROR(VLOOKUP(I236,$K$394:$W$428,9,FALSE)),"",VLOOKUP(I236,$K$394:$W$428,9,FALSE))</f>
        <v/>
      </c>
      <c r="J237" s="95" t="str">
        <f t="shared" ref="J237" si="854">IF(ISERROR(VLOOKUP(J236,$K$394:$W$428,9,FALSE)),"",VLOOKUP(J236,$K$394:$W$428,9,FALSE))</f>
        <v/>
      </c>
      <c r="K237" s="96"/>
      <c r="L237" s="194" t="str">
        <f t="shared" ref="L237:P237" si="855">IF(ISERROR(VLOOKUP(L236,$K$394:$W$428,9,FALSE)),"",VLOOKUP(L236,$K$394:$W$428,9,FALSE))</f>
        <v/>
      </c>
      <c r="M237" s="94">
        <f t="shared" si="855"/>
        <v>202629</v>
      </c>
      <c r="N237" s="94">
        <f t="shared" ref="N237" si="856">IF(ISERROR(VLOOKUP(N236,$K$394:$W$428,9,FALSE)),"",VLOOKUP(N236,$K$394:$W$428,9,FALSE))</f>
        <v>202629</v>
      </c>
      <c r="O237" s="40">
        <f t="shared" si="855"/>
        <v>202629</v>
      </c>
      <c r="P237" s="40" t="str">
        <f t="shared" si="855"/>
        <v/>
      </c>
      <c r="Q237" s="95" t="str">
        <f t="shared" ref="Q237" si="857">IF(ISERROR(VLOOKUP(Q236,$K$394:$W$428,9,FALSE)),"",VLOOKUP(Q236,$K$394:$W$428,9,FALSE))</f>
        <v/>
      </c>
      <c r="R237" s="96"/>
      <c r="S237" s="94">
        <f t="shared" ref="S237:U237" si="858">IF(ISERROR(VLOOKUP(S236,$K$394:$W$428,9,FALSE)),"",VLOOKUP(S236,$K$394:$W$428,9,FALSE))</f>
        <v>202629</v>
      </c>
      <c r="T237" s="94">
        <f t="shared" si="858"/>
        <v>202629</v>
      </c>
      <c r="U237" s="40">
        <f t="shared" si="858"/>
        <v>202629</v>
      </c>
      <c r="V237" s="40" t="str">
        <f t="shared" ref="V237:W237" si="859">IF(ISERROR(VLOOKUP(V236,$K$394:$W$428,9,FALSE)),"",VLOOKUP(V236,$K$394:$W$428,9,FALSE))</f>
        <v/>
      </c>
      <c r="W237" s="40" t="str">
        <f t="shared" si="859"/>
        <v/>
      </c>
      <c r="X237" s="151" t="str">
        <f t="shared" ref="X237" si="860">IF(ISERROR(VLOOKUP(X236,$K$394:$W$428,9,FALSE)),"",VLOOKUP(X236,$K$394:$W$428,9,FALSE))</f>
        <v/>
      </c>
      <c r="Y237" s="96"/>
      <c r="Z237" s="94">
        <f t="shared" ref="Z237:AB237" si="861">IF(ISERROR(VLOOKUP(Z236,$K$394:$W$428,9,FALSE)),"",VLOOKUP(Z236,$K$394:$W$428,9,FALSE))</f>
        <v>202629</v>
      </c>
      <c r="AA237" s="94">
        <f t="shared" si="861"/>
        <v>202629</v>
      </c>
      <c r="AB237" s="40">
        <f t="shared" si="861"/>
        <v>202629</v>
      </c>
      <c r="AC237" s="94" t="str">
        <f t="shared" ref="AC237:AE237" si="862">IF(ISERROR(VLOOKUP(AC236,$K$394:$W$428,9,FALSE)),"",VLOOKUP(AC236,$K$394:$W$428,9,FALSE))</f>
        <v/>
      </c>
      <c r="AD237" s="94" t="str">
        <f t="shared" si="862"/>
        <v/>
      </c>
      <c r="AE237" s="147" t="str">
        <f t="shared" si="862"/>
        <v/>
      </c>
      <c r="AF237" s="96"/>
      <c r="AG237" s="94">
        <f t="shared" ref="AG237" si="863">IF(ISERROR(VLOOKUP(AG236,$K$394:$W$428,9,FALSE)),"",VLOOKUP(AG236,$K$394:$W$428,9,FALSE))</f>
        <v>202629</v>
      </c>
      <c r="AH237" s="97"/>
      <c r="AI237" s="71"/>
    </row>
    <row r="238" spans="1:35" ht="15" customHeight="1" outlineLevel="1">
      <c r="A238" s="221"/>
      <c r="B238" s="216" t="s">
        <v>21</v>
      </c>
      <c r="C238" s="38"/>
      <c r="D238" s="39"/>
      <c r="E238" s="175"/>
      <c r="F238" s="175"/>
      <c r="G238" s="175"/>
      <c r="H238" s="175"/>
      <c r="I238" s="175"/>
      <c r="J238" s="38"/>
      <c r="K238" s="39"/>
      <c r="L238" s="192" t="s">
        <v>45</v>
      </c>
      <c r="M238" s="182" t="s">
        <v>46</v>
      </c>
      <c r="N238" s="182" t="s">
        <v>46</v>
      </c>
      <c r="O238" s="148" t="s">
        <v>47</v>
      </c>
      <c r="P238" s="37"/>
      <c r="Q238" s="38"/>
      <c r="R238" s="39"/>
      <c r="S238" s="182" t="s">
        <v>46</v>
      </c>
      <c r="T238" s="182" t="s">
        <v>46</v>
      </c>
      <c r="U238" s="148" t="s">
        <v>47</v>
      </c>
      <c r="V238" s="37"/>
      <c r="W238" s="37"/>
      <c r="X238" s="146"/>
      <c r="Y238" s="39"/>
      <c r="Z238" s="182" t="s">
        <v>46</v>
      </c>
      <c r="AA238" s="182" t="s">
        <v>46</v>
      </c>
      <c r="AB238" s="148" t="s">
        <v>47</v>
      </c>
      <c r="AC238" s="37"/>
      <c r="AD238" s="37"/>
      <c r="AE238" s="146"/>
      <c r="AF238" s="39"/>
      <c r="AG238" s="182" t="s">
        <v>46</v>
      </c>
      <c r="AH238" s="93"/>
      <c r="AI238" s="71">
        <f>COUNTA($C238:$AG238)</f>
        <v>11</v>
      </c>
    </row>
    <row r="239" spans="1:35" ht="15.75" customHeight="1" outlineLevel="1">
      <c r="A239" s="221"/>
      <c r="B239" s="294"/>
      <c r="C239" s="41" t="str">
        <f t="shared" ref="C239" si="864">IF(ISERROR(VLOOKUP(C238,$K$394:$W$428,9,FALSE)),"",VLOOKUP(C238,$K$394:$W$428,9,FALSE))</f>
        <v/>
      </c>
      <c r="D239" s="42"/>
      <c r="E239" s="176" t="str">
        <f t="shared" ref="E239:H239" si="865">IF(ISERROR(VLOOKUP(E238,$K$394:$W$428,9,FALSE)),"",VLOOKUP(E238,$K$394:$W$428,9,FALSE))</f>
        <v/>
      </c>
      <c r="F239" s="176" t="str">
        <f t="shared" si="865"/>
        <v/>
      </c>
      <c r="G239" s="176" t="str">
        <f t="shared" si="865"/>
        <v/>
      </c>
      <c r="H239" s="176" t="str">
        <f t="shared" si="865"/>
        <v/>
      </c>
      <c r="I239" s="176" t="str">
        <f t="shared" ref="I239" si="866">IF(ISERROR(VLOOKUP(I238,$K$394:$W$428,9,FALSE)),"",VLOOKUP(I238,$K$394:$W$428,9,FALSE))</f>
        <v/>
      </c>
      <c r="J239" s="41" t="str">
        <f t="shared" ref="J239" si="867">IF(ISERROR(VLOOKUP(J238,$K$394:$W$428,9,FALSE)),"",VLOOKUP(J238,$K$394:$W$428,9,FALSE))</f>
        <v/>
      </c>
      <c r="K239" s="42"/>
      <c r="L239" s="193" t="str">
        <f t="shared" ref="L239:P239" si="868">IF(ISERROR(VLOOKUP(L238,$K$394:$W$428,9,FALSE)),"",VLOOKUP(L238,$K$394:$W$428,9,FALSE))</f>
        <v/>
      </c>
      <c r="M239" s="40">
        <f t="shared" si="868"/>
        <v>202629</v>
      </c>
      <c r="N239" s="40">
        <f t="shared" ref="N239" si="869">IF(ISERROR(VLOOKUP(N238,$K$394:$W$428,9,FALSE)),"",VLOOKUP(N238,$K$394:$W$428,9,FALSE))</f>
        <v>202629</v>
      </c>
      <c r="O239" s="94">
        <f t="shared" si="868"/>
        <v>202629</v>
      </c>
      <c r="P239" s="94" t="str">
        <f t="shared" si="868"/>
        <v/>
      </c>
      <c r="Q239" s="41" t="str">
        <f t="shared" ref="Q239" si="870">IF(ISERROR(VLOOKUP(Q238,$K$394:$W$428,9,FALSE)),"",VLOOKUP(Q238,$K$394:$W$428,9,FALSE))</f>
        <v/>
      </c>
      <c r="R239" s="42"/>
      <c r="S239" s="40">
        <f t="shared" ref="S239:U239" si="871">IF(ISERROR(VLOOKUP(S238,$K$394:$W$428,9,FALSE)),"",VLOOKUP(S238,$K$394:$W$428,9,FALSE))</f>
        <v>202629</v>
      </c>
      <c r="T239" s="40">
        <f t="shared" si="871"/>
        <v>202629</v>
      </c>
      <c r="U239" s="94">
        <f t="shared" si="871"/>
        <v>202629</v>
      </c>
      <c r="V239" s="94" t="str">
        <f t="shared" ref="V239:W239" si="872">IF(ISERROR(VLOOKUP(V238,$K$394:$W$428,9,FALSE)),"",VLOOKUP(V238,$K$394:$W$428,9,FALSE))</f>
        <v/>
      </c>
      <c r="W239" s="94" t="str">
        <f t="shared" si="872"/>
        <v/>
      </c>
      <c r="X239" s="147" t="str">
        <f t="shared" ref="X239" si="873">IF(ISERROR(VLOOKUP(X238,$K$394:$W$428,9,FALSE)),"",VLOOKUP(X238,$K$394:$W$428,9,FALSE))</f>
        <v/>
      </c>
      <c r="Y239" s="42"/>
      <c r="Z239" s="40">
        <f t="shared" ref="Z239:AB239" si="874">IF(ISERROR(VLOOKUP(Z238,$K$394:$W$428,9,FALSE)),"",VLOOKUP(Z238,$K$394:$W$428,9,FALSE))</f>
        <v>202629</v>
      </c>
      <c r="AA239" s="40">
        <f t="shared" si="874"/>
        <v>202629</v>
      </c>
      <c r="AB239" s="94">
        <f t="shared" si="874"/>
        <v>202629</v>
      </c>
      <c r="AC239" s="40" t="str">
        <f t="shared" ref="AC239:AE239" si="875">IF(ISERROR(VLOOKUP(AC238,$K$394:$W$428,9,FALSE)),"",VLOOKUP(AC238,$K$394:$W$428,9,FALSE))</f>
        <v/>
      </c>
      <c r="AD239" s="40" t="str">
        <f t="shared" si="875"/>
        <v/>
      </c>
      <c r="AE239" s="147" t="str">
        <f t="shared" si="875"/>
        <v/>
      </c>
      <c r="AF239" s="42"/>
      <c r="AG239" s="40">
        <f t="shared" ref="AG239" si="876">IF(ISERROR(VLOOKUP(AG238,$K$394:$W$428,9,FALSE)),"",VLOOKUP(AG238,$K$394:$W$428,9,FALSE))</f>
        <v>202629</v>
      </c>
      <c r="AH239" s="97"/>
      <c r="AI239" s="71"/>
    </row>
    <row r="240" spans="1:35" ht="15" customHeight="1" outlineLevel="1">
      <c r="A240" s="221"/>
      <c r="B240" s="216" t="s">
        <v>22</v>
      </c>
      <c r="C240" s="38"/>
      <c r="D240" s="39"/>
      <c r="E240" s="175"/>
      <c r="F240" s="175"/>
      <c r="G240" s="175"/>
      <c r="H240" s="175"/>
      <c r="I240" s="175"/>
      <c r="J240" s="38"/>
      <c r="K240" s="39"/>
      <c r="L240" s="192" t="s">
        <v>45</v>
      </c>
      <c r="M240" s="182" t="s">
        <v>46</v>
      </c>
      <c r="N240" s="182" t="s">
        <v>46</v>
      </c>
      <c r="O240" s="148" t="s">
        <v>47</v>
      </c>
      <c r="P240" s="37"/>
      <c r="Q240" s="38"/>
      <c r="R240" s="39"/>
      <c r="S240" s="182" t="s">
        <v>46</v>
      </c>
      <c r="T240" s="182" t="s">
        <v>46</v>
      </c>
      <c r="U240" s="148" t="s">
        <v>47</v>
      </c>
      <c r="V240" s="37"/>
      <c r="W240" s="37"/>
      <c r="X240" s="146"/>
      <c r="Y240" s="39"/>
      <c r="Z240" s="182" t="s">
        <v>46</v>
      </c>
      <c r="AA240" s="182" t="s">
        <v>46</v>
      </c>
      <c r="AB240" s="148" t="s">
        <v>47</v>
      </c>
      <c r="AC240" s="37"/>
      <c r="AD240" s="37"/>
      <c r="AE240" s="146"/>
      <c r="AF240" s="39"/>
      <c r="AG240" s="182" t="s">
        <v>46</v>
      </c>
      <c r="AH240" s="93"/>
      <c r="AI240" s="71">
        <f>COUNTA($C240:$AG240)</f>
        <v>11</v>
      </c>
    </row>
    <row r="241" spans="1:35" ht="15.75" customHeight="1" outlineLevel="1">
      <c r="A241" s="221"/>
      <c r="B241" s="294"/>
      <c r="C241" s="95" t="str">
        <f t="shared" ref="C241" si="877">IF(ISERROR(VLOOKUP(C240,$K$394:$W$428,9,FALSE)),"",VLOOKUP(C240,$K$394:$W$428,9,FALSE))</f>
        <v/>
      </c>
      <c r="D241" s="96"/>
      <c r="E241" s="176" t="str">
        <f t="shared" ref="E241:H241" si="878">IF(ISERROR(VLOOKUP(E240,$K$394:$W$428,9,FALSE)),"",VLOOKUP(E240,$K$394:$W$428,9,FALSE))</f>
        <v/>
      </c>
      <c r="F241" s="176" t="str">
        <f t="shared" si="878"/>
        <v/>
      </c>
      <c r="G241" s="176" t="str">
        <f t="shared" si="878"/>
        <v/>
      </c>
      <c r="H241" s="176" t="str">
        <f t="shared" si="878"/>
        <v/>
      </c>
      <c r="I241" s="176" t="str">
        <f t="shared" ref="I241" si="879">IF(ISERROR(VLOOKUP(I240,$K$394:$W$428,9,FALSE)),"",VLOOKUP(I240,$K$394:$W$428,9,FALSE))</f>
        <v/>
      </c>
      <c r="J241" s="95" t="str">
        <f t="shared" ref="J241" si="880">IF(ISERROR(VLOOKUP(J240,$K$394:$W$428,9,FALSE)),"",VLOOKUP(J240,$K$394:$W$428,9,FALSE))</f>
        <v/>
      </c>
      <c r="K241" s="96"/>
      <c r="L241" s="193" t="str">
        <f t="shared" ref="L241:P241" si="881">IF(ISERROR(VLOOKUP(L240,$K$394:$W$428,9,FALSE)),"",VLOOKUP(L240,$K$394:$W$428,9,FALSE))</f>
        <v/>
      </c>
      <c r="M241" s="94">
        <f t="shared" si="881"/>
        <v>202629</v>
      </c>
      <c r="N241" s="94">
        <f t="shared" ref="N241" si="882">IF(ISERROR(VLOOKUP(N240,$K$394:$W$428,9,FALSE)),"",VLOOKUP(N240,$K$394:$W$428,9,FALSE))</f>
        <v>202629</v>
      </c>
      <c r="O241" s="94">
        <f t="shared" si="881"/>
        <v>202629</v>
      </c>
      <c r="P241" s="94" t="str">
        <f t="shared" si="881"/>
        <v/>
      </c>
      <c r="Q241" s="95" t="str">
        <f t="shared" ref="Q241" si="883">IF(ISERROR(VLOOKUP(Q240,$K$394:$W$428,9,FALSE)),"",VLOOKUP(Q240,$K$394:$W$428,9,FALSE))</f>
        <v/>
      </c>
      <c r="R241" s="96"/>
      <c r="S241" s="94">
        <f t="shared" ref="S241:U241" si="884">IF(ISERROR(VLOOKUP(S240,$K$394:$W$428,9,FALSE)),"",VLOOKUP(S240,$K$394:$W$428,9,FALSE))</f>
        <v>202629</v>
      </c>
      <c r="T241" s="94">
        <f t="shared" si="884"/>
        <v>202629</v>
      </c>
      <c r="U241" s="94">
        <f t="shared" si="884"/>
        <v>202629</v>
      </c>
      <c r="V241" s="94" t="str">
        <f t="shared" ref="V241:W241" si="885">IF(ISERROR(VLOOKUP(V240,$K$394:$W$428,9,FALSE)),"",VLOOKUP(V240,$K$394:$W$428,9,FALSE))</f>
        <v/>
      </c>
      <c r="W241" s="94" t="str">
        <f t="shared" si="885"/>
        <v/>
      </c>
      <c r="X241" s="151" t="str">
        <f t="shared" ref="X241" si="886">IF(ISERROR(VLOOKUP(X240,$K$394:$W$428,9,FALSE)),"",VLOOKUP(X240,$K$394:$W$428,9,FALSE))</f>
        <v/>
      </c>
      <c r="Y241" s="96"/>
      <c r="Z241" s="94">
        <f t="shared" ref="Z241:AB241" si="887">IF(ISERROR(VLOOKUP(Z240,$K$394:$W$428,9,FALSE)),"",VLOOKUP(Z240,$K$394:$W$428,9,FALSE))</f>
        <v>202629</v>
      </c>
      <c r="AA241" s="94">
        <f t="shared" si="887"/>
        <v>202629</v>
      </c>
      <c r="AB241" s="94">
        <f t="shared" si="887"/>
        <v>202629</v>
      </c>
      <c r="AC241" s="94" t="str">
        <f t="shared" ref="AC241:AE241" si="888">IF(ISERROR(VLOOKUP(AC240,$K$394:$W$428,9,FALSE)),"",VLOOKUP(AC240,$K$394:$W$428,9,FALSE))</f>
        <v/>
      </c>
      <c r="AD241" s="94" t="str">
        <f t="shared" si="888"/>
        <v/>
      </c>
      <c r="AE241" s="147" t="str">
        <f t="shared" si="888"/>
        <v/>
      </c>
      <c r="AF241" s="96"/>
      <c r="AG241" s="94">
        <f t="shared" ref="AG241" si="889">IF(ISERROR(VLOOKUP(AG240,$K$394:$W$428,9,FALSE)),"",VLOOKUP(AG240,$K$394:$W$428,9,FALSE))</f>
        <v>202629</v>
      </c>
      <c r="AH241" s="97"/>
      <c r="AI241" s="71"/>
    </row>
    <row r="242" spans="1:35" ht="15" customHeight="1" outlineLevel="1">
      <c r="A242" s="221"/>
      <c r="B242" s="216" t="s">
        <v>23</v>
      </c>
      <c r="C242" s="38"/>
      <c r="D242" s="39"/>
      <c r="E242" s="175"/>
      <c r="F242" s="175"/>
      <c r="G242" s="175"/>
      <c r="H242" s="175"/>
      <c r="I242" s="175"/>
      <c r="J242" s="38"/>
      <c r="K242" s="39"/>
      <c r="L242" s="192"/>
      <c r="M242" s="37"/>
      <c r="N242" s="37"/>
      <c r="O242" s="37"/>
      <c r="P242" s="37"/>
      <c r="Q242" s="38"/>
      <c r="R242" s="39"/>
      <c r="S242" s="37"/>
      <c r="T242" s="37"/>
      <c r="U242" s="37"/>
      <c r="V242" s="37"/>
      <c r="W242" s="37"/>
      <c r="X242" s="146"/>
      <c r="Y242" s="39"/>
      <c r="Z242" s="37"/>
      <c r="AA242" s="37"/>
      <c r="AB242" s="37"/>
      <c r="AC242" s="37"/>
      <c r="AD242" s="37"/>
      <c r="AE242" s="146"/>
      <c r="AF242" s="39"/>
      <c r="AG242" s="37"/>
      <c r="AH242" s="93"/>
      <c r="AI242" s="71">
        <f>COUNTA($C242:$AG242)</f>
        <v>0</v>
      </c>
    </row>
    <row r="243" spans="1:35" ht="15.75" customHeight="1" outlineLevel="1">
      <c r="A243" s="223"/>
      <c r="B243" s="294"/>
      <c r="C243" s="41" t="str">
        <f t="shared" ref="C243" si="890">IF(ISERROR(VLOOKUP(C242,$K$394:$W$428,9,FALSE)),"",VLOOKUP(C242,$K$394:$W$428,9,FALSE))</f>
        <v/>
      </c>
      <c r="D243" s="42"/>
      <c r="E243" s="177" t="str">
        <f t="shared" ref="E243:J243" si="891">IF(ISERROR(VLOOKUP(E242,$K$394:$W$428,9,FALSE)),"",VLOOKUP(E242,$K$394:$W$428,9,FALSE))</f>
        <v/>
      </c>
      <c r="F243" s="177" t="str">
        <f t="shared" si="891"/>
        <v/>
      </c>
      <c r="G243" s="177" t="str">
        <f t="shared" si="891"/>
        <v/>
      </c>
      <c r="H243" s="177" t="str">
        <f t="shared" si="891"/>
        <v/>
      </c>
      <c r="I243" s="177" t="str">
        <f t="shared" si="891"/>
        <v/>
      </c>
      <c r="J243" s="41" t="str">
        <f t="shared" si="891"/>
        <v/>
      </c>
      <c r="K243" s="42"/>
      <c r="L243" s="194" t="str">
        <f t="shared" ref="L243:Q243" si="892">IF(ISERROR(VLOOKUP(L242,$K$394:$W$428,9,FALSE)),"",VLOOKUP(L242,$K$394:$W$428,9,FALSE))</f>
        <v/>
      </c>
      <c r="M243" s="40" t="str">
        <f t="shared" si="892"/>
        <v/>
      </c>
      <c r="N243" s="40" t="str">
        <f t="shared" si="892"/>
        <v/>
      </c>
      <c r="O243" s="40" t="str">
        <f t="shared" si="892"/>
        <v/>
      </c>
      <c r="P243" s="40" t="str">
        <f t="shared" si="892"/>
        <v/>
      </c>
      <c r="Q243" s="41" t="str">
        <f t="shared" si="892"/>
        <v/>
      </c>
      <c r="R243" s="42"/>
      <c r="S243" s="40" t="str">
        <f t="shared" ref="S243:X243" si="893">IF(ISERROR(VLOOKUP(S242,$K$394:$W$428,9,FALSE)),"",VLOOKUP(S242,$K$394:$W$428,9,FALSE))</f>
        <v/>
      </c>
      <c r="T243" s="40" t="str">
        <f t="shared" si="893"/>
        <v/>
      </c>
      <c r="U243" s="40" t="str">
        <f t="shared" si="893"/>
        <v/>
      </c>
      <c r="V243" s="40" t="str">
        <f t="shared" si="893"/>
        <v/>
      </c>
      <c r="W243" s="40" t="str">
        <f t="shared" si="893"/>
        <v/>
      </c>
      <c r="X243" s="147" t="str">
        <f t="shared" si="893"/>
        <v/>
      </c>
      <c r="Y243" s="42"/>
      <c r="Z243" s="40" t="str">
        <f t="shared" ref="Z243:AE243" si="894">IF(ISERROR(VLOOKUP(Z242,$K$394:$W$428,9,FALSE)),"",VLOOKUP(Z242,$K$394:$W$428,9,FALSE))</f>
        <v/>
      </c>
      <c r="AA243" s="40" t="str">
        <f t="shared" si="894"/>
        <v/>
      </c>
      <c r="AB243" s="40" t="str">
        <f t="shared" si="894"/>
        <v/>
      </c>
      <c r="AC243" s="40" t="str">
        <f t="shared" si="894"/>
        <v/>
      </c>
      <c r="AD243" s="40" t="str">
        <f t="shared" si="894"/>
        <v/>
      </c>
      <c r="AE243" s="147" t="str">
        <f t="shared" si="894"/>
        <v/>
      </c>
      <c r="AF243" s="42"/>
      <c r="AG243" s="40" t="str">
        <f>IF(ISERROR(VLOOKUP(AG242,$K$394:$W$428,9,FALSE)),"",VLOOKUP(AG242,$K$394:$W$428,9,FALSE))</f>
        <v/>
      </c>
      <c r="AH243" s="97"/>
      <c r="AI243" s="71"/>
    </row>
    <row r="244" spans="1:35" ht="15" customHeight="1" outlineLevel="1">
      <c r="A244" s="221" t="s">
        <v>24</v>
      </c>
      <c r="B244" s="216" t="s">
        <v>19</v>
      </c>
      <c r="C244" s="38"/>
      <c r="D244" s="39"/>
      <c r="E244" s="175"/>
      <c r="F244" s="175"/>
      <c r="G244" s="175"/>
      <c r="H244" s="175"/>
      <c r="I244" s="175"/>
      <c r="J244" s="38"/>
      <c r="K244" s="39"/>
      <c r="L244" s="192" t="s">
        <v>45</v>
      </c>
      <c r="M244" s="143" t="s">
        <v>48</v>
      </c>
      <c r="N244" s="143" t="s">
        <v>48</v>
      </c>
      <c r="O244" s="195" t="s">
        <v>49</v>
      </c>
      <c r="P244" s="143" t="s">
        <v>48</v>
      </c>
      <c r="Q244" s="38"/>
      <c r="R244" s="39"/>
      <c r="S244" s="143" t="s">
        <v>48</v>
      </c>
      <c r="T244" s="143" t="s">
        <v>48</v>
      </c>
      <c r="U244" s="195" t="s">
        <v>49</v>
      </c>
      <c r="V244" s="143" t="s">
        <v>48</v>
      </c>
      <c r="W244" s="143" t="s">
        <v>48</v>
      </c>
      <c r="X244" s="38"/>
      <c r="Y244" s="39"/>
      <c r="Z244" s="143" t="s">
        <v>48</v>
      </c>
      <c r="AA244" s="143" t="s">
        <v>48</v>
      </c>
      <c r="AB244" s="195" t="s">
        <v>49</v>
      </c>
      <c r="AC244" s="143" t="s">
        <v>48</v>
      </c>
      <c r="AD244" s="143" t="s">
        <v>48</v>
      </c>
      <c r="AE244" s="38"/>
      <c r="AF244" s="39"/>
      <c r="AG244" s="143" t="s">
        <v>48</v>
      </c>
      <c r="AH244" s="93"/>
      <c r="AI244" s="71">
        <f>COUNTA($C244:$AG244)</f>
        <v>16</v>
      </c>
    </row>
    <row r="245" spans="1:35" ht="15.75" customHeight="1" outlineLevel="1">
      <c r="A245" s="221"/>
      <c r="B245" s="293"/>
      <c r="C245" s="95" t="str">
        <f t="shared" ref="C245" si="895">IF(ISERROR(VLOOKUP(C244,$K$394:$W$428,9,FALSE)),"",VLOOKUP(C244,$K$394:$W$428,9,FALSE))</f>
        <v/>
      </c>
      <c r="D245" s="96"/>
      <c r="E245" s="176" t="str">
        <f t="shared" ref="E245:J245" si="896">IF(ISERROR(VLOOKUP(E244,$K$394:$W$428,9,FALSE)),"",VLOOKUP(E244,$K$394:$W$428,9,FALSE))</f>
        <v/>
      </c>
      <c r="F245" s="176" t="str">
        <f t="shared" si="896"/>
        <v/>
      </c>
      <c r="G245" s="176" t="str">
        <f t="shared" si="896"/>
        <v/>
      </c>
      <c r="H245" s="176" t="str">
        <f t="shared" si="896"/>
        <v/>
      </c>
      <c r="I245" s="176" t="str">
        <f t="shared" si="896"/>
        <v/>
      </c>
      <c r="J245" s="95" t="str">
        <f t="shared" si="896"/>
        <v/>
      </c>
      <c r="K245" s="96"/>
      <c r="L245" s="193" t="str">
        <f t="shared" ref="L245" si="897">IF(ISERROR(VLOOKUP(L244,$K$394:$W$428,9,FALSE)),"",VLOOKUP(L244,$K$394:$W$428,9,FALSE))</f>
        <v/>
      </c>
      <c r="M245" s="94">
        <f t="shared" ref="M245:Q245" si="898">IF(ISERROR(VLOOKUP(M244,$K$394:$W$428,9,FALSE)),"",VLOOKUP(M244,$K$394:$W$428,9,FALSE))</f>
        <v>96378</v>
      </c>
      <c r="N245" s="94">
        <f t="shared" ref="N245:P245" si="899">IF(ISERROR(VLOOKUP(N244,$K$394:$W$428,9,FALSE)),"",VLOOKUP(N244,$K$394:$W$428,9,FALSE))</f>
        <v>96378</v>
      </c>
      <c r="O245" s="94">
        <f t="shared" si="898"/>
        <v>101706</v>
      </c>
      <c r="P245" s="94">
        <f t="shared" si="899"/>
        <v>96378</v>
      </c>
      <c r="Q245" s="95" t="str">
        <f t="shared" si="898"/>
        <v/>
      </c>
      <c r="R245" s="96"/>
      <c r="S245" s="94">
        <f t="shared" ref="S245" si="900">IF(ISERROR(VLOOKUP(S244,$K$394:$W$428,9,FALSE)),"",VLOOKUP(S244,$K$394:$W$428,9,FALSE))</f>
        <v>96378</v>
      </c>
      <c r="T245" s="94">
        <f t="shared" ref="T245:W245" si="901">IF(ISERROR(VLOOKUP(T244,$K$394:$W$428,9,FALSE)),"",VLOOKUP(T244,$K$394:$W$428,9,FALSE))</f>
        <v>96378</v>
      </c>
      <c r="U245" s="94">
        <f t="shared" si="901"/>
        <v>101706</v>
      </c>
      <c r="V245" s="94">
        <f t="shared" ref="V245" si="902">IF(ISERROR(VLOOKUP(V244,$K$394:$W$428,9,FALSE)),"",VLOOKUP(V244,$K$394:$W$428,9,FALSE))</f>
        <v>96378</v>
      </c>
      <c r="W245" s="94">
        <f t="shared" si="901"/>
        <v>96378</v>
      </c>
      <c r="X245" s="95" t="str">
        <f t="shared" ref="X245" si="903">IF(ISERROR(VLOOKUP(X244,$K$394:$W$428,9,FALSE)),"",VLOOKUP(X244,$K$394:$W$428,9,FALSE))</f>
        <v/>
      </c>
      <c r="Y245" s="96"/>
      <c r="Z245" s="94">
        <f t="shared" ref="Z245:AD245" si="904">IF(ISERROR(VLOOKUP(Z244,$K$394:$W$428,9,FALSE)),"",VLOOKUP(Z244,$K$394:$W$428,9,FALSE))</f>
        <v>96378</v>
      </c>
      <c r="AA245" s="94">
        <f t="shared" si="904"/>
        <v>96378</v>
      </c>
      <c r="AB245" s="94">
        <f t="shared" si="904"/>
        <v>101706</v>
      </c>
      <c r="AC245" s="94">
        <f t="shared" si="904"/>
        <v>96378</v>
      </c>
      <c r="AD245" s="94">
        <f t="shared" si="904"/>
        <v>96378</v>
      </c>
      <c r="AE245" s="95" t="str">
        <f t="shared" ref="AE245" si="905">IF(ISERROR(VLOOKUP(AE244,$K$394:$W$428,9,FALSE)),"",VLOOKUP(AE244,$K$394:$W$428,9,FALSE))</f>
        <v/>
      </c>
      <c r="AF245" s="96"/>
      <c r="AG245" s="94">
        <f t="shared" ref="AG245" si="906">IF(ISERROR(VLOOKUP(AG244,$K$394:$W$428,9,FALSE)),"",VLOOKUP(AG244,$K$394:$W$428,9,FALSE))</f>
        <v>96378</v>
      </c>
      <c r="AH245" s="97"/>
      <c r="AI245" s="71"/>
    </row>
    <row r="246" spans="1:35" ht="15" customHeight="1" outlineLevel="1">
      <c r="A246" s="221"/>
      <c r="B246" s="216" t="s">
        <v>20</v>
      </c>
      <c r="C246" s="38"/>
      <c r="D246" s="39"/>
      <c r="E246" s="175"/>
      <c r="F246" s="175"/>
      <c r="G246" s="175"/>
      <c r="H246" s="175"/>
      <c r="I246" s="175"/>
      <c r="J246" s="38"/>
      <c r="K246" s="39"/>
      <c r="L246" s="192" t="s">
        <v>45</v>
      </c>
      <c r="M246" s="143" t="s">
        <v>48</v>
      </c>
      <c r="N246" s="143" t="s">
        <v>48</v>
      </c>
      <c r="O246" s="195" t="s">
        <v>49</v>
      </c>
      <c r="P246" s="143" t="s">
        <v>48</v>
      </c>
      <c r="Q246" s="38"/>
      <c r="R246" s="39"/>
      <c r="S246" s="143" t="s">
        <v>48</v>
      </c>
      <c r="T246" s="143" t="s">
        <v>48</v>
      </c>
      <c r="U246" s="195" t="s">
        <v>49</v>
      </c>
      <c r="V246" s="143" t="s">
        <v>48</v>
      </c>
      <c r="W246" s="143" t="s">
        <v>48</v>
      </c>
      <c r="X246" s="146"/>
      <c r="Y246" s="39"/>
      <c r="Z246" s="143" t="s">
        <v>48</v>
      </c>
      <c r="AA246" s="143" t="s">
        <v>48</v>
      </c>
      <c r="AB246" s="195" t="s">
        <v>49</v>
      </c>
      <c r="AC246" s="143" t="s">
        <v>48</v>
      </c>
      <c r="AD246" s="143" t="s">
        <v>48</v>
      </c>
      <c r="AE246" s="38"/>
      <c r="AF246" s="39"/>
      <c r="AG246" s="143" t="s">
        <v>48</v>
      </c>
      <c r="AH246" s="93"/>
      <c r="AI246" s="71">
        <f>COUNTA($C246:$AG246)</f>
        <v>16</v>
      </c>
    </row>
    <row r="247" spans="1:35" ht="15.75" customHeight="1" outlineLevel="1">
      <c r="A247" s="221"/>
      <c r="B247" s="294"/>
      <c r="C247" s="41" t="str">
        <f t="shared" ref="C247" si="907">IF(ISERROR(VLOOKUP(C246,$K$394:$W$428,9,FALSE)),"",VLOOKUP(C246,$K$394:$W$428,9,FALSE))</f>
        <v/>
      </c>
      <c r="D247" s="42"/>
      <c r="E247" s="177" t="str">
        <f t="shared" ref="E247:J247" si="908">IF(ISERROR(VLOOKUP(E246,$K$394:$W$428,9,FALSE)),"",VLOOKUP(E246,$K$394:$W$428,9,FALSE))</f>
        <v/>
      </c>
      <c r="F247" s="177" t="str">
        <f t="shared" si="908"/>
        <v/>
      </c>
      <c r="G247" s="177" t="str">
        <f t="shared" si="908"/>
        <v/>
      </c>
      <c r="H247" s="177" t="str">
        <f t="shared" si="908"/>
        <v/>
      </c>
      <c r="I247" s="177" t="str">
        <f t="shared" si="908"/>
        <v/>
      </c>
      <c r="J247" s="41" t="str">
        <f t="shared" si="908"/>
        <v/>
      </c>
      <c r="K247" s="42"/>
      <c r="L247" s="194" t="str">
        <f t="shared" ref="L247" si="909">IF(ISERROR(VLOOKUP(L246,$K$394:$W$428,9,FALSE)),"",VLOOKUP(L246,$K$394:$W$428,9,FALSE))</f>
        <v/>
      </c>
      <c r="M247" s="40">
        <f t="shared" ref="M247:Q247" si="910">IF(ISERROR(VLOOKUP(M246,$K$394:$W$428,9,FALSE)),"",VLOOKUP(M246,$K$394:$W$428,9,FALSE))</f>
        <v>96378</v>
      </c>
      <c r="N247" s="40">
        <f t="shared" ref="N247:P247" si="911">IF(ISERROR(VLOOKUP(N246,$K$394:$W$428,9,FALSE)),"",VLOOKUP(N246,$K$394:$W$428,9,FALSE))</f>
        <v>96378</v>
      </c>
      <c r="O247" s="40">
        <f t="shared" si="910"/>
        <v>101706</v>
      </c>
      <c r="P247" s="40">
        <f t="shared" si="911"/>
        <v>96378</v>
      </c>
      <c r="Q247" s="41" t="str">
        <f t="shared" si="910"/>
        <v/>
      </c>
      <c r="R247" s="42"/>
      <c r="S247" s="40">
        <f t="shared" ref="S247" si="912">IF(ISERROR(VLOOKUP(S246,$K$394:$W$428,9,FALSE)),"",VLOOKUP(S246,$K$394:$W$428,9,FALSE))</f>
        <v>96378</v>
      </c>
      <c r="T247" s="40">
        <f t="shared" ref="T247:W247" si="913">IF(ISERROR(VLOOKUP(T246,$K$394:$W$428,9,FALSE)),"",VLOOKUP(T246,$K$394:$W$428,9,FALSE))</f>
        <v>96378</v>
      </c>
      <c r="U247" s="40">
        <f t="shared" si="913"/>
        <v>101706</v>
      </c>
      <c r="V247" s="40">
        <f t="shared" ref="V247" si="914">IF(ISERROR(VLOOKUP(V246,$K$394:$W$428,9,FALSE)),"",VLOOKUP(V246,$K$394:$W$428,9,FALSE))</f>
        <v>96378</v>
      </c>
      <c r="W247" s="40">
        <f t="shared" si="913"/>
        <v>96378</v>
      </c>
      <c r="X247" s="147" t="str">
        <f t="shared" ref="X247" si="915">IF(ISERROR(VLOOKUP(X246,$K$394:$W$428,9,FALSE)),"",VLOOKUP(X246,$K$394:$W$428,9,FALSE))</f>
        <v/>
      </c>
      <c r="Y247" s="42"/>
      <c r="Z247" s="40">
        <f t="shared" ref="Z247:AD247" si="916">IF(ISERROR(VLOOKUP(Z246,$K$394:$W$428,9,FALSE)),"",VLOOKUP(Z246,$K$394:$W$428,9,FALSE))</f>
        <v>96378</v>
      </c>
      <c r="AA247" s="40">
        <f t="shared" si="916"/>
        <v>96378</v>
      </c>
      <c r="AB247" s="40">
        <f t="shared" si="916"/>
        <v>101706</v>
      </c>
      <c r="AC247" s="40">
        <f t="shared" si="916"/>
        <v>96378</v>
      </c>
      <c r="AD247" s="40">
        <f t="shared" si="916"/>
        <v>96378</v>
      </c>
      <c r="AE247" s="41" t="str">
        <f t="shared" ref="AE247" si="917">IF(ISERROR(VLOOKUP(AE246,$K$394:$W$428,9,FALSE)),"",VLOOKUP(AE246,$K$394:$W$428,9,FALSE))</f>
        <v/>
      </c>
      <c r="AF247" s="42"/>
      <c r="AG247" s="40">
        <f t="shared" ref="AG247" si="918">IF(ISERROR(VLOOKUP(AG246,$K$394:$W$428,9,FALSE)),"",VLOOKUP(AG246,$K$394:$W$428,9,FALSE))</f>
        <v>96378</v>
      </c>
      <c r="AH247" s="97"/>
      <c r="AI247" s="71"/>
    </row>
    <row r="248" spans="1:35" ht="15" customHeight="1" outlineLevel="1">
      <c r="A248" s="221"/>
      <c r="B248" s="216" t="s">
        <v>21</v>
      </c>
      <c r="C248" s="38"/>
      <c r="D248" s="39"/>
      <c r="E248" s="175"/>
      <c r="F248" s="175"/>
      <c r="G248" s="175"/>
      <c r="H248" s="175"/>
      <c r="I248" s="175"/>
      <c r="J248" s="38"/>
      <c r="K248" s="39"/>
      <c r="L248" s="192" t="s">
        <v>45</v>
      </c>
      <c r="M248" s="143" t="s">
        <v>48</v>
      </c>
      <c r="N248" s="143" t="s">
        <v>48</v>
      </c>
      <c r="O248" s="195" t="s">
        <v>49</v>
      </c>
      <c r="P248" s="143" t="s">
        <v>48</v>
      </c>
      <c r="Q248" s="38"/>
      <c r="R248" s="39"/>
      <c r="S248" s="143" t="s">
        <v>48</v>
      </c>
      <c r="T248" s="143" t="s">
        <v>48</v>
      </c>
      <c r="U248" s="202" t="s">
        <v>49</v>
      </c>
      <c r="V248" s="143" t="s">
        <v>48</v>
      </c>
      <c r="W248" s="143" t="s">
        <v>48</v>
      </c>
      <c r="X248" s="146"/>
      <c r="Y248" s="39"/>
      <c r="Z248" s="143" t="s">
        <v>48</v>
      </c>
      <c r="AA248" s="143" t="s">
        <v>48</v>
      </c>
      <c r="AB248" s="195" t="s">
        <v>49</v>
      </c>
      <c r="AC248" s="143" t="s">
        <v>48</v>
      </c>
      <c r="AD248" s="143" t="s">
        <v>48</v>
      </c>
      <c r="AE248" s="38"/>
      <c r="AF248" s="39"/>
      <c r="AG248" s="143" t="s">
        <v>48</v>
      </c>
      <c r="AH248" s="93"/>
      <c r="AI248" s="71">
        <f>COUNTA($C248:$AG248)</f>
        <v>16</v>
      </c>
    </row>
    <row r="249" spans="1:35" ht="15.75" customHeight="1" outlineLevel="1">
      <c r="A249" s="221"/>
      <c r="B249" s="294"/>
      <c r="C249" s="95" t="str">
        <f t="shared" ref="C249" si="919">IF(ISERROR(VLOOKUP(C248,$K$394:$W$428,9,FALSE)),"",VLOOKUP(C248,$K$394:$W$428,9,FALSE))</f>
        <v/>
      </c>
      <c r="D249" s="96"/>
      <c r="E249" s="176" t="str">
        <f t="shared" ref="E249:J249" si="920">IF(ISERROR(VLOOKUP(E248,$K$394:$W$428,9,FALSE)),"",VLOOKUP(E248,$K$394:$W$428,9,FALSE))</f>
        <v/>
      </c>
      <c r="F249" s="176" t="str">
        <f t="shared" si="920"/>
        <v/>
      </c>
      <c r="G249" s="176" t="str">
        <f t="shared" si="920"/>
        <v/>
      </c>
      <c r="H249" s="176" t="str">
        <f t="shared" si="920"/>
        <v/>
      </c>
      <c r="I249" s="176" t="str">
        <f t="shared" si="920"/>
        <v/>
      </c>
      <c r="J249" s="95" t="str">
        <f t="shared" si="920"/>
        <v/>
      </c>
      <c r="K249" s="96"/>
      <c r="L249" s="193" t="str">
        <f t="shared" ref="L249" si="921">IF(ISERROR(VLOOKUP(L248,$K$394:$W$428,9,FALSE)),"",VLOOKUP(L248,$K$394:$W$428,9,FALSE))</f>
        <v/>
      </c>
      <c r="M249" s="94">
        <f t="shared" ref="M249:Q249" si="922">IF(ISERROR(VLOOKUP(M248,$K$394:$W$428,9,FALSE)),"",VLOOKUP(M248,$K$394:$W$428,9,FALSE))</f>
        <v>96378</v>
      </c>
      <c r="N249" s="94">
        <f t="shared" ref="N249:P249" si="923">IF(ISERROR(VLOOKUP(N248,$K$394:$W$428,9,FALSE)),"",VLOOKUP(N248,$K$394:$W$428,9,FALSE))</f>
        <v>96378</v>
      </c>
      <c r="O249" s="94">
        <f t="shared" si="922"/>
        <v>101706</v>
      </c>
      <c r="P249" s="94">
        <f t="shared" si="923"/>
        <v>96378</v>
      </c>
      <c r="Q249" s="95" t="str">
        <f t="shared" si="922"/>
        <v/>
      </c>
      <c r="R249" s="96"/>
      <c r="S249" s="94">
        <f t="shared" ref="S249" si="924">IF(ISERROR(VLOOKUP(S248,$K$394:$W$428,9,FALSE)),"",VLOOKUP(S248,$K$394:$W$428,9,FALSE))</f>
        <v>96378</v>
      </c>
      <c r="T249" s="94">
        <f t="shared" ref="T249:W249" si="925">IF(ISERROR(VLOOKUP(T248,$K$394:$W$428,9,FALSE)),"",VLOOKUP(T248,$K$394:$W$428,9,FALSE))</f>
        <v>96378</v>
      </c>
      <c r="U249" s="151">
        <f t="shared" si="925"/>
        <v>101706</v>
      </c>
      <c r="V249" s="94">
        <f t="shared" ref="V249" si="926">IF(ISERROR(VLOOKUP(V248,$K$394:$W$428,9,FALSE)),"",VLOOKUP(V248,$K$394:$W$428,9,FALSE))</f>
        <v>96378</v>
      </c>
      <c r="W249" s="94">
        <f t="shared" si="925"/>
        <v>96378</v>
      </c>
      <c r="X249" s="151" t="str">
        <f t="shared" ref="X249" si="927">IF(ISERROR(VLOOKUP(X248,$K$394:$W$428,9,FALSE)),"",VLOOKUP(X248,$K$394:$W$428,9,FALSE))</f>
        <v/>
      </c>
      <c r="Y249" s="96"/>
      <c r="Z249" s="94">
        <f t="shared" ref="Z249:AD249" si="928">IF(ISERROR(VLOOKUP(Z248,$K$394:$W$428,9,FALSE)),"",VLOOKUP(Z248,$K$394:$W$428,9,FALSE))</f>
        <v>96378</v>
      </c>
      <c r="AA249" s="94">
        <f t="shared" si="928"/>
        <v>96378</v>
      </c>
      <c r="AB249" s="94">
        <f t="shared" si="928"/>
        <v>101706</v>
      </c>
      <c r="AC249" s="94">
        <f t="shared" si="928"/>
        <v>96378</v>
      </c>
      <c r="AD249" s="94">
        <f t="shared" si="928"/>
        <v>96378</v>
      </c>
      <c r="AE249" s="95" t="str">
        <f t="shared" ref="AE249" si="929">IF(ISERROR(VLOOKUP(AE248,$K$394:$W$428,9,FALSE)),"",VLOOKUP(AE248,$K$394:$W$428,9,FALSE))</f>
        <v/>
      </c>
      <c r="AF249" s="96"/>
      <c r="AG249" s="94">
        <f t="shared" ref="AG249" si="930">IF(ISERROR(VLOOKUP(AG248,$K$394:$W$428,9,FALSE)),"",VLOOKUP(AG248,$K$394:$W$428,9,FALSE))</f>
        <v>96378</v>
      </c>
      <c r="AH249" s="97"/>
      <c r="AI249" s="71"/>
    </row>
    <row r="250" spans="1:35" ht="15" customHeight="1" outlineLevel="1">
      <c r="A250" s="221"/>
      <c r="B250" s="216" t="s">
        <v>22</v>
      </c>
      <c r="C250" s="38"/>
      <c r="D250" s="39"/>
      <c r="E250" s="175"/>
      <c r="F250" s="175"/>
      <c r="G250" s="175"/>
      <c r="H250" s="175"/>
      <c r="I250" s="175"/>
      <c r="J250" s="38"/>
      <c r="K250" s="39"/>
      <c r="L250" s="192" t="s">
        <v>45</v>
      </c>
      <c r="M250" s="143" t="s">
        <v>48</v>
      </c>
      <c r="N250" s="143" t="s">
        <v>48</v>
      </c>
      <c r="O250" s="195" t="s">
        <v>49</v>
      </c>
      <c r="P250" s="143" t="s">
        <v>48</v>
      </c>
      <c r="Q250" s="38"/>
      <c r="R250" s="39"/>
      <c r="S250" s="143" t="s">
        <v>48</v>
      </c>
      <c r="T250" s="143" t="s">
        <v>48</v>
      </c>
      <c r="U250" s="202" t="s">
        <v>49</v>
      </c>
      <c r="V250" s="143" t="s">
        <v>48</v>
      </c>
      <c r="W250" s="143" t="s">
        <v>48</v>
      </c>
      <c r="X250" s="38"/>
      <c r="Y250" s="39"/>
      <c r="Z250" s="143" t="s">
        <v>48</v>
      </c>
      <c r="AA250" s="143" t="s">
        <v>48</v>
      </c>
      <c r="AB250" s="195" t="s">
        <v>49</v>
      </c>
      <c r="AC250" s="143" t="s">
        <v>48</v>
      </c>
      <c r="AD250" s="143" t="s">
        <v>48</v>
      </c>
      <c r="AE250" s="38"/>
      <c r="AF250" s="39"/>
      <c r="AG250" s="143" t="s">
        <v>48</v>
      </c>
      <c r="AH250" s="93"/>
      <c r="AI250" s="71">
        <f>COUNTA($C250:$AG250)</f>
        <v>16</v>
      </c>
    </row>
    <row r="251" spans="1:35" ht="15.75" customHeight="1" outlineLevel="1">
      <c r="A251" s="221"/>
      <c r="B251" s="294"/>
      <c r="C251" s="95" t="str">
        <f t="shared" ref="C251" si="931">IF(ISERROR(VLOOKUP(C250,$K$394:$W$428,9,FALSE)),"",VLOOKUP(C250,$K$394:$W$428,9,FALSE))</f>
        <v/>
      </c>
      <c r="D251" s="96"/>
      <c r="E251" s="176" t="str">
        <f t="shared" ref="E251:J251" si="932">IF(ISERROR(VLOOKUP(E250,$K$394:$W$428,9,FALSE)),"",VLOOKUP(E250,$K$394:$W$428,9,FALSE))</f>
        <v/>
      </c>
      <c r="F251" s="176" t="str">
        <f t="shared" si="932"/>
        <v/>
      </c>
      <c r="G251" s="176" t="str">
        <f t="shared" si="932"/>
        <v/>
      </c>
      <c r="H251" s="176" t="str">
        <f t="shared" si="932"/>
        <v/>
      </c>
      <c r="I251" s="176" t="str">
        <f t="shared" si="932"/>
        <v/>
      </c>
      <c r="J251" s="95" t="str">
        <f t="shared" si="932"/>
        <v/>
      </c>
      <c r="K251" s="96"/>
      <c r="L251" s="193" t="str">
        <f t="shared" ref="L251" si="933">IF(ISERROR(VLOOKUP(L250,$K$394:$W$428,9,FALSE)),"",VLOOKUP(L250,$K$394:$W$428,9,FALSE))</f>
        <v/>
      </c>
      <c r="M251" s="94">
        <f t="shared" ref="M251:Q251" si="934">IF(ISERROR(VLOOKUP(M250,$K$394:$W$428,9,FALSE)),"",VLOOKUP(M250,$K$394:$W$428,9,FALSE))</f>
        <v>96378</v>
      </c>
      <c r="N251" s="94">
        <f t="shared" ref="N251:P251" si="935">IF(ISERROR(VLOOKUP(N250,$K$394:$W$428,9,FALSE)),"",VLOOKUP(N250,$K$394:$W$428,9,FALSE))</f>
        <v>96378</v>
      </c>
      <c r="O251" s="94">
        <f t="shared" si="934"/>
        <v>101706</v>
      </c>
      <c r="P251" s="94">
        <f t="shared" si="935"/>
        <v>96378</v>
      </c>
      <c r="Q251" s="95" t="str">
        <f t="shared" si="934"/>
        <v/>
      </c>
      <c r="R251" s="96"/>
      <c r="S251" s="94">
        <f t="shared" ref="S251" si="936">IF(ISERROR(VLOOKUP(S250,$K$394:$W$428,9,FALSE)),"",VLOOKUP(S250,$K$394:$W$428,9,FALSE))</f>
        <v>96378</v>
      </c>
      <c r="T251" s="94">
        <f t="shared" ref="T251:X251" si="937">IF(ISERROR(VLOOKUP(T250,$K$394:$W$428,9,FALSE)),"",VLOOKUP(T250,$K$394:$W$428,9,FALSE))</f>
        <v>96378</v>
      </c>
      <c r="U251" s="151">
        <f t="shared" si="937"/>
        <v>101706</v>
      </c>
      <c r="V251" s="94">
        <f t="shared" ref="V251" si="938">IF(ISERROR(VLOOKUP(V250,$K$394:$W$428,9,FALSE)),"",VLOOKUP(V250,$K$394:$W$428,9,FALSE))</f>
        <v>96378</v>
      </c>
      <c r="W251" s="94">
        <f t="shared" si="937"/>
        <v>96378</v>
      </c>
      <c r="X251" s="95" t="str">
        <f t="shared" si="937"/>
        <v/>
      </c>
      <c r="Y251" s="96"/>
      <c r="Z251" s="94">
        <f t="shared" ref="Z251:AD251" si="939">IF(ISERROR(VLOOKUP(Z250,$K$394:$W$428,9,FALSE)),"",VLOOKUP(Z250,$K$394:$W$428,9,FALSE))</f>
        <v>96378</v>
      </c>
      <c r="AA251" s="94">
        <f t="shared" si="939"/>
        <v>96378</v>
      </c>
      <c r="AB251" s="94">
        <f t="shared" si="939"/>
        <v>101706</v>
      </c>
      <c r="AC251" s="94">
        <f t="shared" si="939"/>
        <v>96378</v>
      </c>
      <c r="AD251" s="94">
        <f t="shared" si="939"/>
        <v>96378</v>
      </c>
      <c r="AE251" s="95" t="str">
        <f t="shared" ref="AE251" si="940">IF(ISERROR(VLOOKUP(AE250,$K$394:$W$428,9,FALSE)),"",VLOOKUP(AE250,$K$394:$W$428,9,FALSE))</f>
        <v/>
      </c>
      <c r="AF251" s="96"/>
      <c r="AG251" s="94">
        <f t="shared" ref="AG251" si="941">IF(ISERROR(VLOOKUP(AG250,$K$394:$W$428,9,FALSE)),"",VLOOKUP(AG250,$K$394:$W$428,9,FALSE))</f>
        <v>96378</v>
      </c>
      <c r="AH251" s="97"/>
      <c r="AI251" s="71"/>
    </row>
    <row r="252" spans="1:35" ht="15" customHeight="1" outlineLevel="1">
      <c r="A252" s="221"/>
      <c r="B252" s="216" t="s">
        <v>23</v>
      </c>
      <c r="C252" s="38"/>
      <c r="D252" s="39"/>
      <c r="E252" s="175"/>
      <c r="F252" s="175"/>
      <c r="G252" s="175"/>
      <c r="H252" s="175"/>
      <c r="I252" s="175"/>
      <c r="J252" s="38"/>
      <c r="K252" s="39"/>
      <c r="L252" s="37"/>
      <c r="M252" s="37"/>
      <c r="N252" s="37"/>
      <c r="O252" s="37"/>
      <c r="P252" s="37"/>
      <c r="Q252" s="38"/>
      <c r="R252" s="39"/>
      <c r="S252" s="37"/>
      <c r="T252" s="37"/>
      <c r="U252" s="37"/>
      <c r="V252" s="37"/>
      <c r="W252" s="37"/>
      <c r="X252" s="38"/>
      <c r="Y252" s="39"/>
      <c r="Z252" s="37"/>
      <c r="AA252" s="37"/>
      <c r="AB252" s="37"/>
      <c r="AC252" s="37"/>
      <c r="AD252" s="37"/>
      <c r="AE252" s="38"/>
      <c r="AF252" s="39"/>
      <c r="AG252" s="37"/>
      <c r="AH252" s="93"/>
      <c r="AI252" s="71">
        <f>COUNTA($C252:$AG252)</f>
        <v>0</v>
      </c>
    </row>
    <row r="253" spans="1:35" ht="15.75" customHeight="1" outlineLevel="1">
      <c r="A253" s="223"/>
      <c r="B253" s="294"/>
      <c r="C253" s="41" t="str">
        <f t="shared" ref="C253" si="942">IF(ISERROR(VLOOKUP(C252,$K$394:$W$428,9,FALSE)),"",VLOOKUP(C252,$K$394:$W$428,9,FALSE))</f>
        <v/>
      </c>
      <c r="D253" s="42"/>
      <c r="E253" s="177" t="str">
        <f t="shared" ref="E253:J253" si="943">IF(ISERROR(VLOOKUP(E252,$K$394:$W$428,9,FALSE)),"",VLOOKUP(E252,$K$394:$W$428,9,FALSE))</f>
        <v/>
      </c>
      <c r="F253" s="177" t="str">
        <f t="shared" si="943"/>
        <v/>
      </c>
      <c r="G253" s="177" t="str">
        <f t="shared" si="943"/>
        <v/>
      </c>
      <c r="H253" s="177" t="str">
        <f t="shared" si="943"/>
        <v/>
      </c>
      <c r="I253" s="177" t="str">
        <f t="shared" si="943"/>
        <v/>
      </c>
      <c r="J253" s="41" t="str">
        <f t="shared" si="943"/>
        <v/>
      </c>
      <c r="K253" s="42"/>
      <c r="L253" s="40" t="str">
        <f t="shared" ref="L253:Q253" si="944">IF(ISERROR(VLOOKUP(L252,$K$394:$W$428,9,FALSE)),"",VLOOKUP(L252,$K$394:$W$428,9,FALSE))</f>
        <v/>
      </c>
      <c r="M253" s="40" t="str">
        <f t="shared" si="944"/>
        <v/>
      </c>
      <c r="N253" s="40" t="str">
        <f t="shared" si="944"/>
        <v/>
      </c>
      <c r="O253" s="40" t="str">
        <f t="shared" si="944"/>
        <v/>
      </c>
      <c r="P253" s="40" t="str">
        <f t="shared" si="944"/>
        <v/>
      </c>
      <c r="Q253" s="41" t="str">
        <f t="shared" si="944"/>
        <v/>
      </c>
      <c r="R253" s="42"/>
      <c r="S253" s="40" t="str">
        <f t="shared" ref="S253:X253" si="945">IF(ISERROR(VLOOKUP(S252,$K$394:$W$428,9,FALSE)),"",VLOOKUP(S252,$K$394:$W$428,9,FALSE))</f>
        <v/>
      </c>
      <c r="T253" s="40" t="str">
        <f t="shared" si="945"/>
        <v/>
      </c>
      <c r="U253" s="40" t="str">
        <f t="shared" si="945"/>
        <v/>
      </c>
      <c r="V253" s="40" t="str">
        <f t="shared" si="945"/>
        <v/>
      </c>
      <c r="W253" s="40" t="str">
        <f t="shared" si="945"/>
        <v/>
      </c>
      <c r="X253" s="41" t="str">
        <f t="shared" si="945"/>
        <v/>
      </c>
      <c r="Y253" s="42"/>
      <c r="Z253" s="40" t="str">
        <f t="shared" ref="Z253:AE253" si="946">IF(ISERROR(VLOOKUP(Z252,$K$394:$W$428,9,FALSE)),"",VLOOKUP(Z252,$K$394:$W$428,9,FALSE))</f>
        <v/>
      </c>
      <c r="AA253" s="40" t="str">
        <f t="shared" si="946"/>
        <v/>
      </c>
      <c r="AB253" s="40" t="str">
        <f t="shared" ref="AB253" si="947">IF(ISERROR(VLOOKUP(AB252,$K$394:$W$428,9,FALSE)),"",VLOOKUP(AB252,$K$394:$W$428,9,FALSE))</f>
        <v/>
      </c>
      <c r="AC253" s="40" t="str">
        <f t="shared" si="946"/>
        <v/>
      </c>
      <c r="AD253" s="40" t="str">
        <f t="shared" si="946"/>
        <v/>
      </c>
      <c r="AE253" s="41" t="str">
        <f t="shared" si="946"/>
        <v/>
      </c>
      <c r="AF253" s="42"/>
      <c r="AG253" s="40" t="str">
        <f>IF(ISERROR(VLOOKUP(AG252,$K$394:$W$428,9,FALSE)),"",VLOOKUP(AG252,$K$394:$W$428,9,FALSE))</f>
        <v/>
      </c>
      <c r="AH253" s="97"/>
      <c r="AI253" s="71"/>
    </row>
    <row r="254" spans="1:35" ht="15" customHeight="1" outlineLevel="1">
      <c r="A254" s="221" t="s">
        <v>25</v>
      </c>
      <c r="B254" s="215" t="s">
        <v>19</v>
      </c>
      <c r="C254" s="38"/>
      <c r="D254" s="39"/>
      <c r="E254" s="175"/>
      <c r="F254" s="175"/>
      <c r="G254" s="175"/>
      <c r="H254" s="175"/>
      <c r="I254" s="175"/>
      <c r="J254" s="38"/>
      <c r="K254" s="39"/>
      <c r="L254" s="37"/>
      <c r="M254" s="37"/>
      <c r="N254" s="37"/>
      <c r="O254" s="37"/>
      <c r="P254" s="37" t="s">
        <v>50</v>
      </c>
      <c r="Q254" s="38"/>
      <c r="R254" s="39"/>
      <c r="S254" s="37"/>
      <c r="T254" s="37"/>
      <c r="U254" s="37"/>
      <c r="V254" s="198" t="s">
        <v>51</v>
      </c>
      <c r="W254" s="37" t="s">
        <v>50</v>
      </c>
      <c r="X254" s="38"/>
      <c r="Y254" s="39"/>
      <c r="Z254" s="37"/>
      <c r="AA254" s="37"/>
      <c r="AB254" s="37"/>
      <c r="AC254" s="198" t="s">
        <v>51</v>
      </c>
      <c r="AD254" s="37" t="s">
        <v>50</v>
      </c>
      <c r="AE254" s="38"/>
      <c r="AF254" s="39"/>
      <c r="AG254" s="37"/>
      <c r="AH254" s="93"/>
      <c r="AI254" s="71">
        <f>COUNTA($C254:$AG254)</f>
        <v>5</v>
      </c>
    </row>
    <row r="255" spans="1:35" ht="15.75" customHeight="1" outlineLevel="1">
      <c r="A255" s="293"/>
      <c r="B255" s="293"/>
      <c r="C255" s="41" t="str">
        <f t="shared" ref="C255" si="948">IF(ISERROR(VLOOKUP(C254,$K$394:$W$428,9,FALSE)),"",VLOOKUP(C254,$K$394:$W$428,9,FALSE))</f>
        <v/>
      </c>
      <c r="D255" s="42"/>
      <c r="E255" s="177" t="str">
        <f t="shared" ref="E255:J255" si="949">IF(ISERROR(VLOOKUP(E254,$K$394:$W$428,9,FALSE)),"",VLOOKUP(E254,$K$394:$W$428,9,FALSE))</f>
        <v/>
      </c>
      <c r="F255" s="177" t="str">
        <f t="shared" si="949"/>
        <v/>
      </c>
      <c r="G255" s="177" t="str">
        <f t="shared" si="949"/>
        <v/>
      </c>
      <c r="H255" s="177" t="str">
        <f t="shared" si="949"/>
        <v/>
      </c>
      <c r="I255" s="177" t="str">
        <f t="shared" si="949"/>
        <v/>
      </c>
      <c r="J255" s="41" t="str">
        <f t="shared" si="949"/>
        <v/>
      </c>
      <c r="K255" s="42"/>
      <c r="L255" s="40" t="str">
        <f t="shared" ref="L255:Q255" si="950">IF(ISERROR(VLOOKUP(L254,$K$394:$W$428,9,FALSE)),"",VLOOKUP(L254,$K$394:$W$428,9,FALSE))</f>
        <v/>
      </c>
      <c r="M255" s="40" t="str">
        <f t="shared" si="950"/>
        <v/>
      </c>
      <c r="N255" s="40" t="str">
        <f t="shared" si="950"/>
        <v/>
      </c>
      <c r="O255" s="40" t="str">
        <f t="shared" si="950"/>
        <v/>
      </c>
      <c r="P255" s="40">
        <f t="shared" ref="P255" si="951">IF(ISERROR(VLOOKUP(P254,$K$394:$W$428,9,FALSE)),"",VLOOKUP(P254,$K$394:$W$428,9,FALSE))</f>
        <v>96379</v>
      </c>
      <c r="Q255" s="41" t="str">
        <f t="shared" si="950"/>
        <v/>
      </c>
      <c r="R255" s="42"/>
      <c r="S255" s="40" t="str">
        <f t="shared" ref="S255:X255" si="952">IF(ISERROR(VLOOKUP(S254,$K$394:$W$428,9,FALSE)),"",VLOOKUP(S254,$K$394:$W$428,9,FALSE))</f>
        <v/>
      </c>
      <c r="T255" s="40" t="str">
        <f t="shared" si="952"/>
        <v/>
      </c>
      <c r="U255" s="40" t="str">
        <f t="shared" si="952"/>
        <v/>
      </c>
      <c r="V255" s="40">
        <f t="shared" si="952"/>
        <v>96379</v>
      </c>
      <c r="W255" s="40">
        <f t="shared" si="952"/>
        <v>96379</v>
      </c>
      <c r="X255" s="41" t="str">
        <f t="shared" si="952"/>
        <v/>
      </c>
      <c r="Y255" s="42"/>
      <c r="Z255" s="40" t="str">
        <f t="shared" ref="Z255:AE255" si="953">IF(ISERROR(VLOOKUP(Z254,$K$394:$W$428,9,FALSE)),"",VLOOKUP(Z254,$K$394:$W$428,9,FALSE))</f>
        <v/>
      </c>
      <c r="AA255" s="40" t="str">
        <f t="shared" si="953"/>
        <v/>
      </c>
      <c r="AB255" s="40" t="str">
        <f t="shared" ref="AB255" si="954">IF(ISERROR(VLOOKUP(AB254,$K$394:$W$428,9,FALSE)),"",VLOOKUP(AB254,$K$394:$W$428,9,FALSE))</f>
        <v/>
      </c>
      <c r="AC255" s="40">
        <f t="shared" si="953"/>
        <v>96379</v>
      </c>
      <c r="AD255" s="40">
        <f t="shared" si="953"/>
        <v>96379</v>
      </c>
      <c r="AE255" s="41" t="str">
        <f t="shared" si="953"/>
        <v/>
      </c>
      <c r="AF255" s="42"/>
      <c r="AG255" s="40" t="str">
        <f>IF(ISERROR(VLOOKUP(AG254,$K$394:$W$428,9,FALSE)),"",VLOOKUP(AG254,$K$394:$W$428,9,FALSE))</f>
        <v/>
      </c>
      <c r="AH255" s="97"/>
      <c r="AI255" s="71"/>
    </row>
    <row r="256" spans="1:35" ht="15" customHeight="1" outlineLevel="1">
      <c r="A256" s="293"/>
      <c r="B256" s="216" t="s">
        <v>20</v>
      </c>
      <c r="C256" s="38"/>
      <c r="D256" s="39"/>
      <c r="E256" s="175"/>
      <c r="F256" s="175"/>
      <c r="G256" s="175"/>
      <c r="H256" s="175"/>
      <c r="I256" s="175"/>
      <c r="J256" s="38"/>
      <c r="K256" s="39"/>
      <c r="L256" s="37"/>
      <c r="M256" s="37"/>
      <c r="N256" s="37"/>
      <c r="O256" s="37"/>
      <c r="P256" s="37" t="s">
        <v>50</v>
      </c>
      <c r="Q256" s="38"/>
      <c r="R256" s="39"/>
      <c r="S256" s="37"/>
      <c r="T256" s="37"/>
      <c r="U256" s="37"/>
      <c r="V256" s="198" t="s">
        <v>51</v>
      </c>
      <c r="W256" s="37" t="s">
        <v>50</v>
      </c>
      <c r="X256" s="38"/>
      <c r="Y256" s="39"/>
      <c r="Z256" s="37"/>
      <c r="AA256" s="37"/>
      <c r="AB256" s="98"/>
      <c r="AC256" s="198" t="s">
        <v>51</v>
      </c>
      <c r="AD256" s="37" t="s">
        <v>50</v>
      </c>
      <c r="AE256" s="38"/>
      <c r="AF256" s="39"/>
      <c r="AG256" s="37"/>
      <c r="AH256" s="93"/>
      <c r="AI256" s="71">
        <f>COUNTA($C256:$AG256)</f>
        <v>5</v>
      </c>
    </row>
    <row r="257" spans="1:35" ht="15.75" customHeight="1" outlineLevel="1">
      <c r="A257" s="293"/>
      <c r="B257" s="294"/>
      <c r="C257" s="95" t="str">
        <f t="shared" ref="C257" si="955">IF(ISERROR(VLOOKUP(C256,$K$394:$W$428,9,FALSE)),"",VLOOKUP(C256,$K$394:$W$428,9,FALSE))</f>
        <v/>
      </c>
      <c r="D257" s="96"/>
      <c r="E257" s="176" t="str">
        <f t="shared" ref="E257:J257" si="956">IF(ISERROR(VLOOKUP(E256,$K$394:$W$428,9,FALSE)),"",VLOOKUP(E256,$K$394:$W$428,9,FALSE))</f>
        <v/>
      </c>
      <c r="F257" s="176" t="str">
        <f t="shared" si="956"/>
        <v/>
      </c>
      <c r="G257" s="176" t="str">
        <f t="shared" si="956"/>
        <v/>
      </c>
      <c r="H257" s="176" t="str">
        <f t="shared" si="956"/>
        <v/>
      </c>
      <c r="I257" s="176" t="str">
        <f t="shared" si="956"/>
        <v/>
      </c>
      <c r="J257" s="95" t="str">
        <f t="shared" si="956"/>
        <v/>
      </c>
      <c r="K257" s="96"/>
      <c r="L257" s="94" t="str">
        <f t="shared" ref="L257:Q257" si="957">IF(ISERROR(VLOOKUP(L256,$K$394:$W$428,9,FALSE)),"",VLOOKUP(L256,$K$394:$W$428,9,FALSE))</f>
        <v/>
      </c>
      <c r="M257" s="94" t="str">
        <f t="shared" si="957"/>
        <v/>
      </c>
      <c r="N257" s="94" t="str">
        <f t="shared" si="957"/>
        <v/>
      </c>
      <c r="O257" s="94" t="str">
        <f t="shared" si="957"/>
        <v/>
      </c>
      <c r="P257" s="94">
        <f t="shared" ref="P257" si="958">IF(ISERROR(VLOOKUP(P256,$K$394:$W$428,9,FALSE)),"",VLOOKUP(P256,$K$394:$W$428,9,FALSE))</f>
        <v>96379</v>
      </c>
      <c r="Q257" s="95" t="str">
        <f t="shared" si="957"/>
        <v/>
      </c>
      <c r="R257" s="96"/>
      <c r="S257" s="94" t="str">
        <f t="shared" ref="S257:X257" si="959">IF(ISERROR(VLOOKUP(S256,$K$394:$W$428,9,FALSE)),"",VLOOKUP(S256,$K$394:$W$428,9,FALSE))</f>
        <v/>
      </c>
      <c r="T257" s="94" t="str">
        <f t="shared" si="959"/>
        <v/>
      </c>
      <c r="U257" s="94" t="str">
        <f t="shared" si="959"/>
        <v/>
      </c>
      <c r="V257" s="94">
        <f t="shared" si="959"/>
        <v>96379</v>
      </c>
      <c r="W257" s="94">
        <f t="shared" si="959"/>
        <v>96379</v>
      </c>
      <c r="X257" s="95" t="str">
        <f t="shared" si="959"/>
        <v/>
      </c>
      <c r="Y257" s="96"/>
      <c r="Z257" s="94" t="str">
        <f t="shared" ref="Z257:AE257" si="960">IF(ISERROR(VLOOKUP(Z256,$K$394:$W$428,9,FALSE)),"",VLOOKUP(Z256,$K$394:$W$428,9,FALSE))</f>
        <v/>
      </c>
      <c r="AA257" s="94" t="str">
        <f t="shared" si="960"/>
        <v/>
      </c>
      <c r="AB257" s="43" t="str">
        <f t="shared" si="960"/>
        <v/>
      </c>
      <c r="AC257" s="94">
        <f t="shared" si="960"/>
        <v>96379</v>
      </c>
      <c r="AD257" s="94">
        <f t="shared" si="960"/>
        <v>96379</v>
      </c>
      <c r="AE257" s="95" t="str">
        <f t="shared" si="960"/>
        <v/>
      </c>
      <c r="AF257" s="96"/>
      <c r="AG257" s="94" t="str">
        <f>IF(ISERROR(VLOOKUP(AG256,$K$394:$W$428,9,FALSE)),"",VLOOKUP(AG256,$K$394:$W$428,9,FALSE))</f>
        <v/>
      </c>
      <c r="AH257" s="97"/>
      <c r="AI257" s="71"/>
    </row>
    <row r="258" spans="1:35" ht="15" customHeight="1" outlineLevel="1">
      <c r="A258" s="293"/>
      <c r="B258" s="216" t="s">
        <v>21</v>
      </c>
      <c r="C258" s="38"/>
      <c r="D258" s="39"/>
      <c r="E258" s="175"/>
      <c r="F258" s="175"/>
      <c r="G258" s="175"/>
      <c r="H258" s="175"/>
      <c r="I258" s="175"/>
      <c r="J258" s="38"/>
      <c r="K258" s="39"/>
      <c r="L258" s="37"/>
      <c r="M258" s="37"/>
      <c r="N258" s="37"/>
      <c r="O258" s="37"/>
      <c r="P258" s="37" t="s">
        <v>50</v>
      </c>
      <c r="Q258" s="38"/>
      <c r="R258" s="39"/>
      <c r="S258" s="37"/>
      <c r="T258" s="37"/>
      <c r="U258" s="37"/>
      <c r="V258" s="198" t="s">
        <v>51</v>
      </c>
      <c r="W258" s="37" t="s">
        <v>50</v>
      </c>
      <c r="X258" s="38"/>
      <c r="Y258" s="39"/>
      <c r="Z258" s="37"/>
      <c r="AA258" s="37"/>
      <c r="AB258" s="37"/>
      <c r="AC258" s="198" t="s">
        <v>51</v>
      </c>
      <c r="AD258" s="37" t="s">
        <v>50</v>
      </c>
      <c r="AE258" s="38"/>
      <c r="AF258" s="39"/>
      <c r="AG258" s="37"/>
      <c r="AH258" s="93"/>
      <c r="AI258" s="71">
        <f>COUNTA($C258:$AG258)</f>
        <v>5</v>
      </c>
    </row>
    <row r="259" spans="1:35" ht="15.75" customHeight="1" outlineLevel="1">
      <c r="A259" s="293"/>
      <c r="B259" s="294"/>
      <c r="C259" s="41" t="str">
        <f t="shared" ref="C259" si="961">IF(ISERROR(VLOOKUP(C258,$K$394:$W$428,9,FALSE)),"",VLOOKUP(C258,$K$394:$W$428,9,FALSE))</f>
        <v/>
      </c>
      <c r="D259" s="42"/>
      <c r="E259" s="177" t="str">
        <f t="shared" ref="E259:J259" si="962">IF(ISERROR(VLOOKUP(E258,$K$394:$W$428,9,FALSE)),"",VLOOKUP(E258,$K$394:$W$428,9,FALSE))</f>
        <v/>
      </c>
      <c r="F259" s="177" t="str">
        <f t="shared" si="962"/>
        <v/>
      </c>
      <c r="G259" s="177" t="str">
        <f t="shared" si="962"/>
        <v/>
      </c>
      <c r="H259" s="177" t="str">
        <f t="shared" si="962"/>
        <v/>
      </c>
      <c r="I259" s="177" t="str">
        <f t="shared" si="962"/>
        <v/>
      </c>
      <c r="J259" s="41" t="str">
        <f t="shared" si="962"/>
        <v/>
      </c>
      <c r="K259" s="42"/>
      <c r="L259" s="40" t="str">
        <f t="shared" ref="L259:Q259" si="963">IF(ISERROR(VLOOKUP(L258,$K$394:$W$428,9,FALSE)),"",VLOOKUP(L258,$K$394:$W$428,9,FALSE))</f>
        <v/>
      </c>
      <c r="M259" s="40" t="str">
        <f t="shared" si="963"/>
        <v/>
      </c>
      <c r="N259" s="40" t="str">
        <f t="shared" si="963"/>
        <v/>
      </c>
      <c r="O259" s="40" t="str">
        <f t="shared" si="963"/>
        <v/>
      </c>
      <c r="P259" s="40">
        <f t="shared" ref="P259" si="964">IF(ISERROR(VLOOKUP(P258,$K$394:$W$428,9,FALSE)),"",VLOOKUP(P258,$K$394:$W$428,9,FALSE))</f>
        <v>96379</v>
      </c>
      <c r="Q259" s="41" t="str">
        <f t="shared" si="963"/>
        <v/>
      </c>
      <c r="R259" s="42"/>
      <c r="S259" s="40" t="str">
        <f t="shared" ref="S259:X259" si="965">IF(ISERROR(VLOOKUP(S258,$K$394:$W$428,9,FALSE)),"",VLOOKUP(S258,$K$394:$W$428,9,FALSE))</f>
        <v/>
      </c>
      <c r="T259" s="40" t="str">
        <f t="shared" si="965"/>
        <v/>
      </c>
      <c r="U259" s="40" t="str">
        <f t="shared" si="965"/>
        <v/>
      </c>
      <c r="V259" s="40">
        <f t="shared" si="965"/>
        <v>96379</v>
      </c>
      <c r="W259" s="40">
        <f t="shared" si="965"/>
        <v>96379</v>
      </c>
      <c r="X259" s="41" t="str">
        <f t="shared" si="965"/>
        <v/>
      </c>
      <c r="Y259" s="42"/>
      <c r="Z259" s="40" t="str">
        <f t="shared" ref="Z259:AE259" si="966">IF(ISERROR(VLOOKUP(Z258,$K$394:$W$428,9,FALSE)),"",VLOOKUP(Z258,$K$394:$W$428,9,FALSE))</f>
        <v/>
      </c>
      <c r="AA259" s="40" t="str">
        <f t="shared" si="966"/>
        <v/>
      </c>
      <c r="AB259" s="40" t="str">
        <f t="shared" si="966"/>
        <v/>
      </c>
      <c r="AC259" s="40">
        <f t="shared" si="966"/>
        <v>96379</v>
      </c>
      <c r="AD259" s="40">
        <f t="shared" si="966"/>
        <v>96379</v>
      </c>
      <c r="AE259" s="41" t="str">
        <f t="shared" si="966"/>
        <v/>
      </c>
      <c r="AF259" s="42"/>
      <c r="AG259" s="40" t="str">
        <f>IF(ISERROR(VLOOKUP(AG258,$K$394:$W$428,9,FALSE)),"",VLOOKUP(AG258,$K$394:$W$428,9,FALSE))</f>
        <v/>
      </c>
      <c r="AH259" s="97"/>
      <c r="AI259" s="71"/>
    </row>
    <row r="260" spans="1:35" ht="15" customHeight="1" outlineLevel="1">
      <c r="A260" s="293"/>
      <c r="B260" s="215" t="s">
        <v>22</v>
      </c>
      <c r="C260" s="99"/>
      <c r="D260" s="100"/>
      <c r="E260" s="178"/>
      <c r="F260" s="178"/>
      <c r="G260" s="178"/>
      <c r="H260" s="178"/>
      <c r="I260" s="178"/>
      <c r="J260" s="99"/>
      <c r="K260" s="100"/>
      <c r="L260" s="98"/>
      <c r="M260" s="98"/>
      <c r="N260" s="98"/>
      <c r="O260" s="98"/>
      <c r="P260" s="98"/>
      <c r="Q260" s="99"/>
      <c r="R260" s="100"/>
      <c r="S260" s="98"/>
      <c r="T260" s="98"/>
      <c r="U260" s="98"/>
      <c r="V260" s="98"/>
      <c r="W260" s="98"/>
      <c r="X260" s="99"/>
      <c r="Y260" s="100"/>
      <c r="Z260" s="98"/>
      <c r="AA260" s="98"/>
      <c r="AB260" s="98"/>
      <c r="AC260" s="98"/>
      <c r="AD260" s="98"/>
      <c r="AE260" s="99"/>
      <c r="AF260" s="100"/>
      <c r="AG260" s="98"/>
      <c r="AH260" s="93"/>
      <c r="AI260" s="71">
        <f>COUNTA($C260:$AG260)</f>
        <v>0</v>
      </c>
    </row>
    <row r="261" spans="1:35" ht="15.75" customHeight="1" outlineLevel="1">
      <c r="A261" s="295"/>
      <c r="B261" s="295"/>
      <c r="C261" s="44" t="str">
        <f t="shared" ref="C261" si="967">IF(ISERROR(VLOOKUP(C260,$K$394:$W$428,9,FALSE)),"",VLOOKUP(C260,$K$394:$W$428,9,FALSE))</f>
        <v/>
      </c>
      <c r="D261" s="45"/>
      <c r="E261" s="179" t="str">
        <f t="shared" ref="E261:J261" si="968">IF(ISERROR(VLOOKUP(E260,$K$394:$W$428,9,FALSE)),"",VLOOKUP(E260,$K$394:$W$428,9,FALSE))</f>
        <v/>
      </c>
      <c r="F261" s="179" t="str">
        <f t="shared" si="968"/>
        <v/>
      </c>
      <c r="G261" s="179" t="str">
        <f t="shared" si="968"/>
        <v/>
      </c>
      <c r="H261" s="179" t="str">
        <f t="shared" si="968"/>
        <v/>
      </c>
      <c r="I261" s="179" t="str">
        <f t="shared" si="968"/>
        <v/>
      </c>
      <c r="J261" s="44" t="str">
        <f t="shared" si="968"/>
        <v/>
      </c>
      <c r="K261" s="45"/>
      <c r="L261" s="43" t="str">
        <f t="shared" ref="L261:Q261" si="969">IF(ISERROR(VLOOKUP(L260,$K$394:$W$428,9,FALSE)),"",VLOOKUP(L260,$K$394:$W$428,9,FALSE))</f>
        <v/>
      </c>
      <c r="M261" s="43" t="str">
        <f t="shared" si="969"/>
        <v/>
      </c>
      <c r="N261" s="43" t="str">
        <f t="shared" si="969"/>
        <v/>
      </c>
      <c r="O261" s="43" t="str">
        <f t="shared" si="969"/>
        <v/>
      </c>
      <c r="P261" s="43" t="str">
        <f t="shared" si="969"/>
        <v/>
      </c>
      <c r="Q261" s="44" t="str">
        <f t="shared" si="969"/>
        <v/>
      </c>
      <c r="R261" s="45"/>
      <c r="S261" s="43" t="str">
        <f t="shared" ref="S261:X261" si="970">IF(ISERROR(VLOOKUP(S260,$K$394:$W$428,9,FALSE)),"",VLOOKUP(S260,$K$394:$W$428,9,FALSE))</f>
        <v/>
      </c>
      <c r="T261" s="43" t="str">
        <f t="shared" si="970"/>
        <v/>
      </c>
      <c r="U261" s="43" t="str">
        <f t="shared" si="970"/>
        <v/>
      </c>
      <c r="V261" s="43" t="str">
        <f t="shared" ref="V261:W261" si="971">IF(ISERROR(VLOOKUP(V260,$K$394:$W$428,9,FALSE)),"",VLOOKUP(V260,$K$394:$W$428,9,FALSE))</f>
        <v/>
      </c>
      <c r="W261" s="43" t="str">
        <f t="shared" si="971"/>
        <v/>
      </c>
      <c r="X261" s="44" t="str">
        <f t="shared" si="970"/>
        <v/>
      </c>
      <c r="Y261" s="45"/>
      <c r="Z261" s="43" t="str">
        <f t="shared" ref="Z261:AE261" si="972">IF(ISERROR(VLOOKUP(Z260,$K$394:$W$428,9,FALSE)),"",VLOOKUP(Z260,$K$394:$W$428,9,FALSE))</f>
        <v/>
      </c>
      <c r="AA261" s="43" t="str">
        <f t="shared" si="972"/>
        <v/>
      </c>
      <c r="AB261" s="43" t="str">
        <f t="shared" si="972"/>
        <v/>
      </c>
      <c r="AC261" s="43" t="str">
        <f t="shared" si="972"/>
        <v/>
      </c>
      <c r="AD261" s="43" t="str">
        <f t="shared" si="972"/>
        <v/>
      </c>
      <c r="AE261" s="44" t="str">
        <f t="shared" si="972"/>
        <v/>
      </c>
      <c r="AF261" s="45"/>
      <c r="AG261" s="43" t="str">
        <f>IF(ISERROR(VLOOKUP(AG260,$K$394:$W$428,9,FALSE)),"",VLOOKUP(AG260,$K$394:$W$428,9,FALSE))</f>
        <v/>
      </c>
      <c r="AH261" s="97"/>
      <c r="AI261" s="71"/>
    </row>
    <row r="262" spans="1:35" ht="15.75" customHeight="1">
      <c r="A262" s="46"/>
      <c r="B262" s="1"/>
      <c r="C262" s="1"/>
      <c r="D262" s="1"/>
      <c r="E262" s="180" t="s">
        <v>52</v>
      </c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21"/>
      <c r="AI262" s="70"/>
    </row>
    <row r="263" spans="1:35" ht="23.25" customHeight="1" outlineLevel="1">
      <c r="A263" s="218">
        <f>A231+31</f>
        <v>46266</v>
      </c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20"/>
      <c r="N263" s="213" t="s">
        <v>14</v>
      </c>
      <c r="O263" s="214"/>
      <c r="P263" s="214"/>
      <c r="Q263" s="214"/>
      <c r="R263" s="68">
        <v>21</v>
      </c>
      <c r="S263" s="212" t="s">
        <v>15</v>
      </c>
      <c r="T263" s="212"/>
      <c r="U263" s="212"/>
      <c r="V263" s="212"/>
      <c r="W263" s="69">
        <f>SUM(AI266:AI293)</f>
        <v>158</v>
      </c>
      <c r="X263" s="212" t="s">
        <v>16</v>
      </c>
      <c r="Y263" s="212"/>
      <c r="Z263" s="212"/>
      <c r="AA263" s="212"/>
      <c r="AB263" s="69">
        <f>IF($M$2="Mensalista",R263*8,IF($M$2="Horista",90,IF($M$2="Intermitente",(ROUNDDOWN((R263*8*0.909),0)),"")))</f>
        <v>168</v>
      </c>
      <c r="AC263" s="212" t="s">
        <v>17</v>
      </c>
      <c r="AD263" s="245"/>
      <c r="AE263" s="245"/>
      <c r="AF263" s="246">
        <f>IF($M$2="","",IF($M$2="RSA","",W263/AB263))</f>
        <v>0.94047619047619047</v>
      </c>
      <c r="AG263" s="289"/>
      <c r="AH263" s="101"/>
      <c r="AI263" s="72"/>
    </row>
    <row r="264" spans="1:35" ht="15.75" customHeight="1" outlineLevel="1">
      <c r="A264" s="217"/>
      <c r="B264" s="290"/>
      <c r="C264" s="32">
        <f>A263</f>
        <v>46266</v>
      </c>
      <c r="D264" s="32">
        <f t="shared" ref="D264:AF264" si="973">C264+1</f>
        <v>46267</v>
      </c>
      <c r="E264" s="32">
        <f t="shared" si="973"/>
        <v>46268</v>
      </c>
      <c r="F264" s="32">
        <f t="shared" si="973"/>
        <v>46269</v>
      </c>
      <c r="G264" s="33">
        <f t="shared" si="973"/>
        <v>46270</v>
      </c>
      <c r="H264" s="34">
        <f t="shared" si="973"/>
        <v>46271</v>
      </c>
      <c r="I264" s="32">
        <f t="shared" si="973"/>
        <v>46272</v>
      </c>
      <c r="J264" s="32">
        <f t="shared" si="973"/>
        <v>46273</v>
      </c>
      <c r="K264" s="32">
        <f t="shared" si="973"/>
        <v>46274</v>
      </c>
      <c r="L264" s="32">
        <f t="shared" si="973"/>
        <v>46275</v>
      </c>
      <c r="M264" s="32">
        <f t="shared" si="973"/>
        <v>46276</v>
      </c>
      <c r="N264" s="33">
        <f t="shared" si="973"/>
        <v>46277</v>
      </c>
      <c r="O264" s="34">
        <f t="shared" si="973"/>
        <v>46278</v>
      </c>
      <c r="P264" s="32">
        <f t="shared" si="973"/>
        <v>46279</v>
      </c>
      <c r="Q264" s="32">
        <f t="shared" si="973"/>
        <v>46280</v>
      </c>
      <c r="R264" s="32">
        <f t="shared" si="973"/>
        <v>46281</v>
      </c>
      <c r="S264" s="32">
        <f t="shared" si="973"/>
        <v>46282</v>
      </c>
      <c r="T264" s="32">
        <f t="shared" si="973"/>
        <v>46283</v>
      </c>
      <c r="U264" s="33">
        <f t="shared" si="973"/>
        <v>46284</v>
      </c>
      <c r="V264" s="34">
        <f t="shared" si="973"/>
        <v>46285</v>
      </c>
      <c r="W264" s="32">
        <f t="shared" si="973"/>
        <v>46286</v>
      </c>
      <c r="X264" s="32">
        <f t="shared" si="973"/>
        <v>46287</v>
      </c>
      <c r="Y264" s="32">
        <f t="shared" si="973"/>
        <v>46288</v>
      </c>
      <c r="Z264" s="32">
        <f t="shared" si="973"/>
        <v>46289</v>
      </c>
      <c r="AA264" s="32">
        <f t="shared" si="973"/>
        <v>46290</v>
      </c>
      <c r="AB264" s="33">
        <f t="shared" si="973"/>
        <v>46291</v>
      </c>
      <c r="AC264" s="34">
        <f t="shared" si="973"/>
        <v>46292</v>
      </c>
      <c r="AD264" s="32">
        <f t="shared" si="973"/>
        <v>46293</v>
      </c>
      <c r="AE264" s="32">
        <f t="shared" si="973"/>
        <v>46294</v>
      </c>
      <c r="AF264" s="32">
        <f t="shared" si="973"/>
        <v>46295</v>
      </c>
      <c r="AG264" s="247"/>
      <c r="AH264" s="90"/>
      <c r="AI264" s="73"/>
    </row>
    <row r="265" spans="1:35" ht="15.75" customHeight="1" outlineLevel="1">
      <c r="A265" s="291"/>
      <c r="B265" s="292"/>
      <c r="C265" s="91">
        <f>A263</f>
        <v>46266</v>
      </c>
      <c r="D265" s="91">
        <f t="shared" ref="D265:AF265" si="974">C265+1</f>
        <v>46267</v>
      </c>
      <c r="E265" s="91">
        <f t="shared" si="974"/>
        <v>46268</v>
      </c>
      <c r="F265" s="91">
        <f t="shared" si="974"/>
        <v>46269</v>
      </c>
      <c r="G265" s="35">
        <f t="shared" si="974"/>
        <v>46270</v>
      </c>
      <c r="H265" s="36">
        <f t="shared" si="974"/>
        <v>46271</v>
      </c>
      <c r="I265" s="91">
        <f t="shared" si="974"/>
        <v>46272</v>
      </c>
      <c r="J265" s="91">
        <f t="shared" si="974"/>
        <v>46273</v>
      </c>
      <c r="K265" s="91">
        <f t="shared" si="974"/>
        <v>46274</v>
      </c>
      <c r="L265" s="91">
        <f t="shared" si="974"/>
        <v>46275</v>
      </c>
      <c r="M265" s="91">
        <f t="shared" si="974"/>
        <v>46276</v>
      </c>
      <c r="N265" s="35">
        <f t="shared" si="974"/>
        <v>46277</v>
      </c>
      <c r="O265" s="36">
        <f t="shared" si="974"/>
        <v>46278</v>
      </c>
      <c r="P265" s="91">
        <f t="shared" si="974"/>
        <v>46279</v>
      </c>
      <c r="Q265" s="91">
        <f t="shared" si="974"/>
        <v>46280</v>
      </c>
      <c r="R265" s="91">
        <f t="shared" si="974"/>
        <v>46281</v>
      </c>
      <c r="S265" s="91">
        <f t="shared" si="974"/>
        <v>46282</v>
      </c>
      <c r="T265" s="91">
        <f t="shared" si="974"/>
        <v>46283</v>
      </c>
      <c r="U265" s="35">
        <f t="shared" si="974"/>
        <v>46284</v>
      </c>
      <c r="V265" s="36">
        <f t="shared" si="974"/>
        <v>46285</v>
      </c>
      <c r="W265" s="91">
        <f t="shared" si="974"/>
        <v>46286</v>
      </c>
      <c r="X265" s="91">
        <f t="shared" si="974"/>
        <v>46287</v>
      </c>
      <c r="Y265" s="91">
        <f t="shared" si="974"/>
        <v>46288</v>
      </c>
      <c r="Z265" s="91">
        <f t="shared" si="974"/>
        <v>46289</v>
      </c>
      <c r="AA265" s="91">
        <f t="shared" si="974"/>
        <v>46290</v>
      </c>
      <c r="AB265" s="35">
        <f t="shared" si="974"/>
        <v>46291</v>
      </c>
      <c r="AC265" s="36">
        <f t="shared" si="974"/>
        <v>46292</v>
      </c>
      <c r="AD265" s="91">
        <f t="shared" si="974"/>
        <v>46293</v>
      </c>
      <c r="AE265" s="91">
        <f t="shared" si="974"/>
        <v>46294</v>
      </c>
      <c r="AF265" s="91">
        <f t="shared" si="974"/>
        <v>46295</v>
      </c>
      <c r="AG265" s="299"/>
      <c r="AH265" s="92"/>
      <c r="AI265" s="72"/>
    </row>
    <row r="266" spans="1:35" ht="15" customHeight="1" outlineLevel="1">
      <c r="A266" s="222" t="s">
        <v>18</v>
      </c>
      <c r="B266" s="215" t="s">
        <v>19</v>
      </c>
      <c r="C266" s="182" t="s">
        <v>46</v>
      </c>
      <c r="D266" s="148" t="s">
        <v>47</v>
      </c>
      <c r="E266" s="37"/>
      <c r="F266" s="37"/>
      <c r="G266" s="38"/>
      <c r="H266" s="39"/>
      <c r="I266" s="211"/>
      <c r="J266" s="182" t="s">
        <v>46</v>
      </c>
      <c r="K266" s="182" t="s">
        <v>46</v>
      </c>
      <c r="L266" s="37"/>
      <c r="M266" s="37"/>
      <c r="N266" s="38"/>
      <c r="O266" s="39"/>
      <c r="P266" s="182" t="s">
        <v>46</v>
      </c>
      <c r="Q266" s="182" t="s">
        <v>46</v>
      </c>
      <c r="R266" s="148" t="s">
        <v>47</v>
      </c>
      <c r="S266" s="37"/>
      <c r="T266" s="37"/>
      <c r="U266" s="38"/>
      <c r="V266" s="39"/>
      <c r="W266" s="182" t="s">
        <v>46</v>
      </c>
      <c r="X266" s="200" t="s">
        <v>46</v>
      </c>
      <c r="Y266" s="201" t="s">
        <v>47</v>
      </c>
      <c r="Z266" s="146"/>
      <c r="AA266" s="37"/>
      <c r="AB266" s="38"/>
      <c r="AC266" s="39"/>
      <c r="AD266" s="182" t="s">
        <v>46</v>
      </c>
      <c r="AE266" s="182" t="s">
        <v>46</v>
      </c>
      <c r="AF266" s="148" t="s">
        <v>47</v>
      </c>
      <c r="AG266" s="299"/>
      <c r="AH266" s="93"/>
      <c r="AI266" s="73">
        <f>COUNTA($C266:$AF266)</f>
        <v>13</v>
      </c>
    </row>
    <row r="267" spans="1:35" ht="15.75" customHeight="1" outlineLevel="1">
      <c r="A267" s="221"/>
      <c r="B267" s="293"/>
      <c r="C267" s="94">
        <f t="shared" ref="C267:D267" si="975">IF(ISERROR(VLOOKUP(C266,$K$394:$W$428,9,FALSE)),"",VLOOKUP(C266,$K$394:$W$428,9,FALSE))</f>
        <v>202629</v>
      </c>
      <c r="D267" s="94">
        <f t="shared" si="975"/>
        <v>202629</v>
      </c>
      <c r="E267" s="94" t="str">
        <f t="shared" ref="E267:F267" si="976">IF(ISERROR(VLOOKUP(E266,$K$394:$W$428,9,FALSE)),"",VLOOKUP(E266,$K$394:$W$428,9,FALSE))</f>
        <v/>
      </c>
      <c r="F267" s="94" t="str">
        <f t="shared" si="976"/>
        <v/>
      </c>
      <c r="G267" s="95" t="str">
        <f t="shared" ref="G267" si="977">IF(ISERROR(VLOOKUP(G266,$K$394:$W$428,9,FALSE)),"",VLOOKUP(G266,$K$394:$W$428,9,FALSE))</f>
        <v/>
      </c>
      <c r="H267" s="96"/>
      <c r="I267" s="294"/>
      <c r="J267" s="94">
        <f t="shared" ref="J267:K267" si="978">IF(ISERROR(VLOOKUP(J266,$K$394:$W$428,9,FALSE)),"",VLOOKUP(J266,$K$394:$W$428,9,FALSE))</f>
        <v>202629</v>
      </c>
      <c r="K267" s="94">
        <f t="shared" si="978"/>
        <v>202629</v>
      </c>
      <c r="L267" s="94" t="str">
        <f t="shared" ref="L267:M267" si="979">IF(ISERROR(VLOOKUP(L266,$K$394:$W$428,9,FALSE)),"",VLOOKUP(L266,$K$394:$W$428,9,FALSE))</f>
        <v/>
      </c>
      <c r="M267" s="94" t="str">
        <f t="shared" si="979"/>
        <v/>
      </c>
      <c r="N267" s="95" t="str">
        <f t="shared" ref="N267" si="980">IF(ISERROR(VLOOKUP(N266,$K$394:$W$428,9,FALSE)),"",VLOOKUP(N266,$K$394:$W$428,9,FALSE))</f>
        <v/>
      </c>
      <c r="O267" s="96"/>
      <c r="P267" s="94">
        <f t="shared" ref="P267:R267" si="981">IF(ISERROR(VLOOKUP(P266,$K$394:$W$428,9,FALSE)),"",VLOOKUP(P266,$K$394:$W$428,9,FALSE))</f>
        <v>202629</v>
      </c>
      <c r="Q267" s="94">
        <f t="shared" si="981"/>
        <v>202629</v>
      </c>
      <c r="R267" s="94">
        <f t="shared" si="981"/>
        <v>202629</v>
      </c>
      <c r="S267" s="94" t="str">
        <f t="shared" ref="S267:T267" si="982">IF(ISERROR(VLOOKUP(S266,$K$394:$W$428,9,FALSE)),"",VLOOKUP(S266,$K$394:$W$428,9,FALSE))</f>
        <v/>
      </c>
      <c r="T267" s="94" t="str">
        <f t="shared" si="982"/>
        <v/>
      </c>
      <c r="U267" s="95" t="str">
        <f t="shared" ref="U267" si="983">IF(ISERROR(VLOOKUP(U266,$K$394:$W$428,9,FALSE)),"",VLOOKUP(U266,$K$394:$W$428,9,FALSE))</f>
        <v/>
      </c>
      <c r="V267" s="96"/>
      <c r="W267" s="94">
        <f t="shared" ref="W267:Y267" si="984">IF(ISERROR(VLOOKUP(W266,$K$394:$W$428,9,FALSE)),"",VLOOKUP(W266,$K$394:$W$428,9,FALSE))</f>
        <v>202629</v>
      </c>
      <c r="X267" s="151">
        <f t="shared" si="984"/>
        <v>202629</v>
      </c>
      <c r="Y267" s="151">
        <f t="shared" si="984"/>
        <v>202629</v>
      </c>
      <c r="Z267" s="151" t="str">
        <f t="shared" ref="Z267:AA267" si="985">IF(ISERROR(VLOOKUP(Z266,$K$394:$W$428,9,FALSE)),"",VLOOKUP(Z266,$K$394:$W$428,9,FALSE))</f>
        <v/>
      </c>
      <c r="AA267" s="94" t="str">
        <f t="shared" si="985"/>
        <v/>
      </c>
      <c r="AB267" s="95" t="str">
        <f t="shared" ref="AB267" si="986">IF(ISERROR(VLOOKUP(AB266,$K$394:$W$428,9,FALSE)),"",VLOOKUP(AB266,$K$394:$W$428,9,FALSE))</f>
        <v/>
      </c>
      <c r="AC267" s="96"/>
      <c r="AD267" s="94">
        <f t="shared" ref="AD267:AF267" si="987">IF(ISERROR(VLOOKUP(AD266,$K$394:$W$428,9,FALSE)),"",VLOOKUP(AD266,$K$394:$W$428,9,FALSE))</f>
        <v>202629</v>
      </c>
      <c r="AE267" s="94">
        <f t="shared" si="987"/>
        <v>202629</v>
      </c>
      <c r="AF267" s="94">
        <f t="shared" si="987"/>
        <v>202629</v>
      </c>
      <c r="AG267" s="299"/>
      <c r="AH267" s="97"/>
      <c r="AI267" s="73"/>
    </row>
    <row r="268" spans="1:35" ht="15" customHeight="1" outlineLevel="1">
      <c r="A268" s="221"/>
      <c r="B268" s="216" t="s">
        <v>20</v>
      </c>
      <c r="C268" s="182" t="s">
        <v>46</v>
      </c>
      <c r="D268" s="148" t="s">
        <v>47</v>
      </c>
      <c r="E268" s="37"/>
      <c r="F268" s="37"/>
      <c r="G268" s="38"/>
      <c r="H268" s="39"/>
      <c r="I268" s="211"/>
      <c r="J268" s="182" t="s">
        <v>46</v>
      </c>
      <c r="K268" s="182" t="s">
        <v>46</v>
      </c>
      <c r="L268" s="37"/>
      <c r="M268" s="37"/>
      <c r="N268" s="38"/>
      <c r="O268" s="39"/>
      <c r="P268" s="182" t="s">
        <v>46</v>
      </c>
      <c r="Q268" s="182" t="s">
        <v>46</v>
      </c>
      <c r="R268" s="148" t="s">
        <v>47</v>
      </c>
      <c r="S268" s="37"/>
      <c r="T268" s="37"/>
      <c r="U268" s="38"/>
      <c r="V268" s="39"/>
      <c r="W268" s="182" t="s">
        <v>46</v>
      </c>
      <c r="X268" s="200" t="s">
        <v>46</v>
      </c>
      <c r="Y268" s="201" t="s">
        <v>47</v>
      </c>
      <c r="Z268" s="146"/>
      <c r="AA268" s="37"/>
      <c r="AB268" s="38"/>
      <c r="AC268" s="39"/>
      <c r="AD268" s="182" t="s">
        <v>46</v>
      </c>
      <c r="AE268" s="182" t="s">
        <v>46</v>
      </c>
      <c r="AF268" s="148" t="s">
        <v>47</v>
      </c>
      <c r="AG268" s="299"/>
      <c r="AH268" s="93"/>
      <c r="AI268" s="73">
        <f>COUNTA($C268:$AF268)</f>
        <v>13</v>
      </c>
    </row>
    <row r="269" spans="1:35" ht="15.75" customHeight="1" outlineLevel="1">
      <c r="A269" s="221"/>
      <c r="B269" s="294"/>
      <c r="C269" s="94">
        <f t="shared" ref="C269:D269" si="988">IF(ISERROR(VLOOKUP(C268,$K$394:$W$428,9,FALSE)),"",VLOOKUP(C268,$K$394:$W$428,9,FALSE))</f>
        <v>202629</v>
      </c>
      <c r="D269" s="40">
        <f t="shared" si="988"/>
        <v>202629</v>
      </c>
      <c r="E269" s="40" t="str">
        <f t="shared" ref="E269:F269" si="989">IF(ISERROR(VLOOKUP(E268,$K$394:$W$428,9,FALSE)),"",VLOOKUP(E268,$K$394:$W$428,9,FALSE))</f>
        <v/>
      </c>
      <c r="F269" s="40" t="str">
        <f t="shared" si="989"/>
        <v/>
      </c>
      <c r="G269" s="95" t="str">
        <f t="shared" ref="G269" si="990">IF(ISERROR(VLOOKUP(G268,$K$394:$W$428,9,FALSE)),"",VLOOKUP(G268,$K$394:$W$428,9,FALSE))</f>
        <v/>
      </c>
      <c r="H269" s="96"/>
      <c r="I269" s="294"/>
      <c r="J269" s="94">
        <f t="shared" ref="J269:K269" si="991">IF(ISERROR(VLOOKUP(J268,$K$394:$W$428,9,FALSE)),"",VLOOKUP(J268,$K$394:$W$428,9,FALSE))</f>
        <v>202629</v>
      </c>
      <c r="K269" s="94">
        <f t="shared" si="991"/>
        <v>202629</v>
      </c>
      <c r="L269" s="40" t="str">
        <f t="shared" ref="L269:M269" si="992">IF(ISERROR(VLOOKUP(L268,$K$394:$W$428,9,FALSE)),"",VLOOKUP(L268,$K$394:$W$428,9,FALSE))</f>
        <v/>
      </c>
      <c r="M269" s="40" t="str">
        <f t="shared" si="992"/>
        <v/>
      </c>
      <c r="N269" s="95" t="str">
        <f t="shared" ref="N269" si="993">IF(ISERROR(VLOOKUP(N268,$K$394:$W$428,9,FALSE)),"",VLOOKUP(N268,$K$394:$W$428,9,FALSE))</f>
        <v/>
      </c>
      <c r="O269" s="96"/>
      <c r="P269" s="94">
        <f t="shared" ref="P269:R269" si="994">IF(ISERROR(VLOOKUP(P268,$K$394:$W$428,9,FALSE)),"",VLOOKUP(P268,$K$394:$W$428,9,FALSE))</f>
        <v>202629</v>
      </c>
      <c r="Q269" s="94">
        <f t="shared" si="994"/>
        <v>202629</v>
      </c>
      <c r="R269" s="40">
        <f t="shared" si="994"/>
        <v>202629</v>
      </c>
      <c r="S269" s="40" t="str">
        <f t="shared" ref="S269:T269" si="995">IF(ISERROR(VLOOKUP(S268,$K$394:$W$428,9,FALSE)),"",VLOOKUP(S268,$K$394:$W$428,9,FALSE))</f>
        <v/>
      </c>
      <c r="T269" s="40" t="str">
        <f t="shared" si="995"/>
        <v/>
      </c>
      <c r="U269" s="95" t="str">
        <f t="shared" ref="U269" si="996">IF(ISERROR(VLOOKUP(U268,$K$394:$W$428,9,FALSE)),"",VLOOKUP(U268,$K$394:$W$428,9,FALSE))</f>
        <v/>
      </c>
      <c r="V269" s="96"/>
      <c r="W269" s="94">
        <f t="shared" ref="W269:Y269" si="997">IF(ISERROR(VLOOKUP(W268,$K$394:$W$428,9,FALSE)),"",VLOOKUP(W268,$K$394:$W$428,9,FALSE))</f>
        <v>202629</v>
      </c>
      <c r="X269" s="151">
        <f t="shared" si="997"/>
        <v>202629</v>
      </c>
      <c r="Y269" s="147">
        <f t="shared" si="997"/>
        <v>202629</v>
      </c>
      <c r="Z269" s="147" t="str">
        <f t="shared" ref="Z269:AA269" si="998">IF(ISERROR(VLOOKUP(Z268,$K$394:$W$428,9,FALSE)),"",VLOOKUP(Z268,$K$394:$W$428,9,FALSE))</f>
        <v/>
      </c>
      <c r="AA269" s="40" t="str">
        <f t="shared" si="998"/>
        <v/>
      </c>
      <c r="AB269" s="95" t="str">
        <f t="shared" ref="AB269" si="999">IF(ISERROR(VLOOKUP(AB268,$K$394:$W$428,9,FALSE)),"",VLOOKUP(AB268,$K$394:$W$428,9,FALSE))</f>
        <v/>
      </c>
      <c r="AC269" s="96"/>
      <c r="AD269" s="94">
        <f t="shared" ref="AD269:AF269" si="1000">IF(ISERROR(VLOOKUP(AD268,$K$394:$W$428,9,FALSE)),"",VLOOKUP(AD268,$K$394:$W$428,9,FALSE))</f>
        <v>202629</v>
      </c>
      <c r="AE269" s="94">
        <f t="shared" si="1000"/>
        <v>202629</v>
      </c>
      <c r="AF269" s="40">
        <f t="shared" si="1000"/>
        <v>202629</v>
      </c>
      <c r="AG269" s="299"/>
      <c r="AH269" s="97"/>
      <c r="AI269" s="73"/>
    </row>
    <row r="270" spans="1:35" ht="15" customHeight="1" outlineLevel="1">
      <c r="A270" s="221"/>
      <c r="B270" s="216" t="s">
        <v>21</v>
      </c>
      <c r="C270" s="182" t="s">
        <v>46</v>
      </c>
      <c r="D270" s="148" t="s">
        <v>47</v>
      </c>
      <c r="E270" s="37"/>
      <c r="F270" s="37"/>
      <c r="G270" s="38"/>
      <c r="H270" s="39"/>
      <c r="I270" s="211"/>
      <c r="J270" s="182" t="s">
        <v>46</v>
      </c>
      <c r="K270" s="182" t="s">
        <v>46</v>
      </c>
      <c r="L270" s="37"/>
      <c r="M270" s="37"/>
      <c r="N270" s="38"/>
      <c r="O270" s="39"/>
      <c r="P270" s="182" t="s">
        <v>46</v>
      </c>
      <c r="Q270" s="182" t="s">
        <v>46</v>
      </c>
      <c r="R270" s="148" t="s">
        <v>47</v>
      </c>
      <c r="S270" s="37"/>
      <c r="T270" s="37"/>
      <c r="U270" s="38"/>
      <c r="V270" s="39"/>
      <c r="W270" s="182" t="s">
        <v>46</v>
      </c>
      <c r="X270" s="200" t="s">
        <v>46</v>
      </c>
      <c r="Y270" s="201" t="s">
        <v>47</v>
      </c>
      <c r="Z270" s="146"/>
      <c r="AA270" s="37"/>
      <c r="AB270" s="38"/>
      <c r="AC270" s="39"/>
      <c r="AD270" s="182" t="s">
        <v>46</v>
      </c>
      <c r="AE270" s="182" t="s">
        <v>46</v>
      </c>
      <c r="AF270" s="148" t="s">
        <v>47</v>
      </c>
      <c r="AG270" s="299"/>
      <c r="AH270" s="93"/>
      <c r="AI270" s="73">
        <f>COUNTA($C270:$AF270)</f>
        <v>13</v>
      </c>
    </row>
    <row r="271" spans="1:35" ht="15.75" customHeight="1" outlineLevel="1">
      <c r="A271" s="221"/>
      <c r="B271" s="294"/>
      <c r="C271" s="40">
        <f t="shared" ref="C271:D271" si="1001">IF(ISERROR(VLOOKUP(C270,$K$394:$W$428,9,FALSE)),"",VLOOKUP(C270,$K$394:$W$428,9,FALSE))</f>
        <v>202629</v>
      </c>
      <c r="D271" s="94">
        <f t="shared" si="1001"/>
        <v>202629</v>
      </c>
      <c r="E271" s="94" t="str">
        <f t="shared" ref="E271:F271" si="1002">IF(ISERROR(VLOOKUP(E270,$K$394:$W$428,9,FALSE)),"",VLOOKUP(E270,$K$394:$W$428,9,FALSE))</f>
        <v/>
      </c>
      <c r="F271" s="94" t="str">
        <f t="shared" si="1002"/>
        <v/>
      </c>
      <c r="G271" s="41" t="str">
        <f t="shared" ref="G271" si="1003">IF(ISERROR(VLOOKUP(G270,$K$394:$W$428,9,FALSE)),"",VLOOKUP(G270,$K$394:$W$428,9,FALSE))</f>
        <v/>
      </c>
      <c r="H271" s="42"/>
      <c r="I271" s="294"/>
      <c r="J271" s="40">
        <f t="shared" ref="J271:K271" si="1004">IF(ISERROR(VLOOKUP(J270,$K$394:$W$428,9,FALSE)),"",VLOOKUP(J270,$K$394:$W$428,9,FALSE))</f>
        <v>202629</v>
      </c>
      <c r="K271" s="40">
        <f t="shared" si="1004"/>
        <v>202629</v>
      </c>
      <c r="L271" s="94" t="str">
        <f t="shared" ref="L271:M271" si="1005">IF(ISERROR(VLOOKUP(L270,$K$394:$W$428,9,FALSE)),"",VLOOKUP(L270,$K$394:$W$428,9,FALSE))</f>
        <v/>
      </c>
      <c r="M271" s="94" t="str">
        <f t="shared" si="1005"/>
        <v/>
      </c>
      <c r="N271" s="41" t="str">
        <f t="shared" ref="N271" si="1006">IF(ISERROR(VLOOKUP(N270,$K$394:$W$428,9,FALSE)),"",VLOOKUP(N270,$K$394:$W$428,9,FALSE))</f>
        <v/>
      </c>
      <c r="O271" s="42"/>
      <c r="P271" s="40">
        <f t="shared" ref="P271:R271" si="1007">IF(ISERROR(VLOOKUP(P270,$K$394:$W$428,9,FALSE)),"",VLOOKUP(P270,$K$394:$W$428,9,FALSE))</f>
        <v>202629</v>
      </c>
      <c r="Q271" s="40">
        <f t="shared" si="1007"/>
        <v>202629</v>
      </c>
      <c r="R271" s="94">
        <f t="shared" si="1007"/>
        <v>202629</v>
      </c>
      <c r="S271" s="94" t="str">
        <f t="shared" ref="S271:T271" si="1008">IF(ISERROR(VLOOKUP(S270,$K$394:$W$428,9,FALSE)),"",VLOOKUP(S270,$K$394:$W$428,9,FALSE))</f>
        <v/>
      </c>
      <c r="T271" s="94" t="str">
        <f t="shared" si="1008"/>
        <v/>
      </c>
      <c r="U271" s="41" t="str">
        <f t="shared" ref="U271" si="1009">IF(ISERROR(VLOOKUP(U270,$K$394:$W$428,9,FALSE)),"",VLOOKUP(U270,$K$394:$W$428,9,FALSE))</f>
        <v/>
      </c>
      <c r="V271" s="42"/>
      <c r="W271" s="40">
        <f t="shared" ref="W271:Y271" si="1010">IF(ISERROR(VLOOKUP(W270,$K$394:$W$428,9,FALSE)),"",VLOOKUP(W270,$K$394:$W$428,9,FALSE))</f>
        <v>202629</v>
      </c>
      <c r="X271" s="147">
        <f t="shared" si="1010"/>
        <v>202629</v>
      </c>
      <c r="Y271" s="151">
        <f t="shared" si="1010"/>
        <v>202629</v>
      </c>
      <c r="Z271" s="151" t="str">
        <f t="shared" ref="Z271:AA271" si="1011">IF(ISERROR(VLOOKUP(Z270,$K$394:$W$428,9,FALSE)),"",VLOOKUP(Z270,$K$394:$W$428,9,FALSE))</f>
        <v/>
      </c>
      <c r="AA271" s="94" t="str">
        <f t="shared" si="1011"/>
        <v/>
      </c>
      <c r="AB271" s="41" t="str">
        <f t="shared" ref="AB271" si="1012">IF(ISERROR(VLOOKUP(AB270,$K$394:$W$428,9,FALSE)),"",VLOOKUP(AB270,$K$394:$W$428,9,FALSE))</f>
        <v/>
      </c>
      <c r="AC271" s="42"/>
      <c r="AD271" s="40">
        <f t="shared" ref="AD271:AF271" si="1013">IF(ISERROR(VLOOKUP(AD270,$K$394:$W$428,9,FALSE)),"",VLOOKUP(AD270,$K$394:$W$428,9,FALSE))</f>
        <v>202629</v>
      </c>
      <c r="AE271" s="40">
        <f t="shared" si="1013"/>
        <v>202629</v>
      </c>
      <c r="AF271" s="94">
        <f t="shared" si="1013"/>
        <v>202629</v>
      </c>
      <c r="AG271" s="299"/>
      <c r="AH271" s="97"/>
      <c r="AI271" s="73"/>
    </row>
    <row r="272" spans="1:35" ht="15" customHeight="1" outlineLevel="1">
      <c r="A272" s="221"/>
      <c r="B272" s="216" t="s">
        <v>22</v>
      </c>
      <c r="C272" s="182" t="s">
        <v>46</v>
      </c>
      <c r="D272" s="148" t="s">
        <v>47</v>
      </c>
      <c r="E272" s="37"/>
      <c r="F272" s="37"/>
      <c r="G272" s="38"/>
      <c r="H272" s="39"/>
      <c r="I272" s="211"/>
      <c r="J272" s="182" t="s">
        <v>46</v>
      </c>
      <c r="K272" s="182" t="s">
        <v>46</v>
      </c>
      <c r="L272" s="37"/>
      <c r="M272" s="37"/>
      <c r="N272" s="38"/>
      <c r="O272" s="39"/>
      <c r="P272" s="182" t="s">
        <v>46</v>
      </c>
      <c r="Q272" s="182" t="s">
        <v>46</v>
      </c>
      <c r="R272" s="148" t="s">
        <v>47</v>
      </c>
      <c r="S272" s="37"/>
      <c r="T272" s="37"/>
      <c r="U272" s="38"/>
      <c r="V272" s="39"/>
      <c r="W272" s="182" t="s">
        <v>46</v>
      </c>
      <c r="X272" s="200" t="s">
        <v>46</v>
      </c>
      <c r="Y272" s="201" t="s">
        <v>47</v>
      </c>
      <c r="Z272" s="146"/>
      <c r="AA272" s="37"/>
      <c r="AB272" s="38"/>
      <c r="AC272" s="39"/>
      <c r="AD272" s="182" t="s">
        <v>46</v>
      </c>
      <c r="AE272" s="182" t="s">
        <v>46</v>
      </c>
      <c r="AF272" s="148" t="s">
        <v>47</v>
      </c>
      <c r="AG272" s="299"/>
      <c r="AH272" s="93"/>
      <c r="AI272" s="73">
        <f>COUNTA($C272:$AF272)</f>
        <v>13</v>
      </c>
    </row>
    <row r="273" spans="1:35" ht="15.75" customHeight="1" outlineLevel="1">
      <c r="A273" s="221"/>
      <c r="B273" s="294"/>
      <c r="C273" s="94">
        <f t="shared" ref="C273:D273" si="1014">IF(ISERROR(VLOOKUP(C272,$K$394:$W$428,9,FALSE)),"",VLOOKUP(C272,$K$394:$W$428,9,FALSE))</f>
        <v>202629</v>
      </c>
      <c r="D273" s="94">
        <f t="shared" si="1014"/>
        <v>202629</v>
      </c>
      <c r="E273" s="94" t="str">
        <f t="shared" ref="E273:F273" si="1015">IF(ISERROR(VLOOKUP(E272,$K$394:$W$428,9,FALSE)),"",VLOOKUP(E272,$K$394:$W$428,9,FALSE))</f>
        <v/>
      </c>
      <c r="F273" s="94" t="str">
        <f t="shared" si="1015"/>
        <v/>
      </c>
      <c r="G273" s="95" t="str">
        <f t="shared" ref="G273" si="1016">IF(ISERROR(VLOOKUP(G272,$K$394:$W$428,9,FALSE)),"",VLOOKUP(G272,$K$394:$W$428,9,FALSE))</f>
        <v/>
      </c>
      <c r="H273" s="96"/>
      <c r="I273" s="294"/>
      <c r="J273" s="94">
        <f t="shared" ref="J273:K273" si="1017">IF(ISERROR(VLOOKUP(J272,$K$394:$W$428,9,FALSE)),"",VLOOKUP(J272,$K$394:$W$428,9,FALSE))</f>
        <v>202629</v>
      </c>
      <c r="K273" s="94">
        <f t="shared" si="1017"/>
        <v>202629</v>
      </c>
      <c r="L273" s="94" t="str">
        <f t="shared" ref="L273:M273" si="1018">IF(ISERROR(VLOOKUP(L272,$K$394:$W$428,9,FALSE)),"",VLOOKUP(L272,$K$394:$W$428,9,FALSE))</f>
        <v/>
      </c>
      <c r="M273" s="94" t="str">
        <f t="shared" si="1018"/>
        <v/>
      </c>
      <c r="N273" s="95" t="str">
        <f t="shared" ref="N273" si="1019">IF(ISERROR(VLOOKUP(N272,$K$394:$W$428,9,FALSE)),"",VLOOKUP(N272,$K$394:$W$428,9,FALSE))</f>
        <v/>
      </c>
      <c r="O273" s="96"/>
      <c r="P273" s="94">
        <f t="shared" ref="P273:R273" si="1020">IF(ISERROR(VLOOKUP(P272,$K$394:$W$428,9,FALSE)),"",VLOOKUP(P272,$K$394:$W$428,9,FALSE))</f>
        <v>202629</v>
      </c>
      <c r="Q273" s="94">
        <f t="shared" si="1020"/>
        <v>202629</v>
      </c>
      <c r="R273" s="94">
        <f t="shared" si="1020"/>
        <v>202629</v>
      </c>
      <c r="S273" s="94" t="str">
        <f t="shared" ref="S273:T273" si="1021">IF(ISERROR(VLOOKUP(S272,$K$394:$W$428,9,FALSE)),"",VLOOKUP(S272,$K$394:$W$428,9,FALSE))</f>
        <v/>
      </c>
      <c r="T273" s="94" t="str">
        <f t="shared" si="1021"/>
        <v/>
      </c>
      <c r="U273" s="95" t="str">
        <f t="shared" ref="U273" si="1022">IF(ISERROR(VLOOKUP(U272,$K$394:$W$428,9,FALSE)),"",VLOOKUP(U272,$K$394:$W$428,9,FALSE))</f>
        <v/>
      </c>
      <c r="V273" s="96"/>
      <c r="W273" s="94">
        <f t="shared" ref="W273:Y273" si="1023">IF(ISERROR(VLOOKUP(W272,$K$394:$W$428,9,FALSE)),"",VLOOKUP(W272,$K$394:$W$428,9,FALSE))</f>
        <v>202629</v>
      </c>
      <c r="X273" s="151">
        <f t="shared" si="1023"/>
        <v>202629</v>
      </c>
      <c r="Y273" s="151">
        <f t="shared" si="1023"/>
        <v>202629</v>
      </c>
      <c r="Z273" s="151" t="str">
        <f t="shared" ref="Z273:AA273" si="1024">IF(ISERROR(VLOOKUP(Z272,$K$394:$W$428,9,FALSE)),"",VLOOKUP(Z272,$K$394:$W$428,9,FALSE))</f>
        <v/>
      </c>
      <c r="AA273" s="94" t="str">
        <f t="shared" si="1024"/>
        <v/>
      </c>
      <c r="AB273" s="95" t="str">
        <f t="shared" ref="AB273" si="1025">IF(ISERROR(VLOOKUP(AB272,$K$394:$W$428,9,FALSE)),"",VLOOKUP(AB272,$K$394:$W$428,9,FALSE))</f>
        <v/>
      </c>
      <c r="AC273" s="96"/>
      <c r="AD273" s="94">
        <f t="shared" ref="AD273:AF273" si="1026">IF(ISERROR(VLOOKUP(AD272,$K$394:$W$428,9,FALSE)),"",VLOOKUP(AD272,$K$394:$W$428,9,FALSE))</f>
        <v>202629</v>
      </c>
      <c r="AE273" s="94">
        <f t="shared" si="1026"/>
        <v>202629</v>
      </c>
      <c r="AF273" s="94">
        <f t="shared" si="1026"/>
        <v>202629</v>
      </c>
      <c r="AG273" s="299"/>
      <c r="AH273" s="97"/>
      <c r="AI273" s="73"/>
    </row>
    <row r="274" spans="1:35" ht="15" customHeight="1" outlineLevel="1">
      <c r="A274" s="221"/>
      <c r="B274" s="216" t="s">
        <v>23</v>
      </c>
      <c r="C274" s="37"/>
      <c r="D274" s="37"/>
      <c r="E274" s="37"/>
      <c r="F274" s="37"/>
      <c r="G274" s="38"/>
      <c r="H274" s="39"/>
      <c r="I274" s="211"/>
      <c r="J274" s="37"/>
      <c r="K274" s="37"/>
      <c r="L274" s="37"/>
      <c r="M274" s="37"/>
      <c r="N274" s="38"/>
      <c r="O274" s="39"/>
      <c r="P274" s="37"/>
      <c r="Q274" s="37"/>
      <c r="R274" s="37"/>
      <c r="S274" s="37"/>
      <c r="T274" s="37"/>
      <c r="U274" s="38"/>
      <c r="V274" s="39"/>
      <c r="W274" s="37"/>
      <c r="X274" s="146"/>
      <c r="Y274" s="146"/>
      <c r="Z274" s="146"/>
      <c r="AA274" s="37"/>
      <c r="AB274" s="38"/>
      <c r="AC274" s="39"/>
      <c r="AD274" s="37"/>
      <c r="AE274" s="37"/>
      <c r="AF274" s="37"/>
      <c r="AG274" s="299"/>
      <c r="AH274" s="93"/>
      <c r="AI274" s="73">
        <f>COUNTA($C274:$AF274)</f>
        <v>0</v>
      </c>
    </row>
    <row r="275" spans="1:35" ht="15.75" customHeight="1" outlineLevel="1">
      <c r="A275" s="223"/>
      <c r="B275" s="294"/>
      <c r="C275" s="40" t="str">
        <f t="shared" ref="C275:F275" si="1027">IF(ISERROR(VLOOKUP(C274,$K$394:$W$428,9,FALSE)),"",VLOOKUP(C274,$K$394:$W$428,9,FALSE))</f>
        <v/>
      </c>
      <c r="D275" s="40" t="str">
        <f t="shared" si="1027"/>
        <v/>
      </c>
      <c r="E275" s="40" t="str">
        <f t="shared" si="1027"/>
        <v/>
      </c>
      <c r="F275" s="40" t="str">
        <f t="shared" si="1027"/>
        <v/>
      </c>
      <c r="G275" s="41" t="str">
        <f t="shared" ref="G275" si="1028">IF(ISERROR(VLOOKUP(G274,$K$394:$W$428,9,FALSE)),"",VLOOKUP(G274,$K$394:$W$428,9,FALSE))</f>
        <v/>
      </c>
      <c r="H275" s="42"/>
      <c r="I275" s="294"/>
      <c r="J275" s="40" t="str">
        <f t="shared" ref="J275:M275" si="1029">IF(ISERROR(VLOOKUP(J274,$K$394:$W$428,9,FALSE)),"",VLOOKUP(J274,$K$394:$W$428,9,FALSE))</f>
        <v/>
      </c>
      <c r="K275" s="40" t="str">
        <f t="shared" si="1029"/>
        <v/>
      </c>
      <c r="L275" s="40" t="str">
        <f t="shared" si="1029"/>
        <v/>
      </c>
      <c r="M275" s="40" t="str">
        <f t="shared" si="1029"/>
        <v/>
      </c>
      <c r="N275" s="41" t="str">
        <f t="shared" ref="N275" si="1030">IF(ISERROR(VLOOKUP(N274,$K$394:$W$428,9,FALSE)),"",VLOOKUP(N274,$K$394:$W$428,9,FALSE))</f>
        <v/>
      </c>
      <c r="O275" s="42"/>
      <c r="P275" s="40" t="str">
        <f t="shared" ref="P275:T275" si="1031">IF(ISERROR(VLOOKUP(P274,$K$394:$W$428,9,FALSE)),"",VLOOKUP(P274,$K$394:$W$428,9,FALSE))</f>
        <v/>
      </c>
      <c r="Q275" s="40" t="str">
        <f t="shared" si="1031"/>
        <v/>
      </c>
      <c r="R275" s="40" t="str">
        <f t="shared" si="1031"/>
        <v/>
      </c>
      <c r="S275" s="40" t="str">
        <f t="shared" si="1031"/>
        <v/>
      </c>
      <c r="T275" s="40" t="str">
        <f t="shared" si="1031"/>
        <v/>
      </c>
      <c r="U275" s="41" t="str">
        <f t="shared" ref="U275" si="1032">IF(ISERROR(VLOOKUP(U274,$K$394:$W$428,9,FALSE)),"",VLOOKUP(U274,$K$394:$W$428,9,FALSE))</f>
        <v/>
      </c>
      <c r="V275" s="42"/>
      <c r="W275" s="40" t="str">
        <f t="shared" ref="W275:AA275" si="1033">IF(ISERROR(VLOOKUP(W274,$K$394:$W$428,9,FALSE)),"",VLOOKUP(W274,$K$394:$W$428,9,FALSE))</f>
        <v/>
      </c>
      <c r="X275" s="147" t="str">
        <f t="shared" si="1033"/>
        <v/>
      </c>
      <c r="Y275" s="147" t="str">
        <f t="shared" si="1033"/>
        <v/>
      </c>
      <c r="Z275" s="147" t="str">
        <f t="shared" si="1033"/>
        <v/>
      </c>
      <c r="AA275" s="40" t="str">
        <f t="shared" si="1033"/>
        <v/>
      </c>
      <c r="AB275" s="41" t="str">
        <f t="shared" ref="AB275" si="1034">IF(ISERROR(VLOOKUP(AB274,$K$394:$W$428,9,FALSE)),"",VLOOKUP(AB274,$K$394:$W$428,9,FALSE))</f>
        <v/>
      </c>
      <c r="AC275" s="42"/>
      <c r="AD275" s="40" t="str">
        <f t="shared" ref="AD275:AF275" si="1035">IF(ISERROR(VLOOKUP(AD274,$K$394:$W$428,9,FALSE)),"",VLOOKUP(AD274,$K$394:$W$428,9,FALSE))</f>
        <v/>
      </c>
      <c r="AE275" s="40" t="str">
        <f t="shared" si="1035"/>
        <v/>
      </c>
      <c r="AF275" s="40" t="str">
        <f t="shared" si="1035"/>
        <v/>
      </c>
      <c r="AG275" s="299"/>
      <c r="AH275" s="97"/>
      <c r="AI275" s="73"/>
    </row>
    <row r="276" spans="1:35" ht="15" customHeight="1" outlineLevel="1">
      <c r="A276" s="221" t="s">
        <v>24</v>
      </c>
      <c r="B276" s="216" t="s">
        <v>19</v>
      </c>
      <c r="C276" s="143" t="s">
        <v>48</v>
      </c>
      <c r="D276" s="195" t="s">
        <v>49</v>
      </c>
      <c r="E276" s="143" t="s">
        <v>48</v>
      </c>
      <c r="F276" s="143" t="s">
        <v>48</v>
      </c>
      <c r="G276" s="38"/>
      <c r="H276" s="39"/>
      <c r="I276" s="211"/>
      <c r="J276" s="143" t="s">
        <v>48</v>
      </c>
      <c r="K276" s="195" t="s">
        <v>49</v>
      </c>
      <c r="L276" s="143" t="s">
        <v>48</v>
      </c>
      <c r="M276" s="143" t="s">
        <v>48</v>
      </c>
      <c r="N276" s="38"/>
      <c r="O276" s="39"/>
      <c r="P276" s="143" t="s">
        <v>48</v>
      </c>
      <c r="Q276" s="143" t="s">
        <v>48</v>
      </c>
      <c r="R276" s="195" t="s">
        <v>49</v>
      </c>
      <c r="S276" s="143" t="s">
        <v>48</v>
      </c>
      <c r="T276" s="157" t="s">
        <v>53</v>
      </c>
      <c r="U276" s="38"/>
      <c r="V276" s="39"/>
      <c r="W276" s="157" t="s">
        <v>53</v>
      </c>
      <c r="X276" s="203" t="s">
        <v>53</v>
      </c>
      <c r="Y276" s="182"/>
      <c r="Z276" s="203" t="s">
        <v>53</v>
      </c>
      <c r="AA276" s="157" t="s">
        <v>53</v>
      </c>
      <c r="AB276" s="38"/>
      <c r="AC276" s="39"/>
      <c r="AD276" s="157" t="s">
        <v>53</v>
      </c>
      <c r="AE276" s="157" t="s">
        <v>53</v>
      </c>
      <c r="AF276" s="195" t="s">
        <v>49</v>
      </c>
      <c r="AG276" s="299"/>
      <c r="AH276" s="93"/>
      <c r="AI276" s="73">
        <f>COUNTA($C276:$AF276)</f>
        <v>20</v>
      </c>
    </row>
    <row r="277" spans="1:35" ht="15.75" customHeight="1" outlineLevel="1">
      <c r="A277" s="221"/>
      <c r="B277" s="293"/>
      <c r="C277" s="94">
        <f t="shared" ref="C277:E277" si="1036">IF(ISERROR(VLOOKUP(C276,$K$394:$W$428,9,FALSE)),"",VLOOKUP(C276,$K$394:$W$428,9,FALSE))</f>
        <v>96378</v>
      </c>
      <c r="D277" s="94">
        <f t="shared" si="1036"/>
        <v>101706</v>
      </c>
      <c r="E277" s="94">
        <f t="shared" si="1036"/>
        <v>96378</v>
      </c>
      <c r="F277" s="94">
        <f t="shared" ref="F277" si="1037">IF(ISERROR(VLOOKUP(F276,$K$394:$W$428,9,FALSE)),"",VLOOKUP(F276,$K$394:$W$428,9,FALSE))</f>
        <v>96378</v>
      </c>
      <c r="G277" s="95" t="str">
        <f t="shared" ref="G277" si="1038">IF(ISERROR(VLOOKUP(G276,$K$394:$W$428,9,FALSE)),"",VLOOKUP(G276,$K$394:$W$428,9,FALSE))</f>
        <v/>
      </c>
      <c r="H277" s="96"/>
      <c r="I277" s="294"/>
      <c r="J277" s="94">
        <f t="shared" ref="J277:L277" si="1039">IF(ISERROR(VLOOKUP(J276,$K$394:$W$428,9,FALSE)),"",VLOOKUP(J276,$K$394:$W$428,9,FALSE))</f>
        <v>96378</v>
      </c>
      <c r="K277" s="94">
        <f t="shared" si="1039"/>
        <v>101706</v>
      </c>
      <c r="L277" s="94">
        <f t="shared" si="1039"/>
        <v>96378</v>
      </c>
      <c r="M277" s="94">
        <f t="shared" ref="M277" si="1040">IF(ISERROR(VLOOKUP(M276,$K$394:$W$428,9,FALSE)),"",VLOOKUP(M276,$K$394:$W$428,9,FALSE))</f>
        <v>96378</v>
      </c>
      <c r="N277" s="95" t="str">
        <f t="shared" ref="N277" si="1041">IF(ISERROR(VLOOKUP(N276,$K$394:$W$428,9,FALSE)),"",VLOOKUP(N276,$K$394:$W$428,9,FALSE))</f>
        <v/>
      </c>
      <c r="O277" s="96"/>
      <c r="P277" s="94">
        <f t="shared" ref="P277:T277" si="1042">IF(ISERROR(VLOOKUP(P276,$K$394:$W$428,9,FALSE)),"",VLOOKUP(P276,$K$394:$W$428,9,FALSE))</f>
        <v>96378</v>
      </c>
      <c r="Q277" s="94">
        <f t="shared" si="1042"/>
        <v>96378</v>
      </c>
      <c r="R277" s="94">
        <f t="shared" si="1042"/>
        <v>101706</v>
      </c>
      <c r="S277" s="94">
        <f t="shared" si="1042"/>
        <v>96378</v>
      </c>
      <c r="T277" s="94">
        <f t="shared" si="1042"/>
        <v>96378</v>
      </c>
      <c r="U277" s="95" t="str">
        <f t="shared" ref="U277" si="1043">IF(ISERROR(VLOOKUP(U276,$K$394:$W$428,9,FALSE)),"",VLOOKUP(U276,$K$394:$W$428,9,FALSE))</f>
        <v/>
      </c>
      <c r="V277" s="96"/>
      <c r="W277" s="94">
        <f t="shared" ref="W277:Y277" si="1044">IF(ISERROR(VLOOKUP(W276,$K$394:$W$428,9,FALSE)),"",VLOOKUP(W276,$K$394:$W$428,9,FALSE))</f>
        <v>96378</v>
      </c>
      <c r="X277" s="151">
        <f t="shared" si="1044"/>
        <v>96378</v>
      </c>
      <c r="Y277" s="94" t="str">
        <f t="shared" si="1044"/>
        <v/>
      </c>
      <c r="Z277" s="151">
        <f t="shared" ref="Z277:AA277" si="1045">IF(ISERROR(VLOOKUP(Z276,$K$394:$W$428,9,FALSE)),"",VLOOKUP(Z276,$K$394:$W$428,9,FALSE))</f>
        <v>96378</v>
      </c>
      <c r="AA277" s="94">
        <f t="shared" si="1045"/>
        <v>96378</v>
      </c>
      <c r="AB277" s="95" t="str">
        <f t="shared" ref="AB277" si="1046">IF(ISERROR(VLOOKUP(AB276,$K$394:$W$428,9,FALSE)),"",VLOOKUP(AB276,$K$394:$W$428,9,FALSE))</f>
        <v/>
      </c>
      <c r="AC277" s="96"/>
      <c r="AD277" s="94">
        <f t="shared" ref="AD277:AF277" si="1047">IF(ISERROR(VLOOKUP(AD276,$K$394:$W$428,9,FALSE)),"",VLOOKUP(AD276,$K$394:$W$428,9,FALSE))</f>
        <v>96378</v>
      </c>
      <c r="AE277" s="94">
        <f t="shared" si="1047"/>
        <v>96378</v>
      </c>
      <c r="AF277" s="94">
        <f t="shared" si="1047"/>
        <v>101706</v>
      </c>
      <c r="AG277" s="299"/>
      <c r="AH277" s="97"/>
      <c r="AI277" s="73"/>
    </row>
    <row r="278" spans="1:35" ht="15" customHeight="1" outlineLevel="1">
      <c r="A278" s="221"/>
      <c r="B278" s="216" t="s">
        <v>20</v>
      </c>
      <c r="C278" s="143" t="s">
        <v>48</v>
      </c>
      <c r="D278" s="195" t="s">
        <v>49</v>
      </c>
      <c r="E278" s="143" t="s">
        <v>48</v>
      </c>
      <c r="F278" s="143" t="s">
        <v>48</v>
      </c>
      <c r="G278" s="38"/>
      <c r="H278" s="39"/>
      <c r="I278" s="211"/>
      <c r="J278" s="143" t="s">
        <v>48</v>
      </c>
      <c r="K278" s="195" t="s">
        <v>49</v>
      </c>
      <c r="L278" s="143" t="s">
        <v>48</v>
      </c>
      <c r="M278" s="143" t="s">
        <v>48</v>
      </c>
      <c r="N278" s="208" t="s">
        <v>54</v>
      </c>
      <c r="O278" s="39"/>
      <c r="P278" s="143" t="s">
        <v>48</v>
      </c>
      <c r="Q278" s="143" t="s">
        <v>48</v>
      </c>
      <c r="R278" s="195" t="s">
        <v>49</v>
      </c>
      <c r="S278" s="143" t="s">
        <v>48</v>
      </c>
      <c r="T278" s="157" t="s">
        <v>53</v>
      </c>
      <c r="U278" s="38"/>
      <c r="V278" s="39"/>
      <c r="W278" s="157" t="s">
        <v>53</v>
      </c>
      <c r="X278" s="203" t="s">
        <v>53</v>
      </c>
      <c r="Y278" s="182"/>
      <c r="Z278" s="203" t="s">
        <v>53</v>
      </c>
      <c r="AA278" s="157" t="s">
        <v>53</v>
      </c>
      <c r="AB278" s="38"/>
      <c r="AC278" s="39"/>
      <c r="AD278" s="157" t="s">
        <v>53</v>
      </c>
      <c r="AE278" s="157" t="s">
        <v>53</v>
      </c>
      <c r="AF278" s="195" t="s">
        <v>49</v>
      </c>
      <c r="AG278" s="299"/>
      <c r="AH278" s="93"/>
      <c r="AI278" s="73">
        <f>COUNTA($C278:$AF278)</f>
        <v>21</v>
      </c>
    </row>
    <row r="279" spans="1:35" ht="15.75" customHeight="1" outlineLevel="1">
      <c r="A279" s="221"/>
      <c r="B279" s="294"/>
      <c r="C279" s="40">
        <f t="shared" ref="C279:E279" si="1048">IF(ISERROR(VLOOKUP(C278,$K$394:$W$428,9,FALSE)),"",VLOOKUP(C278,$K$394:$W$428,9,FALSE))</f>
        <v>96378</v>
      </c>
      <c r="D279" s="40">
        <f t="shared" si="1048"/>
        <v>101706</v>
      </c>
      <c r="E279" s="40">
        <f t="shared" si="1048"/>
        <v>96378</v>
      </c>
      <c r="F279" s="40">
        <f t="shared" ref="F279" si="1049">IF(ISERROR(VLOOKUP(F278,$K$394:$W$428,9,FALSE)),"",VLOOKUP(F278,$K$394:$W$428,9,FALSE))</f>
        <v>96378</v>
      </c>
      <c r="G279" s="41" t="str">
        <f t="shared" ref="G279" si="1050">IF(ISERROR(VLOOKUP(G278,$K$394:$W$428,9,FALSE)),"",VLOOKUP(G278,$K$394:$W$428,9,FALSE))</f>
        <v/>
      </c>
      <c r="H279" s="42"/>
      <c r="I279" s="294"/>
      <c r="J279" s="40">
        <f t="shared" ref="J279:L279" si="1051">IF(ISERROR(VLOOKUP(J278,$K$394:$W$428,9,FALSE)),"",VLOOKUP(J278,$K$394:$W$428,9,FALSE))</f>
        <v>96378</v>
      </c>
      <c r="K279" s="40">
        <f t="shared" si="1051"/>
        <v>101706</v>
      </c>
      <c r="L279" s="40">
        <f t="shared" si="1051"/>
        <v>96378</v>
      </c>
      <c r="M279" s="40">
        <f t="shared" ref="M279:N279" si="1052">IF(ISERROR(VLOOKUP(M278,$K$394:$W$428,9,FALSE)),"",VLOOKUP(M278,$K$394:$W$428,9,FALSE))</f>
        <v>96378</v>
      </c>
      <c r="N279" s="209" t="str">
        <f t="shared" si="1052"/>
        <v>T5</v>
      </c>
      <c r="O279" s="42"/>
      <c r="P279" s="40">
        <f t="shared" ref="P279:T279" si="1053">IF(ISERROR(VLOOKUP(P278,$K$394:$W$428,9,FALSE)),"",VLOOKUP(P278,$K$394:$W$428,9,FALSE))</f>
        <v>96378</v>
      </c>
      <c r="Q279" s="40">
        <f t="shared" si="1053"/>
        <v>96378</v>
      </c>
      <c r="R279" s="40">
        <f t="shared" si="1053"/>
        <v>101706</v>
      </c>
      <c r="S279" s="40">
        <f t="shared" si="1053"/>
        <v>96378</v>
      </c>
      <c r="T279" s="40">
        <f t="shared" si="1053"/>
        <v>96378</v>
      </c>
      <c r="U279" s="41" t="str">
        <f t="shared" ref="U279" si="1054">IF(ISERROR(VLOOKUP(U278,$K$394:$W$428,9,FALSE)),"",VLOOKUP(U278,$K$394:$W$428,9,FALSE))</f>
        <v/>
      </c>
      <c r="V279" s="42"/>
      <c r="W279" s="40">
        <f t="shared" ref="W279:Y279" si="1055">IF(ISERROR(VLOOKUP(W278,$K$394:$W$428,9,FALSE)),"",VLOOKUP(W278,$K$394:$W$428,9,FALSE))</f>
        <v>96378</v>
      </c>
      <c r="X279" s="147">
        <f t="shared" si="1055"/>
        <v>96378</v>
      </c>
      <c r="Y279" s="40" t="str">
        <f t="shared" si="1055"/>
        <v/>
      </c>
      <c r="Z279" s="147">
        <f t="shared" ref="Z279:AA279" si="1056">IF(ISERROR(VLOOKUP(Z278,$K$394:$W$428,9,FALSE)),"",VLOOKUP(Z278,$K$394:$W$428,9,FALSE))</f>
        <v>96378</v>
      </c>
      <c r="AA279" s="40">
        <f t="shared" si="1056"/>
        <v>96378</v>
      </c>
      <c r="AB279" s="41" t="str">
        <f t="shared" ref="AB279" si="1057">IF(ISERROR(VLOOKUP(AB278,$K$394:$W$428,9,FALSE)),"",VLOOKUP(AB278,$K$394:$W$428,9,FALSE))</f>
        <v/>
      </c>
      <c r="AC279" s="42"/>
      <c r="AD279" s="40">
        <f t="shared" ref="AD279:AF279" si="1058">IF(ISERROR(VLOOKUP(AD278,$K$394:$W$428,9,FALSE)),"",VLOOKUP(AD278,$K$394:$W$428,9,FALSE))</f>
        <v>96378</v>
      </c>
      <c r="AE279" s="40">
        <f t="shared" si="1058"/>
        <v>96378</v>
      </c>
      <c r="AF279" s="40">
        <f t="shared" si="1058"/>
        <v>101706</v>
      </c>
      <c r="AG279" s="299"/>
      <c r="AH279" s="97"/>
      <c r="AI279" s="73"/>
    </row>
    <row r="280" spans="1:35" ht="15" customHeight="1" outlineLevel="1">
      <c r="A280" s="221"/>
      <c r="B280" s="216" t="s">
        <v>21</v>
      </c>
      <c r="C280" s="143" t="s">
        <v>48</v>
      </c>
      <c r="D280" s="195" t="s">
        <v>49</v>
      </c>
      <c r="E280" s="143" t="s">
        <v>48</v>
      </c>
      <c r="F280" s="143" t="s">
        <v>48</v>
      </c>
      <c r="G280" s="38"/>
      <c r="H280" s="39"/>
      <c r="I280" s="211"/>
      <c r="J280" s="143" t="s">
        <v>48</v>
      </c>
      <c r="K280" s="195" t="s">
        <v>49</v>
      </c>
      <c r="L280" s="143" t="s">
        <v>48</v>
      </c>
      <c r="M280" s="143" t="s">
        <v>48</v>
      </c>
      <c r="N280" s="208" t="s">
        <v>54</v>
      </c>
      <c r="O280" s="39"/>
      <c r="P280" s="143" t="s">
        <v>48</v>
      </c>
      <c r="Q280" s="205"/>
      <c r="R280" s="195" t="s">
        <v>49</v>
      </c>
      <c r="S280" s="143" t="s">
        <v>48</v>
      </c>
      <c r="T280" s="157" t="s">
        <v>53</v>
      </c>
      <c r="U280" s="38"/>
      <c r="V280" s="39"/>
      <c r="W280" s="157" t="s">
        <v>53</v>
      </c>
      <c r="X280" s="203" t="s">
        <v>53</v>
      </c>
      <c r="Y280" s="182"/>
      <c r="Z280" s="203" t="s">
        <v>53</v>
      </c>
      <c r="AA280" s="157" t="s">
        <v>53</v>
      </c>
      <c r="AB280" s="38"/>
      <c r="AC280" s="39"/>
      <c r="AD280" s="157" t="s">
        <v>53</v>
      </c>
      <c r="AE280" s="157" t="s">
        <v>53</v>
      </c>
      <c r="AF280" s="195" t="s">
        <v>49</v>
      </c>
      <c r="AG280" s="299"/>
      <c r="AH280" s="93"/>
      <c r="AI280" s="73">
        <f>COUNTA($C280:$AF280)</f>
        <v>20</v>
      </c>
    </row>
    <row r="281" spans="1:35" ht="15.75" customHeight="1" outlineLevel="1">
      <c r="A281" s="221"/>
      <c r="B281" s="294"/>
      <c r="C281" s="94">
        <f t="shared" ref="C281:E281" si="1059">IF(ISERROR(VLOOKUP(C280,$K$394:$W$428,9,FALSE)),"",VLOOKUP(C280,$K$394:$W$428,9,FALSE))</f>
        <v>96378</v>
      </c>
      <c r="D281" s="94">
        <f t="shared" si="1059"/>
        <v>101706</v>
      </c>
      <c r="E281" s="94">
        <f t="shared" si="1059"/>
        <v>96378</v>
      </c>
      <c r="F281" s="94">
        <f t="shared" ref="F281" si="1060">IF(ISERROR(VLOOKUP(F280,$K$394:$W$428,9,FALSE)),"",VLOOKUP(F280,$K$394:$W$428,9,FALSE))</f>
        <v>96378</v>
      </c>
      <c r="G281" s="95" t="str">
        <f t="shared" ref="G281" si="1061">IF(ISERROR(VLOOKUP(G280,$K$394:$W$428,9,FALSE)),"",VLOOKUP(G280,$K$394:$W$428,9,FALSE))</f>
        <v/>
      </c>
      <c r="H281" s="96"/>
      <c r="I281" s="294"/>
      <c r="J281" s="94">
        <f t="shared" ref="J281:L281" si="1062">IF(ISERROR(VLOOKUP(J280,$K$394:$W$428,9,FALSE)),"",VLOOKUP(J280,$K$394:$W$428,9,FALSE))</f>
        <v>96378</v>
      </c>
      <c r="K281" s="94">
        <f t="shared" si="1062"/>
        <v>101706</v>
      </c>
      <c r="L281" s="94">
        <f t="shared" si="1062"/>
        <v>96378</v>
      </c>
      <c r="M281" s="94">
        <f t="shared" ref="M281:N281" si="1063">IF(ISERROR(VLOOKUP(M280,$K$394:$W$428,9,FALSE)),"",VLOOKUP(M280,$K$394:$W$428,9,FALSE))</f>
        <v>96378</v>
      </c>
      <c r="N281" s="210" t="str">
        <f t="shared" si="1063"/>
        <v>T5</v>
      </c>
      <c r="O281" s="96"/>
      <c r="P281" s="94">
        <f t="shared" ref="P281:T281" si="1064">IF(ISERROR(VLOOKUP(P280,$K$394:$W$428,9,FALSE)),"",VLOOKUP(P280,$K$394:$W$428,9,FALSE))</f>
        <v>96378</v>
      </c>
      <c r="Q281" s="158" t="str">
        <f t="shared" si="1064"/>
        <v/>
      </c>
      <c r="R281" s="94">
        <f t="shared" si="1064"/>
        <v>101706</v>
      </c>
      <c r="S281" s="94">
        <f t="shared" si="1064"/>
        <v>96378</v>
      </c>
      <c r="T281" s="94">
        <f t="shared" si="1064"/>
        <v>96378</v>
      </c>
      <c r="U281" s="95" t="str">
        <f t="shared" ref="U281" si="1065">IF(ISERROR(VLOOKUP(U280,$K$394:$W$428,9,FALSE)),"",VLOOKUP(U280,$K$394:$W$428,9,FALSE))</f>
        <v/>
      </c>
      <c r="V281" s="96"/>
      <c r="W281" s="94">
        <f t="shared" ref="W281:Y281" si="1066">IF(ISERROR(VLOOKUP(W280,$K$394:$W$428,9,FALSE)),"",VLOOKUP(W280,$K$394:$W$428,9,FALSE))</f>
        <v>96378</v>
      </c>
      <c r="X281" s="151">
        <f t="shared" si="1066"/>
        <v>96378</v>
      </c>
      <c r="Y281" s="94" t="str">
        <f t="shared" si="1066"/>
        <v/>
      </c>
      <c r="Z281" s="151">
        <f t="shared" ref="Z281:AA281" si="1067">IF(ISERROR(VLOOKUP(Z280,$K$394:$W$428,9,FALSE)),"",VLOOKUP(Z280,$K$394:$W$428,9,FALSE))</f>
        <v>96378</v>
      </c>
      <c r="AA281" s="94">
        <f t="shared" si="1067"/>
        <v>96378</v>
      </c>
      <c r="AB281" s="95" t="str">
        <f t="shared" ref="AB281" si="1068">IF(ISERROR(VLOOKUP(AB280,$K$394:$W$428,9,FALSE)),"",VLOOKUP(AB280,$K$394:$W$428,9,FALSE))</f>
        <v/>
      </c>
      <c r="AC281" s="96"/>
      <c r="AD281" s="94">
        <f t="shared" ref="AD281:AF281" si="1069">IF(ISERROR(VLOOKUP(AD280,$K$394:$W$428,9,FALSE)),"",VLOOKUP(AD280,$K$394:$W$428,9,FALSE))</f>
        <v>96378</v>
      </c>
      <c r="AE281" s="94">
        <f t="shared" si="1069"/>
        <v>96378</v>
      </c>
      <c r="AF281" s="94">
        <f t="shared" si="1069"/>
        <v>101706</v>
      </c>
      <c r="AG281" s="299"/>
      <c r="AH281" s="97"/>
      <c r="AI281" s="73"/>
    </row>
    <row r="282" spans="1:35" ht="15" customHeight="1" outlineLevel="1">
      <c r="A282" s="221"/>
      <c r="B282" s="216" t="s">
        <v>22</v>
      </c>
      <c r="C282" s="143" t="s">
        <v>48</v>
      </c>
      <c r="D282" s="195" t="s">
        <v>49</v>
      </c>
      <c r="E282" s="143" t="s">
        <v>48</v>
      </c>
      <c r="F282" s="143" t="s">
        <v>48</v>
      </c>
      <c r="G282" s="38"/>
      <c r="H282" s="39"/>
      <c r="I282" s="211"/>
      <c r="J282" s="143" t="s">
        <v>48</v>
      </c>
      <c r="K282" s="195" t="s">
        <v>49</v>
      </c>
      <c r="L282" s="143" t="s">
        <v>48</v>
      </c>
      <c r="M282" s="143" t="s">
        <v>48</v>
      </c>
      <c r="N282" s="208" t="s">
        <v>54</v>
      </c>
      <c r="O282" s="39"/>
      <c r="P282" s="143" t="s">
        <v>48</v>
      </c>
      <c r="Q282" s="205"/>
      <c r="R282" s="195" t="s">
        <v>49</v>
      </c>
      <c r="S282" s="143" t="s">
        <v>48</v>
      </c>
      <c r="T282" s="157" t="s">
        <v>53</v>
      </c>
      <c r="U282" s="38"/>
      <c r="V282" s="39"/>
      <c r="W282" s="157" t="s">
        <v>53</v>
      </c>
      <c r="X282" s="203" t="s">
        <v>53</v>
      </c>
      <c r="Y282" s="182"/>
      <c r="Z282" s="203" t="s">
        <v>53</v>
      </c>
      <c r="AA282" s="157" t="s">
        <v>53</v>
      </c>
      <c r="AB282" s="38"/>
      <c r="AC282" s="39"/>
      <c r="AD282" s="157" t="s">
        <v>53</v>
      </c>
      <c r="AE282" s="157" t="s">
        <v>53</v>
      </c>
      <c r="AF282" s="195" t="s">
        <v>49</v>
      </c>
      <c r="AG282" s="299"/>
      <c r="AH282" s="93"/>
      <c r="AI282" s="73">
        <f>COUNTA($C282:$AF282)</f>
        <v>20</v>
      </c>
    </row>
    <row r="283" spans="1:35" ht="15.75" customHeight="1" outlineLevel="1">
      <c r="A283" s="221"/>
      <c r="B283" s="294"/>
      <c r="C283" s="94">
        <f t="shared" ref="C283:E283" si="1070">IF(ISERROR(VLOOKUP(C282,$K$394:$W$428,9,FALSE)),"",VLOOKUP(C282,$K$394:$W$428,9,FALSE))</f>
        <v>96378</v>
      </c>
      <c r="D283" s="94">
        <f t="shared" si="1070"/>
        <v>101706</v>
      </c>
      <c r="E283" s="94">
        <f t="shared" si="1070"/>
        <v>96378</v>
      </c>
      <c r="F283" s="94">
        <f t="shared" ref="F283" si="1071">IF(ISERROR(VLOOKUP(F282,$K$394:$W$428,9,FALSE)),"",VLOOKUP(F282,$K$394:$W$428,9,FALSE))</f>
        <v>96378</v>
      </c>
      <c r="G283" s="95" t="str">
        <f t="shared" ref="G283" si="1072">IF(ISERROR(VLOOKUP(G282,$K$394:$W$428,9,FALSE)),"",VLOOKUP(G282,$K$394:$W$428,9,FALSE))</f>
        <v/>
      </c>
      <c r="H283" s="96"/>
      <c r="I283" s="294"/>
      <c r="J283" s="94">
        <f t="shared" ref="J283:L283" si="1073">IF(ISERROR(VLOOKUP(J282,$K$394:$W$428,9,FALSE)),"",VLOOKUP(J282,$K$394:$W$428,9,FALSE))</f>
        <v>96378</v>
      </c>
      <c r="K283" s="94">
        <f t="shared" si="1073"/>
        <v>101706</v>
      </c>
      <c r="L283" s="94">
        <f t="shared" si="1073"/>
        <v>96378</v>
      </c>
      <c r="M283" s="94">
        <f t="shared" ref="M283:N283" si="1074">IF(ISERROR(VLOOKUP(M282,$K$394:$W$428,9,FALSE)),"",VLOOKUP(M282,$K$394:$W$428,9,FALSE))</f>
        <v>96378</v>
      </c>
      <c r="N283" s="209" t="str">
        <f t="shared" si="1074"/>
        <v>T5</v>
      </c>
      <c r="O283" s="96"/>
      <c r="P283" s="94">
        <f t="shared" ref="P283:T283" si="1075">IF(ISERROR(VLOOKUP(P282,$K$394:$W$428,9,FALSE)),"",VLOOKUP(P282,$K$394:$W$428,9,FALSE))</f>
        <v>96378</v>
      </c>
      <c r="Q283" s="158" t="str">
        <f t="shared" si="1075"/>
        <v/>
      </c>
      <c r="R283" s="94">
        <f t="shared" si="1075"/>
        <v>101706</v>
      </c>
      <c r="S283" s="94">
        <f t="shared" si="1075"/>
        <v>96378</v>
      </c>
      <c r="T283" s="94">
        <f t="shared" si="1075"/>
        <v>96378</v>
      </c>
      <c r="U283" s="95" t="str">
        <f t="shared" ref="U283" si="1076">IF(ISERROR(VLOOKUP(U282,$K$394:$W$428,9,FALSE)),"",VLOOKUP(U282,$K$394:$W$428,9,FALSE))</f>
        <v/>
      </c>
      <c r="V283" s="96"/>
      <c r="W283" s="94">
        <f t="shared" ref="W283:Y283" si="1077">IF(ISERROR(VLOOKUP(W282,$K$394:$W$428,9,FALSE)),"",VLOOKUP(W282,$K$394:$W$428,9,FALSE))</f>
        <v>96378</v>
      </c>
      <c r="X283" s="151">
        <f t="shared" si="1077"/>
        <v>96378</v>
      </c>
      <c r="Y283" s="94" t="str">
        <f t="shared" si="1077"/>
        <v/>
      </c>
      <c r="Z283" s="151">
        <f t="shared" ref="Z283:AA283" si="1078">IF(ISERROR(VLOOKUP(Z282,$K$394:$W$428,9,FALSE)),"",VLOOKUP(Z282,$K$394:$W$428,9,FALSE))</f>
        <v>96378</v>
      </c>
      <c r="AA283" s="94">
        <f t="shared" si="1078"/>
        <v>96378</v>
      </c>
      <c r="AB283" s="95" t="str">
        <f t="shared" ref="AB283" si="1079">IF(ISERROR(VLOOKUP(AB282,$K$394:$W$428,9,FALSE)),"",VLOOKUP(AB282,$K$394:$W$428,9,FALSE))</f>
        <v/>
      </c>
      <c r="AC283" s="96"/>
      <c r="AD283" s="94">
        <f t="shared" ref="AD283:AF283" si="1080">IF(ISERROR(VLOOKUP(AD282,$K$394:$W$428,9,FALSE)),"",VLOOKUP(AD282,$K$394:$W$428,9,FALSE))</f>
        <v>96378</v>
      </c>
      <c r="AE283" s="94">
        <f t="shared" si="1080"/>
        <v>96378</v>
      </c>
      <c r="AF283" s="94">
        <f t="shared" si="1080"/>
        <v>101706</v>
      </c>
      <c r="AG283" s="299"/>
      <c r="AH283" s="97"/>
      <c r="AI283" s="73"/>
    </row>
    <row r="284" spans="1:35" ht="15" customHeight="1" outlineLevel="1">
      <c r="A284" s="221"/>
      <c r="B284" s="216" t="s">
        <v>23</v>
      </c>
      <c r="C284" s="37"/>
      <c r="D284" s="37"/>
      <c r="E284" s="37"/>
      <c r="F284" s="37"/>
      <c r="G284" s="38"/>
      <c r="H284" s="39"/>
      <c r="I284" s="211"/>
      <c r="J284" s="37"/>
      <c r="K284" s="37"/>
      <c r="L284" s="37"/>
      <c r="M284" s="37"/>
      <c r="N284" s="208" t="s">
        <v>54</v>
      </c>
      <c r="O284" s="39"/>
      <c r="P284" s="37"/>
      <c r="Q284" s="37"/>
      <c r="R284" s="37"/>
      <c r="S284" s="37"/>
      <c r="T284" s="37"/>
      <c r="U284" s="38"/>
      <c r="V284" s="39"/>
      <c r="W284" s="37"/>
      <c r="X284" s="146"/>
      <c r="Y284" s="146"/>
      <c r="Z284" s="146"/>
      <c r="AA284" s="37"/>
      <c r="AB284" s="38"/>
      <c r="AC284" s="39"/>
      <c r="AD284" s="37"/>
      <c r="AE284" s="37"/>
      <c r="AF284" s="37"/>
      <c r="AG284" s="299"/>
      <c r="AH284" s="93"/>
      <c r="AI284" s="73">
        <f>COUNTA($C284:$AF284)</f>
        <v>1</v>
      </c>
    </row>
    <row r="285" spans="1:35" ht="15.75" customHeight="1" outlineLevel="1">
      <c r="A285" s="223"/>
      <c r="B285" s="294"/>
      <c r="C285" s="40" t="str">
        <f t="shared" ref="C285:F285" si="1081">IF(ISERROR(VLOOKUP(C284,$K$394:$W$428,9,FALSE)),"",VLOOKUP(C284,$K$394:$W$428,9,FALSE))</f>
        <v/>
      </c>
      <c r="D285" s="40" t="str">
        <f t="shared" si="1081"/>
        <v/>
      </c>
      <c r="E285" s="40" t="str">
        <f t="shared" si="1081"/>
        <v/>
      </c>
      <c r="F285" s="40" t="str">
        <f t="shared" si="1081"/>
        <v/>
      </c>
      <c r="G285" s="41" t="str">
        <f t="shared" ref="G285" si="1082">IF(ISERROR(VLOOKUP(G284,$K$394:$W$428,9,FALSE)),"",VLOOKUP(G284,$K$394:$W$428,9,FALSE))</f>
        <v/>
      </c>
      <c r="H285" s="42"/>
      <c r="I285" s="294"/>
      <c r="J285" s="40" t="str">
        <f t="shared" ref="J285:N285" si="1083">IF(ISERROR(VLOOKUP(J284,$K$394:$W$428,9,FALSE)),"",VLOOKUP(J284,$K$394:$W$428,9,FALSE))</f>
        <v/>
      </c>
      <c r="K285" s="40" t="str">
        <f t="shared" si="1083"/>
        <v/>
      </c>
      <c r="L285" s="40" t="str">
        <f t="shared" si="1083"/>
        <v/>
      </c>
      <c r="M285" s="40" t="str">
        <f t="shared" si="1083"/>
        <v/>
      </c>
      <c r="N285" s="209" t="str">
        <f t="shared" si="1083"/>
        <v>T5</v>
      </c>
      <c r="O285" s="42"/>
      <c r="P285" s="40" t="str">
        <f t="shared" ref="P285:T285" si="1084">IF(ISERROR(VLOOKUP(P284,$K$394:$W$428,9,FALSE)),"",VLOOKUP(P284,$K$394:$W$428,9,FALSE))</f>
        <v/>
      </c>
      <c r="Q285" s="40" t="str">
        <f t="shared" si="1084"/>
        <v/>
      </c>
      <c r="R285" s="40" t="str">
        <f t="shared" si="1084"/>
        <v/>
      </c>
      <c r="S285" s="40" t="str">
        <f t="shared" si="1084"/>
        <v/>
      </c>
      <c r="T285" s="40" t="str">
        <f t="shared" si="1084"/>
        <v/>
      </c>
      <c r="U285" s="41" t="str">
        <f t="shared" ref="U285" si="1085">IF(ISERROR(VLOOKUP(U284,$K$394:$W$428,9,FALSE)),"",VLOOKUP(U284,$K$394:$W$428,9,FALSE))</f>
        <v/>
      </c>
      <c r="V285" s="42"/>
      <c r="W285" s="40" t="str">
        <f t="shared" ref="W285:AA285" si="1086">IF(ISERROR(VLOOKUP(W284,$K$394:$W$428,9,FALSE)),"",VLOOKUP(W284,$K$394:$W$428,9,FALSE))</f>
        <v/>
      </c>
      <c r="X285" s="147" t="str">
        <f t="shared" si="1086"/>
        <v/>
      </c>
      <c r="Y285" s="147" t="str">
        <f t="shared" si="1086"/>
        <v/>
      </c>
      <c r="Z285" s="147" t="str">
        <f t="shared" si="1086"/>
        <v/>
      </c>
      <c r="AA285" s="40" t="str">
        <f t="shared" si="1086"/>
        <v/>
      </c>
      <c r="AB285" s="41" t="str">
        <f t="shared" ref="AB285" si="1087">IF(ISERROR(VLOOKUP(AB284,$K$394:$W$428,9,FALSE)),"",VLOOKUP(AB284,$K$394:$W$428,9,FALSE))</f>
        <v/>
      </c>
      <c r="AC285" s="42"/>
      <c r="AD285" s="40" t="str">
        <f t="shared" ref="AD285:AF285" si="1088">IF(ISERROR(VLOOKUP(AD284,$K$394:$W$428,9,FALSE)),"",VLOOKUP(AD284,$K$394:$W$428,9,FALSE))</f>
        <v/>
      </c>
      <c r="AE285" s="40" t="str">
        <f t="shared" si="1088"/>
        <v/>
      </c>
      <c r="AF285" s="40" t="str">
        <f t="shared" si="1088"/>
        <v/>
      </c>
      <c r="AG285" s="299"/>
      <c r="AH285" s="97"/>
      <c r="AI285" s="73"/>
    </row>
    <row r="286" spans="1:35" ht="15" customHeight="1" outlineLevel="1">
      <c r="A286" s="221" t="s">
        <v>25</v>
      </c>
      <c r="B286" s="215" t="s">
        <v>19</v>
      </c>
      <c r="C286" s="37"/>
      <c r="D286" s="37"/>
      <c r="E286" s="198" t="s">
        <v>51</v>
      </c>
      <c r="F286" s="37" t="s">
        <v>50</v>
      </c>
      <c r="G286" s="38"/>
      <c r="H286" s="39"/>
      <c r="I286" s="211"/>
      <c r="J286" s="37"/>
      <c r="K286" s="37"/>
      <c r="L286" s="198" t="s">
        <v>51</v>
      </c>
      <c r="M286" s="37" t="s">
        <v>50</v>
      </c>
      <c r="N286" s="38"/>
      <c r="O286" s="39"/>
      <c r="P286" s="37"/>
      <c r="Q286" s="37"/>
      <c r="R286" s="37"/>
      <c r="S286" s="198" t="s">
        <v>51</v>
      </c>
      <c r="T286" s="37" t="s">
        <v>50</v>
      </c>
      <c r="U286" s="38"/>
      <c r="V286" s="39"/>
      <c r="W286" s="37"/>
      <c r="X286" s="146"/>
      <c r="Y286" s="146"/>
      <c r="Z286" s="204" t="s">
        <v>51</v>
      </c>
      <c r="AA286" s="37" t="s">
        <v>50</v>
      </c>
      <c r="AB286" s="38"/>
      <c r="AC286" s="39"/>
      <c r="AD286" s="37"/>
      <c r="AE286" s="37"/>
      <c r="AF286" s="37"/>
      <c r="AG286" s="299"/>
      <c r="AH286" s="93"/>
      <c r="AI286" s="73">
        <f>COUNTA($C286:$AF286)</f>
        <v>8</v>
      </c>
    </row>
    <row r="287" spans="1:35" ht="15.75" customHeight="1" outlineLevel="1">
      <c r="A287" s="293"/>
      <c r="B287" s="293"/>
      <c r="C287" s="40" t="str">
        <f t="shared" ref="C287:F287" si="1089">IF(ISERROR(VLOOKUP(C286,$K$394:$W$428,9,FALSE)),"",VLOOKUP(C286,$K$394:$W$428,9,FALSE))</f>
        <v/>
      </c>
      <c r="D287" s="40" t="str">
        <f t="shared" si="1089"/>
        <v/>
      </c>
      <c r="E287" s="40">
        <f t="shared" si="1089"/>
        <v>96379</v>
      </c>
      <c r="F287" s="40">
        <f t="shared" si="1089"/>
        <v>96379</v>
      </c>
      <c r="G287" s="41" t="str">
        <f t="shared" ref="G287" si="1090">IF(ISERROR(VLOOKUP(G286,$K$394:$W$428,9,FALSE)),"",VLOOKUP(G286,$K$394:$W$428,9,FALSE))</f>
        <v/>
      </c>
      <c r="H287" s="42"/>
      <c r="I287" s="294"/>
      <c r="J287" s="40" t="str">
        <f t="shared" ref="J287:M287" si="1091">IF(ISERROR(VLOOKUP(J286,$K$394:$W$428,9,FALSE)),"",VLOOKUP(J286,$K$394:$W$428,9,FALSE))</f>
        <v/>
      </c>
      <c r="K287" s="40" t="str">
        <f t="shared" si="1091"/>
        <v/>
      </c>
      <c r="L287" s="40">
        <f t="shared" si="1091"/>
        <v>96379</v>
      </c>
      <c r="M287" s="40">
        <f t="shared" si="1091"/>
        <v>96379</v>
      </c>
      <c r="N287" s="41" t="str">
        <f t="shared" ref="N287" si="1092">IF(ISERROR(VLOOKUP(N286,$K$394:$W$428,9,FALSE)),"",VLOOKUP(N286,$K$394:$W$428,9,FALSE))</f>
        <v/>
      </c>
      <c r="O287" s="42"/>
      <c r="P287" s="40" t="str">
        <f t="shared" ref="P287:T287" si="1093">IF(ISERROR(VLOOKUP(P286,$K$394:$W$428,9,FALSE)),"",VLOOKUP(P286,$K$394:$W$428,9,FALSE))</f>
        <v/>
      </c>
      <c r="Q287" s="40" t="str">
        <f t="shared" si="1093"/>
        <v/>
      </c>
      <c r="R287" s="40" t="str">
        <f t="shared" si="1093"/>
        <v/>
      </c>
      <c r="S287" s="40">
        <f t="shared" si="1093"/>
        <v>96379</v>
      </c>
      <c r="T287" s="40">
        <f t="shared" si="1093"/>
        <v>96379</v>
      </c>
      <c r="U287" s="41" t="str">
        <f t="shared" ref="U287" si="1094">IF(ISERROR(VLOOKUP(U286,$K$394:$W$428,9,FALSE)),"",VLOOKUP(U286,$K$394:$W$428,9,FALSE))</f>
        <v/>
      </c>
      <c r="V287" s="42"/>
      <c r="W287" s="40" t="str">
        <f t="shared" ref="W287:AA287" si="1095">IF(ISERROR(VLOOKUP(W286,$K$394:$W$428,9,FALSE)),"",VLOOKUP(W286,$K$394:$W$428,9,FALSE))</f>
        <v/>
      </c>
      <c r="X287" s="147" t="str">
        <f t="shared" si="1095"/>
        <v/>
      </c>
      <c r="Y287" s="147" t="str">
        <f t="shared" si="1095"/>
        <v/>
      </c>
      <c r="Z287" s="147">
        <f t="shared" si="1095"/>
        <v>96379</v>
      </c>
      <c r="AA287" s="40">
        <f t="shared" si="1095"/>
        <v>96379</v>
      </c>
      <c r="AB287" s="41" t="str">
        <f t="shared" ref="AB287" si="1096">IF(ISERROR(VLOOKUP(AB286,$K$394:$W$428,9,FALSE)),"",VLOOKUP(AB286,$K$394:$W$428,9,FALSE))</f>
        <v/>
      </c>
      <c r="AC287" s="42"/>
      <c r="AD287" s="40" t="str">
        <f t="shared" ref="AD287:AF287" si="1097">IF(ISERROR(VLOOKUP(AD286,$K$394:$W$428,9,FALSE)),"",VLOOKUP(AD286,$K$394:$W$428,9,FALSE))</f>
        <v/>
      </c>
      <c r="AE287" s="40" t="str">
        <f t="shared" si="1097"/>
        <v/>
      </c>
      <c r="AF287" s="40" t="str">
        <f t="shared" si="1097"/>
        <v/>
      </c>
      <c r="AG287" s="299"/>
      <c r="AH287" s="97"/>
      <c r="AI287" s="73"/>
    </row>
    <row r="288" spans="1:35" ht="15" customHeight="1" outlineLevel="1">
      <c r="A288" s="293"/>
      <c r="B288" s="216" t="s">
        <v>20</v>
      </c>
      <c r="C288" s="37"/>
      <c r="D288" s="37"/>
      <c r="E288" s="198" t="s">
        <v>51</v>
      </c>
      <c r="F288" s="37" t="s">
        <v>50</v>
      </c>
      <c r="G288" s="38"/>
      <c r="H288" s="39"/>
      <c r="I288" s="211"/>
      <c r="J288" s="37"/>
      <c r="K288" s="37"/>
      <c r="L288" s="198" t="s">
        <v>51</v>
      </c>
      <c r="M288" s="37" t="s">
        <v>50</v>
      </c>
      <c r="N288" s="38"/>
      <c r="O288" s="39"/>
      <c r="P288" s="37"/>
      <c r="Q288" s="37"/>
      <c r="R288" s="37"/>
      <c r="S288" s="198" t="s">
        <v>51</v>
      </c>
      <c r="T288" s="37" t="s">
        <v>50</v>
      </c>
      <c r="U288" s="38"/>
      <c r="V288" s="39"/>
      <c r="W288" s="37"/>
      <c r="X288" s="146"/>
      <c r="Y288" s="146"/>
      <c r="Z288" s="204" t="s">
        <v>51</v>
      </c>
      <c r="AA288" s="37" t="s">
        <v>50</v>
      </c>
      <c r="AB288" s="38"/>
      <c r="AC288" s="39"/>
      <c r="AD288" s="37"/>
      <c r="AE288" s="37"/>
      <c r="AF288" s="37"/>
      <c r="AG288" s="299"/>
      <c r="AH288" s="93"/>
      <c r="AI288" s="73">
        <f>COUNTA($C288:$AF288)</f>
        <v>8</v>
      </c>
    </row>
    <row r="289" spans="1:35" ht="15.75" customHeight="1" outlineLevel="1">
      <c r="A289" s="293"/>
      <c r="B289" s="294"/>
      <c r="C289" s="94" t="str">
        <f t="shared" ref="C289:F289" si="1098">IF(ISERROR(VLOOKUP(C288,$K$394:$W$428,9,FALSE)),"",VLOOKUP(C288,$K$394:$W$428,9,FALSE))</f>
        <v/>
      </c>
      <c r="D289" s="94" t="str">
        <f t="shared" si="1098"/>
        <v/>
      </c>
      <c r="E289" s="94">
        <f t="shared" si="1098"/>
        <v>96379</v>
      </c>
      <c r="F289" s="94">
        <f t="shared" si="1098"/>
        <v>96379</v>
      </c>
      <c r="G289" s="95" t="str">
        <f t="shared" ref="G289" si="1099">IF(ISERROR(VLOOKUP(G288,$K$394:$W$428,9,FALSE)),"",VLOOKUP(G288,$K$394:$W$428,9,FALSE))</f>
        <v/>
      </c>
      <c r="H289" s="96"/>
      <c r="I289" s="294"/>
      <c r="J289" s="94" t="str">
        <f t="shared" ref="J289:M289" si="1100">IF(ISERROR(VLOOKUP(J288,$K$394:$W$428,9,FALSE)),"",VLOOKUP(J288,$K$394:$W$428,9,FALSE))</f>
        <v/>
      </c>
      <c r="K289" s="94" t="str">
        <f t="shared" si="1100"/>
        <v/>
      </c>
      <c r="L289" s="94">
        <f t="shared" si="1100"/>
        <v>96379</v>
      </c>
      <c r="M289" s="94">
        <f t="shared" si="1100"/>
        <v>96379</v>
      </c>
      <c r="N289" s="95" t="str">
        <f t="shared" ref="N289" si="1101">IF(ISERROR(VLOOKUP(N288,$K$394:$W$428,9,FALSE)),"",VLOOKUP(N288,$K$394:$W$428,9,FALSE))</f>
        <v/>
      </c>
      <c r="O289" s="96"/>
      <c r="P289" s="94" t="str">
        <f t="shared" ref="P289:T289" si="1102">IF(ISERROR(VLOOKUP(P288,$K$394:$W$428,9,FALSE)),"",VLOOKUP(P288,$K$394:$W$428,9,FALSE))</f>
        <v/>
      </c>
      <c r="Q289" s="94" t="str">
        <f t="shared" si="1102"/>
        <v/>
      </c>
      <c r="R289" s="94" t="str">
        <f t="shared" si="1102"/>
        <v/>
      </c>
      <c r="S289" s="94">
        <f t="shared" si="1102"/>
        <v>96379</v>
      </c>
      <c r="T289" s="94">
        <f t="shared" si="1102"/>
        <v>96379</v>
      </c>
      <c r="U289" s="95" t="str">
        <f t="shared" ref="U289" si="1103">IF(ISERROR(VLOOKUP(U288,$K$394:$W$428,9,FALSE)),"",VLOOKUP(U288,$K$394:$W$428,9,FALSE))</f>
        <v/>
      </c>
      <c r="V289" s="96"/>
      <c r="W289" s="94" t="str">
        <f t="shared" ref="W289:AA289" si="1104">IF(ISERROR(VLOOKUP(W288,$K$394:$W$428,9,FALSE)),"",VLOOKUP(W288,$K$394:$W$428,9,FALSE))</f>
        <v/>
      </c>
      <c r="X289" s="151" t="str">
        <f t="shared" si="1104"/>
        <v/>
      </c>
      <c r="Y289" s="151" t="str">
        <f t="shared" si="1104"/>
        <v/>
      </c>
      <c r="Z289" s="151">
        <f t="shared" si="1104"/>
        <v>96379</v>
      </c>
      <c r="AA289" s="94">
        <f t="shared" si="1104"/>
        <v>96379</v>
      </c>
      <c r="AB289" s="95" t="str">
        <f t="shared" ref="AB289" si="1105">IF(ISERROR(VLOOKUP(AB288,$K$394:$W$428,9,FALSE)),"",VLOOKUP(AB288,$K$394:$W$428,9,FALSE))</f>
        <v/>
      </c>
      <c r="AC289" s="96"/>
      <c r="AD289" s="94" t="str">
        <f t="shared" ref="AD289:AF289" si="1106">IF(ISERROR(VLOOKUP(AD288,$K$394:$W$428,9,FALSE)),"",VLOOKUP(AD288,$K$394:$W$428,9,FALSE))</f>
        <v/>
      </c>
      <c r="AE289" s="94" t="str">
        <f t="shared" si="1106"/>
        <v/>
      </c>
      <c r="AF289" s="94" t="str">
        <f t="shared" si="1106"/>
        <v/>
      </c>
      <c r="AG289" s="299"/>
      <c r="AH289" s="97"/>
      <c r="AI289" s="73"/>
    </row>
    <row r="290" spans="1:35" ht="15" customHeight="1" outlineLevel="1">
      <c r="A290" s="293"/>
      <c r="B290" s="216" t="s">
        <v>21</v>
      </c>
      <c r="C290" s="37"/>
      <c r="D290" s="37"/>
      <c r="E290" s="198" t="s">
        <v>51</v>
      </c>
      <c r="F290" s="37" t="s">
        <v>50</v>
      </c>
      <c r="G290" s="38"/>
      <c r="H290" s="39"/>
      <c r="I290" s="211"/>
      <c r="J290" s="37"/>
      <c r="K290" s="37"/>
      <c r="L290" s="198" t="s">
        <v>51</v>
      </c>
      <c r="M290" s="37" t="s">
        <v>50</v>
      </c>
      <c r="N290" s="38"/>
      <c r="O290" s="39"/>
      <c r="P290" s="37"/>
      <c r="Q290" s="37"/>
      <c r="R290" s="37"/>
      <c r="S290" s="198" t="s">
        <v>51</v>
      </c>
      <c r="T290" s="37" t="s">
        <v>50</v>
      </c>
      <c r="U290" s="38"/>
      <c r="V290" s="39"/>
      <c r="W290" s="37"/>
      <c r="X290" s="146"/>
      <c r="Y290" s="146"/>
      <c r="Z290" s="204" t="s">
        <v>51</v>
      </c>
      <c r="AA290" s="37" t="s">
        <v>50</v>
      </c>
      <c r="AB290" s="38"/>
      <c r="AC290" s="39"/>
      <c r="AD290" s="37"/>
      <c r="AE290" s="37"/>
      <c r="AF290" s="37"/>
      <c r="AG290" s="299"/>
      <c r="AH290" s="93"/>
      <c r="AI290" s="73">
        <f>COUNTA($C290:$AF290)</f>
        <v>8</v>
      </c>
    </row>
    <row r="291" spans="1:35" ht="15.75" customHeight="1" outlineLevel="1">
      <c r="A291" s="293"/>
      <c r="B291" s="294"/>
      <c r="C291" s="40" t="str">
        <f t="shared" ref="C291:F291" si="1107">IF(ISERROR(VLOOKUP(C290,$K$394:$W$428,9,FALSE)),"",VLOOKUP(C290,$K$394:$W$428,9,FALSE))</f>
        <v/>
      </c>
      <c r="D291" s="40" t="str">
        <f t="shared" si="1107"/>
        <v/>
      </c>
      <c r="E291" s="40">
        <f t="shared" si="1107"/>
        <v>96379</v>
      </c>
      <c r="F291" s="40">
        <f t="shared" si="1107"/>
        <v>96379</v>
      </c>
      <c r="G291" s="41" t="str">
        <f t="shared" ref="G291" si="1108">IF(ISERROR(VLOOKUP(G290,$K$394:$W$428,9,FALSE)),"",VLOOKUP(G290,$K$394:$W$428,9,FALSE))</f>
        <v/>
      </c>
      <c r="H291" s="42"/>
      <c r="I291" s="294"/>
      <c r="J291" s="40" t="str">
        <f t="shared" ref="J291:M291" si="1109">IF(ISERROR(VLOOKUP(J290,$K$394:$W$428,9,FALSE)),"",VLOOKUP(J290,$K$394:$W$428,9,FALSE))</f>
        <v/>
      </c>
      <c r="K291" s="40" t="str">
        <f t="shared" si="1109"/>
        <v/>
      </c>
      <c r="L291" s="40">
        <f t="shared" si="1109"/>
        <v>96379</v>
      </c>
      <c r="M291" s="40">
        <f t="shared" si="1109"/>
        <v>96379</v>
      </c>
      <c r="N291" s="41" t="str">
        <f t="shared" ref="N291" si="1110">IF(ISERROR(VLOOKUP(N290,$K$394:$W$428,9,FALSE)),"",VLOOKUP(N290,$K$394:$W$428,9,FALSE))</f>
        <v/>
      </c>
      <c r="O291" s="42"/>
      <c r="P291" s="40" t="str">
        <f t="shared" ref="P291:T291" si="1111">IF(ISERROR(VLOOKUP(P290,$K$394:$W$428,9,FALSE)),"",VLOOKUP(P290,$K$394:$W$428,9,FALSE))</f>
        <v/>
      </c>
      <c r="Q291" s="40" t="str">
        <f t="shared" si="1111"/>
        <v/>
      </c>
      <c r="R291" s="40" t="str">
        <f t="shared" si="1111"/>
        <v/>
      </c>
      <c r="S291" s="40">
        <f t="shared" si="1111"/>
        <v>96379</v>
      </c>
      <c r="T291" s="40">
        <f t="shared" si="1111"/>
        <v>96379</v>
      </c>
      <c r="U291" s="41" t="str">
        <f t="shared" ref="U291" si="1112">IF(ISERROR(VLOOKUP(U290,$K$394:$W$428,9,FALSE)),"",VLOOKUP(U290,$K$394:$W$428,9,FALSE))</f>
        <v/>
      </c>
      <c r="V291" s="42"/>
      <c r="W291" s="40" t="str">
        <f t="shared" ref="W291:AA291" si="1113">IF(ISERROR(VLOOKUP(W290,$K$394:$W$428,9,FALSE)),"",VLOOKUP(W290,$K$394:$W$428,9,FALSE))</f>
        <v/>
      </c>
      <c r="X291" s="147" t="str">
        <f t="shared" si="1113"/>
        <v/>
      </c>
      <c r="Y291" s="147" t="str">
        <f t="shared" si="1113"/>
        <v/>
      </c>
      <c r="Z291" s="147">
        <f t="shared" si="1113"/>
        <v>96379</v>
      </c>
      <c r="AA291" s="40">
        <f t="shared" si="1113"/>
        <v>96379</v>
      </c>
      <c r="AB291" s="41" t="str">
        <f t="shared" ref="AB291" si="1114">IF(ISERROR(VLOOKUP(AB290,$K$394:$W$428,9,FALSE)),"",VLOOKUP(AB290,$K$394:$W$428,9,FALSE))</f>
        <v/>
      </c>
      <c r="AC291" s="42"/>
      <c r="AD291" s="40" t="str">
        <f t="shared" ref="AD291:AF291" si="1115">IF(ISERROR(VLOOKUP(AD290,$K$394:$W$428,9,FALSE)),"",VLOOKUP(AD290,$K$394:$W$428,9,FALSE))</f>
        <v/>
      </c>
      <c r="AE291" s="40" t="str">
        <f t="shared" si="1115"/>
        <v/>
      </c>
      <c r="AF291" s="40" t="str">
        <f t="shared" si="1115"/>
        <v/>
      </c>
      <c r="AG291" s="299"/>
      <c r="AH291" s="97"/>
      <c r="AI291" s="73"/>
    </row>
    <row r="292" spans="1:35" ht="15" customHeight="1" outlineLevel="1">
      <c r="A292" s="293"/>
      <c r="B292" s="215" t="s">
        <v>22</v>
      </c>
      <c r="C292" s="98"/>
      <c r="D292" s="98"/>
      <c r="E292" s="37"/>
      <c r="F292" s="37"/>
      <c r="G292" s="99"/>
      <c r="H292" s="100"/>
      <c r="I292" s="211"/>
      <c r="J292" s="98"/>
      <c r="K292" s="98"/>
      <c r="L292" s="37"/>
      <c r="M292" s="37"/>
      <c r="N292" s="99"/>
      <c r="O292" s="100"/>
      <c r="P292" s="98"/>
      <c r="Q292" s="98"/>
      <c r="R292" s="98"/>
      <c r="S292" s="37"/>
      <c r="T292" s="37"/>
      <c r="U292" s="99"/>
      <c r="V292" s="100"/>
      <c r="W292" s="98"/>
      <c r="X292" s="183"/>
      <c r="Y292" s="183"/>
      <c r="Z292" s="146"/>
      <c r="AA292" s="37"/>
      <c r="AB292" s="99"/>
      <c r="AC292" s="100"/>
      <c r="AD292" s="98"/>
      <c r="AE292" s="98"/>
      <c r="AF292" s="98"/>
      <c r="AG292" s="299"/>
      <c r="AH292" s="93"/>
      <c r="AI292" s="73">
        <f>COUNTA($C292:$AF292)</f>
        <v>0</v>
      </c>
    </row>
    <row r="293" spans="1:35" ht="15.75" customHeight="1" outlineLevel="1">
      <c r="A293" s="295"/>
      <c r="B293" s="295"/>
      <c r="C293" s="43" t="str">
        <f t="shared" ref="C293:F293" si="1116">IF(ISERROR(VLOOKUP(C292,$K$394:$W$428,9,FALSE)),"",VLOOKUP(C292,$K$394:$W$428,9,FALSE))</f>
        <v/>
      </c>
      <c r="D293" s="43" t="str">
        <f t="shared" si="1116"/>
        <v/>
      </c>
      <c r="E293" s="43" t="str">
        <f t="shared" si="1116"/>
        <v/>
      </c>
      <c r="F293" s="43" t="str">
        <f t="shared" si="1116"/>
        <v/>
      </c>
      <c r="G293" s="44" t="str">
        <f t="shared" ref="G293" si="1117">IF(ISERROR(VLOOKUP(G292,$K$394:$W$428,9,FALSE)),"",VLOOKUP(G292,$K$394:$W$428,9,FALSE))</f>
        <v/>
      </c>
      <c r="H293" s="45"/>
      <c r="I293" s="295"/>
      <c r="J293" s="43" t="str">
        <f t="shared" ref="J293:M293" si="1118">IF(ISERROR(VLOOKUP(J292,$K$394:$W$428,9,FALSE)),"",VLOOKUP(J292,$K$394:$W$428,9,FALSE))</f>
        <v/>
      </c>
      <c r="K293" s="43" t="str">
        <f t="shared" si="1118"/>
        <v/>
      </c>
      <c r="L293" s="43" t="str">
        <f t="shared" si="1118"/>
        <v/>
      </c>
      <c r="M293" s="43" t="str">
        <f t="shared" si="1118"/>
        <v/>
      </c>
      <c r="N293" s="44" t="str">
        <f t="shared" ref="N293" si="1119">IF(ISERROR(VLOOKUP(N292,$K$394:$W$428,9,FALSE)),"",VLOOKUP(N292,$K$394:$W$428,9,FALSE))</f>
        <v/>
      </c>
      <c r="O293" s="45"/>
      <c r="P293" s="43" t="str">
        <f t="shared" ref="P293:T293" si="1120">IF(ISERROR(VLOOKUP(P292,$K$394:$W$428,9,FALSE)),"",VLOOKUP(P292,$K$394:$W$428,9,FALSE))</f>
        <v/>
      </c>
      <c r="Q293" s="43" t="str">
        <f t="shared" si="1120"/>
        <v/>
      </c>
      <c r="R293" s="43" t="str">
        <f t="shared" si="1120"/>
        <v/>
      </c>
      <c r="S293" s="43" t="str">
        <f t="shared" si="1120"/>
        <v/>
      </c>
      <c r="T293" s="43" t="str">
        <f t="shared" si="1120"/>
        <v/>
      </c>
      <c r="U293" s="44" t="str">
        <f t="shared" ref="U293" si="1121">IF(ISERROR(VLOOKUP(U292,$K$394:$W$428,9,FALSE)),"",VLOOKUP(U292,$K$394:$W$428,9,FALSE))</f>
        <v/>
      </c>
      <c r="V293" s="45"/>
      <c r="W293" s="43" t="str">
        <f t="shared" ref="W293:AA293" si="1122">IF(ISERROR(VLOOKUP(W292,$K$394:$W$428,9,FALSE)),"",VLOOKUP(W292,$K$394:$W$428,9,FALSE))</f>
        <v/>
      </c>
      <c r="X293" s="184" t="str">
        <f t="shared" si="1122"/>
        <v/>
      </c>
      <c r="Y293" s="184" t="str">
        <f t="shared" si="1122"/>
        <v/>
      </c>
      <c r="Z293" s="184" t="str">
        <f t="shared" si="1122"/>
        <v/>
      </c>
      <c r="AA293" s="43" t="str">
        <f t="shared" si="1122"/>
        <v/>
      </c>
      <c r="AB293" s="44" t="str">
        <f t="shared" ref="AB293" si="1123">IF(ISERROR(VLOOKUP(AB292,$K$394:$W$428,9,FALSE)),"",VLOOKUP(AB292,$K$394:$W$428,9,FALSE))</f>
        <v/>
      </c>
      <c r="AC293" s="45"/>
      <c r="AD293" s="43" t="str">
        <f t="shared" ref="AD293:AF293" si="1124">IF(ISERROR(VLOOKUP(AD292,$K$394:$W$428,9,FALSE)),"",VLOOKUP(AD292,$K$394:$W$428,9,FALSE))</f>
        <v/>
      </c>
      <c r="AE293" s="43" t="str">
        <f t="shared" si="1124"/>
        <v/>
      </c>
      <c r="AF293" s="43" t="str">
        <f t="shared" si="1124"/>
        <v/>
      </c>
      <c r="AG293" s="292"/>
      <c r="AH293" s="97"/>
      <c r="AI293" s="73"/>
    </row>
    <row r="294" spans="1:35" ht="15.75" customHeight="1">
      <c r="A294" s="46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207" t="s">
        <v>55</v>
      </c>
      <c r="Y294" s="206"/>
      <c r="Z294" s="206"/>
      <c r="AA294" s="1"/>
      <c r="AB294" s="1"/>
      <c r="AC294" s="1"/>
      <c r="AD294" s="1"/>
      <c r="AE294" s="1"/>
      <c r="AF294" s="1"/>
      <c r="AG294" s="1"/>
      <c r="AH294" s="21"/>
      <c r="AI294" s="70"/>
    </row>
    <row r="295" spans="1:35" ht="23.25" customHeight="1" outlineLevel="1">
      <c r="A295" s="218">
        <f>A263+30</f>
        <v>46296</v>
      </c>
      <c r="B295" s="219"/>
      <c r="C295" s="219"/>
      <c r="D295" s="219"/>
      <c r="E295" s="219"/>
      <c r="F295" s="219"/>
      <c r="G295" s="219"/>
      <c r="H295" s="219"/>
      <c r="I295" s="219"/>
      <c r="J295" s="219"/>
      <c r="K295" s="219"/>
      <c r="L295" s="219"/>
      <c r="M295" s="220"/>
      <c r="N295" s="213" t="s">
        <v>14</v>
      </c>
      <c r="O295" s="214"/>
      <c r="P295" s="214"/>
      <c r="Q295" s="214"/>
      <c r="R295" s="68">
        <v>21</v>
      </c>
      <c r="S295" s="212" t="s">
        <v>15</v>
      </c>
      <c r="T295" s="212"/>
      <c r="U295" s="212"/>
      <c r="V295" s="212"/>
      <c r="W295" s="69">
        <f>SUM(AI298:AI325)</f>
        <v>159</v>
      </c>
      <c r="X295" s="212" t="s">
        <v>16</v>
      </c>
      <c r="Y295" s="212"/>
      <c r="Z295" s="212"/>
      <c r="AA295" s="212"/>
      <c r="AB295" s="69">
        <f>IF($M$2="Mensalista",R295*8,IF($M$2="Horista",90,IF($M$2="Intermitente",(ROUNDDOWN((R295*8*0.909),0)),"")))</f>
        <v>168</v>
      </c>
      <c r="AC295" s="212" t="s">
        <v>17</v>
      </c>
      <c r="AD295" s="245"/>
      <c r="AE295" s="245"/>
      <c r="AF295" s="246">
        <f>IF($M$2="","",IF($M$2="RSA","",W295/AB295))</f>
        <v>0.9464285714285714</v>
      </c>
      <c r="AG295" s="289"/>
      <c r="AH295" s="101"/>
      <c r="AI295" s="72"/>
    </row>
    <row r="296" spans="1:35" ht="15.75" customHeight="1" outlineLevel="1">
      <c r="A296" s="217"/>
      <c r="B296" s="290"/>
      <c r="C296" s="32">
        <f>A295</f>
        <v>46296</v>
      </c>
      <c r="D296" s="32">
        <f t="shared" ref="D296:AG296" si="1125">C296+1</f>
        <v>46297</v>
      </c>
      <c r="E296" s="33">
        <f t="shared" si="1125"/>
        <v>46298</v>
      </c>
      <c r="F296" s="34">
        <f t="shared" si="1125"/>
        <v>46299</v>
      </c>
      <c r="G296" s="32">
        <f t="shared" si="1125"/>
        <v>46300</v>
      </c>
      <c r="H296" s="32">
        <f t="shared" si="1125"/>
        <v>46301</v>
      </c>
      <c r="I296" s="32">
        <f t="shared" si="1125"/>
        <v>46302</v>
      </c>
      <c r="J296" s="32">
        <f t="shared" si="1125"/>
        <v>46303</v>
      </c>
      <c r="K296" s="32">
        <f t="shared" si="1125"/>
        <v>46304</v>
      </c>
      <c r="L296" s="33">
        <f t="shared" si="1125"/>
        <v>46305</v>
      </c>
      <c r="M296" s="34">
        <f t="shared" si="1125"/>
        <v>46306</v>
      </c>
      <c r="N296" s="32">
        <f t="shared" si="1125"/>
        <v>46307</v>
      </c>
      <c r="O296" s="32">
        <f t="shared" si="1125"/>
        <v>46308</v>
      </c>
      <c r="P296" s="32">
        <f t="shared" si="1125"/>
        <v>46309</v>
      </c>
      <c r="Q296" s="32">
        <f t="shared" si="1125"/>
        <v>46310</v>
      </c>
      <c r="R296" s="32">
        <f t="shared" si="1125"/>
        <v>46311</v>
      </c>
      <c r="S296" s="33">
        <f t="shared" si="1125"/>
        <v>46312</v>
      </c>
      <c r="T296" s="34">
        <f t="shared" si="1125"/>
        <v>46313</v>
      </c>
      <c r="U296" s="32">
        <f t="shared" si="1125"/>
        <v>46314</v>
      </c>
      <c r="V296" s="32">
        <f t="shared" si="1125"/>
        <v>46315</v>
      </c>
      <c r="W296" s="32">
        <f t="shared" si="1125"/>
        <v>46316</v>
      </c>
      <c r="X296" s="32">
        <f t="shared" si="1125"/>
        <v>46317</v>
      </c>
      <c r="Y296" s="32">
        <f t="shared" si="1125"/>
        <v>46318</v>
      </c>
      <c r="Z296" s="33">
        <f t="shared" si="1125"/>
        <v>46319</v>
      </c>
      <c r="AA296" s="34">
        <f t="shared" si="1125"/>
        <v>46320</v>
      </c>
      <c r="AB296" s="32">
        <f t="shared" si="1125"/>
        <v>46321</v>
      </c>
      <c r="AC296" s="32">
        <f t="shared" si="1125"/>
        <v>46322</v>
      </c>
      <c r="AD296" s="32">
        <f t="shared" si="1125"/>
        <v>46323</v>
      </c>
      <c r="AE296" s="32">
        <f t="shared" si="1125"/>
        <v>46324</v>
      </c>
      <c r="AF296" s="32">
        <f t="shared" si="1125"/>
        <v>46325</v>
      </c>
      <c r="AG296" s="33">
        <f t="shared" si="1125"/>
        <v>46326</v>
      </c>
      <c r="AH296" s="90"/>
      <c r="AI296" s="73"/>
    </row>
    <row r="297" spans="1:35" ht="15.75" customHeight="1" outlineLevel="1">
      <c r="A297" s="291"/>
      <c r="B297" s="292"/>
      <c r="C297" s="91">
        <f>A295</f>
        <v>46296</v>
      </c>
      <c r="D297" s="91">
        <f t="shared" ref="D297:AG297" si="1126">C297+1</f>
        <v>46297</v>
      </c>
      <c r="E297" s="35">
        <f t="shared" si="1126"/>
        <v>46298</v>
      </c>
      <c r="F297" s="36">
        <f t="shared" si="1126"/>
        <v>46299</v>
      </c>
      <c r="G297" s="91">
        <f t="shared" si="1126"/>
        <v>46300</v>
      </c>
      <c r="H297" s="91">
        <f t="shared" si="1126"/>
        <v>46301</v>
      </c>
      <c r="I297" s="91">
        <f t="shared" si="1126"/>
        <v>46302</v>
      </c>
      <c r="J297" s="91">
        <f t="shared" si="1126"/>
        <v>46303</v>
      </c>
      <c r="K297" s="91">
        <f t="shared" si="1126"/>
        <v>46304</v>
      </c>
      <c r="L297" s="35">
        <f t="shared" si="1126"/>
        <v>46305</v>
      </c>
      <c r="M297" s="36">
        <f t="shared" si="1126"/>
        <v>46306</v>
      </c>
      <c r="N297" s="91">
        <f t="shared" si="1126"/>
        <v>46307</v>
      </c>
      <c r="O297" s="91">
        <f t="shared" si="1126"/>
        <v>46308</v>
      </c>
      <c r="P297" s="91">
        <f t="shared" si="1126"/>
        <v>46309</v>
      </c>
      <c r="Q297" s="91">
        <f t="shared" si="1126"/>
        <v>46310</v>
      </c>
      <c r="R297" s="91">
        <f t="shared" si="1126"/>
        <v>46311</v>
      </c>
      <c r="S297" s="35">
        <f t="shared" si="1126"/>
        <v>46312</v>
      </c>
      <c r="T297" s="36">
        <f t="shared" si="1126"/>
        <v>46313</v>
      </c>
      <c r="U297" s="91">
        <f t="shared" si="1126"/>
        <v>46314</v>
      </c>
      <c r="V297" s="91">
        <f t="shared" si="1126"/>
        <v>46315</v>
      </c>
      <c r="W297" s="91">
        <f t="shared" si="1126"/>
        <v>46316</v>
      </c>
      <c r="X297" s="91">
        <f t="shared" si="1126"/>
        <v>46317</v>
      </c>
      <c r="Y297" s="91">
        <f t="shared" si="1126"/>
        <v>46318</v>
      </c>
      <c r="Z297" s="35">
        <f t="shared" si="1126"/>
        <v>46319</v>
      </c>
      <c r="AA297" s="36">
        <f t="shared" si="1126"/>
        <v>46320</v>
      </c>
      <c r="AB297" s="91">
        <f t="shared" si="1126"/>
        <v>46321</v>
      </c>
      <c r="AC297" s="91">
        <f t="shared" si="1126"/>
        <v>46322</v>
      </c>
      <c r="AD297" s="91">
        <f t="shared" si="1126"/>
        <v>46323</v>
      </c>
      <c r="AE297" s="91">
        <f t="shared" si="1126"/>
        <v>46324</v>
      </c>
      <c r="AF297" s="91">
        <f t="shared" si="1126"/>
        <v>46325</v>
      </c>
      <c r="AG297" s="35">
        <f t="shared" si="1126"/>
        <v>46326</v>
      </c>
      <c r="AH297" s="92"/>
      <c r="AI297" s="72"/>
    </row>
    <row r="298" spans="1:35" ht="15" customHeight="1" outlineLevel="1">
      <c r="A298" s="222" t="s">
        <v>18</v>
      </c>
      <c r="B298" s="215" t="s">
        <v>19</v>
      </c>
      <c r="C298" s="37"/>
      <c r="D298" s="37"/>
      <c r="E298" s="38"/>
      <c r="F298" s="39"/>
      <c r="G298" s="182" t="s">
        <v>46</v>
      </c>
      <c r="H298" s="182" t="s">
        <v>46</v>
      </c>
      <c r="I298" s="148" t="s">
        <v>47</v>
      </c>
      <c r="J298" s="37"/>
      <c r="K298" s="37"/>
      <c r="L298" s="38"/>
      <c r="M298" s="39"/>
      <c r="N298" s="211"/>
      <c r="O298" s="182" t="s">
        <v>46</v>
      </c>
      <c r="P298" s="182" t="s">
        <v>46</v>
      </c>
      <c r="Q298" s="37"/>
      <c r="R298" s="37"/>
      <c r="S298" s="38"/>
      <c r="T298" s="39"/>
      <c r="U298" s="200" t="s">
        <v>46</v>
      </c>
      <c r="V298" s="200" t="s">
        <v>46</v>
      </c>
      <c r="W298" s="201" t="s">
        <v>47</v>
      </c>
      <c r="X298" s="146"/>
      <c r="Y298" s="146"/>
      <c r="Z298" s="38"/>
      <c r="AA298" s="39"/>
      <c r="AB298" s="200" t="s">
        <v>46</v>
      </c>
      <c r="AC298" s="200" t="s">
        <v>46</v>
      </c>
      <c r="AD298" s="201" t="s">
        <v>47</v>
      </c>
      <c r="AE298" s="37"/>
      <c r="AF298" s="37"/>
      <c r="AG298" s="38"/>
      <c r="AH298" s="93"/>
      <c r="AI298" s="73">
        <f>COUNTA($C298:$AG298)</f>
        <v>11</v>
      </c>
    </row>
    <row r="299" spans="1:35" ht="15.75" customHeight="1" outlineLevel="1">
      <c r="A299" s="221"/>
      <c r="B299" s="293"/>
      <c r="C299" s="94" t="str">
        <f t="shared" ref="C299:D299" si="1127">IF(ISERROR(VLOOKUP(C298,$K$394:$W$428,9,FALSE)),"",VLOOKUP(C298,$K$394:$W$428,9,FALSE))</f>
        <v/>
      </c>
      <c r="D299" s="94" t="str">
        <f t="shared" si="1127"/>
        <v/>
      </c>
      <c r="E299" s="95" t="str">
        <f t="shared" ref="E299" si="1128">IF(ISERROR(VLOOKUP(E298,$K$394:$W$428,9,FALSE)),"",VLOOKUP(E298,$K$394:$W$428,9,FALSE))</f>
        <v/>
      </c>
      <c r="F299" s="96"/>
      <c r="G299" s="94">
        <f t="shared" ref="G299:I299" si="1129">IF(ISERROR(VLOOKUP(G298,$K$394:$W$428,9,FALSE)),"",VLOOKUP(G298,$K$394:$W$428,9,FALSE))</f>
        <v>202629</v>
      </c>
      <c r="H299" s="94">
        <f t="shared" si="1129"/>
        <v>202629</v>
      </c>
      <c r="I299" s="94">
        <f t="shared" si="1129"/>
        <v>202629</v>
      </c>
      <c r="J299" s="94" t="str">
        <f t="shared" ref="J299:K299" si="1130">IF(ISERROR(VLOOKUP(J298,$K$394:$W$428,9,FALSE)),"",VLOOKUP(J298,$K$394:$W$428,9,FALSE))</f>
        <v/>
      </c>
      <c r="K299" s="94" t="str">
        <f t="shared" si="1130"/>
        <v/>
      </c>
      <c r="L299" s="95" t="str">
        <f t="shared" ref="L299" si="1131">IF(ISERROR(VLOOKUP(L298,$K$394:$W$428,9,FALSE)),"",VLOOKUP(L298,$K$394:$W$428,9,FALSE))</f>
        <v/>
      </c>
      <c r="M299" s="96"/>
      <c r="N299" s="294"/>
      <c r="O299" s="94">
        <f t="shared" ref="O299:P299" si="1132">IF(ISERROR(VLOOKUP(O298,$K$394:$W$428,9,FALSE)),"",VLOOKUP(O298,$K$394:$W$428,9,FALSE))</f>
        <v>202629</v>
      </c>
      <c r="P299" s="94">
        <f t="shared" si="1132"/>
        <v>202629</v>
      </c>
      <c r="Q299" s="94" t="str">
        <f t="shared" ref="Q299:R299" si="1133">IF(ISERROR(VLOOKUP(Q298,$K$394:$W$428,9,FALSE)),"",VLOOKUP(Q298,$K$394:$W$428,9,FALSE))</f>
        <v/>
      </c>
      <c r="R299" s="94" t="str">
        <f t="shared" si="1133"/>
        <v/>
      </c>
      <c r="S299" s="95" t="str">
        <f t="shared" ref="S299" si="1134">IF(ISERROR(VLOOKUP(S298,$K$394:$W$428,9,FALSE)),"",VLOOKUP(S298,$K$394:$W$428,9,FALSE))</f>
        <v/>
      </c>
      <c r="T299" s="96"/>
      <c r="U299" s="151">
        <f t="shared" ref="U299:W299" si="1135">IF(ISERROR(VLOOKUP(U298,$K$394:$W$428,9,FALSE)),"",VLOOKUP(U298,$K$394:$W$428,9,FALSE))</f>
        <v>202629</v>
      </c>
      <c r="V299" s="151">
        <f t="shared" si="1135"/>
        <v>202629</v>
      </c>
      <c r="W299" s="151">
        <f t="shared" si="1135"/>
        <v>202629</v>
      </c>
      <c r="X299" s="151" t="str">
        <f t="shared" ref="X299:Y299" si="1136">IF(ISERROR(VLOOKUP(X298,$K$394:$W$428,9,FALSE)),"",VLOOKUP(X298,$K$394:$W$428,9,FALSE))</f>
        <v/>
      </c>
      <c r="Y299" s="151" t="str">
        <f t="shared" si="1136"/>
        <v/>
      </c>
      <c r="Z299" s="95" t="str">
        <f t="shared" ref="Z299" si="1137">IF(ISERROR(VLOOKUP(Z298,$K$394:$W$428,9,FALSE)),"",VLOOKUP(Z298,$K$394:$W$428,9,FALSE))</f>
        <v/>
      </c>
      <c r="AA299" s="96"/>
      <c r="AB299" s="151">
        <f t="shared" ref="AB299:AD299" si="1138">IF(ISERROR(VLOOKUP(AB298,$K$394:$W$428,9,FALSE)),"",VLOOKUP(AB298,$K$394:$W$428,9,FALSE))</f>
        <v>202629</v>
      </c>
      <c r="AC299" s="151">
        <f t="shared" si="1138"/>
        <v>202629</v>
      </c>
      <c r="AD299" s="151">
        <f t="shared" si="1138"/>
        <v>202629</v>
      </c>
      <c r="AE299" s="94" t="str">
        <f t="shared" ref="AE299:AF299" si="1139">IF(ISERROR(VLOOKUP(AE298,$K$394:$W$428,9,FALSE)),"",VLOOKUP(AE298,$K$394:$W$428,9,FALSE))</f>
        <v/>
      </c>
      <c r="AF299" s="94" t="str">
        <f t="shared" si="1139"/>
        <v/>
      </c>
      <c r="AG299" s="95" t="str">
        <f t="shared" ref="AG299" si="1140">IF(ISERROR(VLOOKUP(AG298,$K$394:$W$428,9,FALSE)),"",VLOOKUP(AG298,$K$394:$W$428,9,FALSE))</f>
        <v/>
      </c>
      <c r="AH299" s="97"/>
      <c r="AI299" s="73"/>
    </row>
    <row r="300" spans="1:35" ht="15" customHeight="1" outlineLevel="1">
      <c r="A300" s="221"/>
      <c r="B300" s="216" t="s">
        <v>20</v>
      </c>
      <c r="C300" s="37"/>
      <c r="D300" s="37"/>
      <c r="E300" s="38"/>
      <c r="F300" s="39"/>
      <c r="G300" s="182" t="s">
        <v>46</v>
      </c>
      <c r="H300" s="182" t="s">
        <v>46</v>
      </c>
      <c r="I300" s="148" t="s">
        <v>47</v>
      </c>
      <c r="J300" s="37"/>
      <c r="K300" s="37"/>
      <c r="L300" s="38"/>
      <c r="M300" s="39"/>
      <c r="N300" s="211"/>
      <c r="O300" s="182" t="s">
        <v>46</v>
      </c>
      <c r="P300" s="182" t="s">
        <v>46</v>
      </c>
      <c r="Q300" s="37"/>
      <c r="R300" s="37"/>
      <c r="S300" s="38"/>
      <c r="T300" s="39"/>
      <c r="U300" s="200" t="s">
        <v>46</v>
      </c>
      <c r="V300" s="200" t="s">
        <v>46</v>
      </c>
      <c r="W300" s="201" t="s">
        <v>47</v>
      </c>
      <c r="X300" s="146"/>
      <c r="Y300" s="146"/>
      <c r="Z300" s="196" t="s">
        <v>50</v>
      </c>
      <c r="AA300" s="39"/>
      <c r="AB300" s="200" t="s">
        <v>46</v>
      </c>
      <c r="AC300" s="200" t="s">
        <v>46</v>
      </c>
      <c r="AD300" s="201" t="s">
        <v>47</v>
      </c>
      <c r="AE300" s="37"/>
      <c r="AF300" s="37"/>
      <c r="AG300" s="199" t="s">
        <v>51</v>
      </c>
      <c r="AH300" s="93"/>
      <c r="AI300" s="73">
        <f>COUNTA($C300:$AG300)</f>
        <v>13</v>
      </c>
    </row>
    <row r="301" spans="1:35" ht="15.75" customHeight="1" outlineLevel="1">
      <c r="A301" s="221"/>
      <c r="B301" s="294"/>
      <c r="C301" s="40" t="str">
        <f t="shared" ref="C301:D301" si="1141">IF(ISERROR(VLOOKUP(C300,$K$394:$W$428,9,FALSE)),"",VLOOKUP(C300,$K$394:$W$428,9,FALSE))</f>
        <v/>
      </c>
      <c r="D301" s="40" t="str">
        <f t="shared" si="1141"/>
        <v/>
      </c>
      <c r="E301" s="95" t="str">
        <f t="shared" ref="E301" si="1142">IF(ISERROR(VLOOKUP(E300,$K$394:$W$428,9,FALSE)),"",VLOOKUP(E300,$K$394:$W$428,9,FALSE))</f>
        <v/>
      </c>
      <c r="F301" s="96"/>
      <c r="G301" s="94">
        <f t="shared" ref="G301:I301" si="1143">IF(ISERROR(VLOOKUP(G300,$K$394:$W$428,9,FALSE)),"",VLOOKUP(G300,$K$394:$W$428,9,FALSE))</f>
        <v>202629</v>
      </c>
      <c r="H301" s="94">
        <f t="shared" si="1143"/>
        <v>202629</v>
      </c>
      <c r="I301" s="40">
        <f t="shared" si="1143"/>
        <v>202629</v>
      </c>
      <c r="J301" s="40" t="str">
        <f t="shared" ref="J301:K301" si="1144">IF(ISERROR(VLOOKUP(J300,$K$394:$W$428,9,FALSE)),"",VLOOKUP(J300,$K$394:$W$428,9,FALSE))</f>
        <v/>
      </c>
      <c r="K301" s="40" t="str">
        <f t="shared" si="1144"/>
        <v/>
      </c>
      <c r="L301" s="95" t="str">
        <f t="shared" ref="L301" si="1145">IF(ISERROR(VLOOKUP(L300,$K$394:$W$428,9,FALSE)),"",VLOOKUP(L300,$K$394:$W$428,9,FALSE))</f>
        <v/>
      </c>
      <c r="M301" s="96"/>
      <c r="N301" s="294"/>
      <c r="O301" s="94">
        <f t="shared" ref="O301:P301" si="1146">IF(ISERROR(VLOOKUP(O300,$K$394:$W$428,9,FALSE)),"",VLOOKUP(O300,$K$394:$W$428,9,FALSE))</f>
        <v>202629</v>
      </c>
      <c r="P301" s="94">
        <f t="shared" si="1146"/>
        <v>202629</v>
      </c>
      <c r="Q301" s="40" t="str">
        <f t="shared" ref="Q301:R301" si="1147">IF(ISERROR(VLOOKUP(Q300,$K$394:$W$428,9,FALSE)),"",VLOOKUP(Q300,$K$394:$W$428,9,FALSE))</f>
        <v/>
      </c>
      <c r="R301" s="40" t="str">
        <f t="shared" si="1147"/>
        <v/>
      </c>
      <c r="S301" s="95" t="str">
        <f t="shared" ref="S301" si="1148">IF(ISERROR(VLOOKUP(S300,$K$394:$W$428,9,FALSE)),"",VLOOKUP(S300,$K$394:$W$428,9,FALSE))</f>
        <v/>
      </c>
      <c r="T301" s="96"/>
      <c r="U301" s="151">
        <f t="shared" ref="U301:W301" si="1149">IF(ISERROR(VLOOKUP(U300,$K$394:$W$428,9,FALSE)),"",VLOOKUP(U300,$K$394:$W$428,9,FALSE))</f>
        <v>202629</v>
      </c>
      <c r="V301" s="151">
        <f t="shared" si="1149"/>
        <v>202629</v>
      </c>
      <c r="W301" s="147">
        <f t="shared" si="1149"/>
        <v>202629</v>
      </c>
      <c r="X301" s="147" t="str">
        <f t="shared" ref="X301:Z301" si="1150">IF(ISERROR(VLOOKUP(X300,$K$394:$W$428,9,FALSE)),"",VLOOKUP(X300,$K$394:$W$428,9,FALSE))</f>
        <v/>
      </c>
      <c r="Y301" s="147" t="str">
        <f t="shared" si="1150"/>
        <v/>
      </c>
      <c r="Z301" s="191">
        <f t="shared" si="1150"/>
        <v>96379</v>
      </c>
      <c r="AA301" s="96"/>
      <c r="AB301" s="151">
        <f t="shared" ref="AB301:AD301" si="1151">IF(ISERROR(VLOOKUP(AB300,$K$394:$W$428,9,FALSE)),"",VLOOKUP(AB300,$K$394:$W$428,9,FALSE))</f>
        <v>202629</v>
      </c>
      <c r="AC301" s="151">
        <f t="shared" si="1151"/>
        <v>202629</v>
      </c>
      <c r="AD301" s="147">
        <f t="shared" si="1151"/>
        <v>202629</v>
      </c>
      <c r="AE301" s="40" t="str">
        <f t="shared" ref="AE301:AG301" si="1152">IF(ISERROR(VLOOKUP(AE300,$K$394:$W$428,9,FALSE)),"",VLOOKUP(AE300,$K$394:$W$428,9,FALSE))</f>
        <v/>
      </c>
      <c r="AF301" s="40" t="str">
        <f t="shared" si="1152"/>
        <v/>
      </c>
      <c r="AG301" s="191">
        <f t="shared" si="1152"/>
        <v>96379</v>
      </c>
      <c r="AH301" s="97"/>
      <c r="AI301" s="73"/>
    </row>
    <row r="302" spans="1:35" ht="15" customHeight="1" outlineLevel="1">
      <c r="A302" s="221"/>
      <c r="B302" s="216" t="s">
        <v>21</v>
      </c>
      <c r="C302" s="37"/>
      <c r="D302" s="37"/>
      <c r="E302" s="38"/>
      <c r="F302" s="39"/>
      <c r="G302" s="182" t="s">
        <v>46</v>
      </c>
      <c r="H302" s="182" t="s">
        <v>46</v>
      </c>
      <c r="I302" s="148" t="s">
        <v>47</v>
      </c>
      <c r="J302" s="37"/>
      <c r="K302" s="37"/>
      <c r="L302" s="38"/>
      <c r="M302" s="39"/>
      <c r="N302" s="211"/>
      <c r="O302" s="182" t="s">
        <v>46</v>
      </c>
      <c r="P302" s="182" t="s">
        <v>46</v>
      </c>
      <c r="Q302" s="37"/>
      <c r="R302" s="37"/>
      <c r="S302" s="38"/>
      <c r="T302" s="39"/>
      <c r="U302" s="200" t="s">
        <v>46</v>
      </c>
      <c r="V302" s="200" t="s">
        <v>46</v>
      </c>
      <c r="W302" s="201" t="s">
        <v>47</v>
      </c>
      <c r="X302" s="146"/>
      <c r="Y302" s="146"/>
      <c r="Z302" s="196" t="s">
        <v>50</v>
      </c>
      <c r="AA302" s="39"/>
      <c r="AB302" s="200" t="s">
        <v>46</v>
      </c>
      <c r="AC302" s="200" t="s">
        <v>46</v>
      </c>
      <c r="AD302" s="201" t="s">
        <v>47</v>
      </c>
      <c r="AE302" s="37"/>
      <c r="AF302" s="37"/>
      <c r="AG302" s="199" t="s">
        <v>51</v>
      </c>
      <c r="AH302" s="93"/>
      <c r="AI302" s="73">
        <f>COUNTA($C302:$AG302)</f>
        <v>13</v>
      </c>
    </row>
    <row r="303" spans="1:35" ht="15.75" customHeight="1" outlineLevel="1">
      <c r="A303" s="221"/>
      <c r="B303" s="294"/>
      <c r="C303" s="94" t="str">
        <f t="shared" ref="C303:D303" si="1153">IF(ISERROR(VLOOKUP(C302,$K$394:$W$428,9,FALSE)),"",VLOOKUP(C302,$K$394:$W$428,9,FALSE))</f>
        <v/>
      </c>
      <c r="D303" s="94" t="str">
        <f t="shared" si="1153"/>
        <v/>
      </c>
      <c r="E303" s="41" t="str">
        <f t="shared" ref="E303" si="1154">IF(ISERROR(VLOOKUP(E302,$K$394:$W$428,9,FALSE)),"",VLOOKUP(E302,$K$394:$W$428,9,FALSE))</f>
        <v/>
      </c>
      <c r="F303" s="42"/>
      <c r="G303" s="40">
        <f t="shared" ref="G303:I303" si="1155">IF(ISERROR(VLOOKUP(G302,$K$394:$W$428,9,FALSE)),"",VLOOKUP(G302,$K$394:$W$428,9,FALSE))</f>
        <v>202629</v>
      </c>
      <c r="H303" s="40">
        <f t="shared" si="1155"/>
        <v>202629</v>
      </c>
      <c r="I303" s="94">
        <f t="shared" si="1155"/>
        <v>202629</v>
      </c>
      <c r="J303" s="94" t="str">
        <f t="shared" ref="J303:K303" si="1156">IF(ISERROR(VLOOKUP(J302,$K$394:$W$428,9,FALSE)),"",VLOOKUP(J302,$K$394:$W$428,9,FALSE))</f>
        <v/>
      </c>
      <c r="K303" s="94" t="str">
        <f t="shared" si="1156"/>
        <v/>
      </c>
      <c r="L303" s="41" t="str">
        <f t="shared" ref="L303" si="1157">IF(ISERROR(VLOOKUP(L302,$K$394:$W$428,9,FALSE)),"",VLOOKUP(L302,$K$394:$W$428,9,FALSE))</f>
        <v/>
      </c>
      <c r="M303" s="42"/>
      <c r="N303" s="294"/>
      <c r="O303" s="40">
        <f t="shared" ref="O303:P303" si="1158">IF(ISERROR(VLOOKUP(O302,$K$394:$W$428,9,FALSE)),"",VLOOKUP(O302,$K$394:$W$428,9,FALSE))</f>
        <v>202629</v>
      </c>
      <c r="P303" s="40">
        <f t="shared" si="1158"/>
        <v>202629</v>
      </c>
      <c r="Q303" s="94" t="str">
        <f t="shared" ref="Q303:R303" si="1159">IF(ISERROR(VLOOKUP(Q302,$K$394:$W$428,9,FALSE)),"",VLOOKUP(Q302,$K$394:$W$428,9,FALSE))</f>
        <v/>
      </c>
      <c r="R303" s="94" t="str">
        <f t="shared" si="1159"/>
        <v/>
      </c>
      <c r="S303" s="41" t="str">
        <f t="shared" ref="S303" si="1160">IF(ISERROR(VLOOKUP(S302,$K$394:$W$428,9,FALSE)),"",VLOOKUP(S302,$K$394:$W$428,9,FALSE))</f>
        <v/>
      </c>
      <c r="T303" s="42"/>
      <c r="U303" s="147">
        <f t="shared" ref="U303:W303" si="1161">IF(ISERROR(VLOOKUP(U302,$K$394:$W$428,9,FALSE)),"",VLOOKUP(U302,$K$394:$W$428,9,FALSE))</f>
        <v>202629</v>
      </c>
      <c r="V303" s="147">
        <f t="shared" si="1161"/>
        <v>202629</v>
      </c>
      <c r="W303" s="151">
        <f t="shared" si="1161"/>
        <v>202629</v>
      </c>
      <c r="X303" s="151" t="str">
        <f t="shared" ref="X303:Z303" si="1162">IF(ISERROR(VLOOKUP(X302,$K$394:$W$428,9,FALSE)),"",VLOOKUP(X302,$K$394:$W$428,9,FALSE))</f>
        <v/>
      </c>
      <c r="Y303" s="151" t="str">
        <f t="shared" si="1162"/>
        <v/>
      </c>
      <c r="Z303" s="197">
        <f t="shared" si="1162"/>
        <v>96379</v>
      </c>
      <c r="AA303" s="42"/>
      <c r="AB303" s="147">
        <f t="shared" ref="AB303:AD303" si="1163">IF(ISERROR(VLOOKUP(AB302,$K$394:$W$428,9,FALSE)),"",VLOOKUP(AB302,$K$394:$W$428,9,FALSE))</f>
        <v>202629</v>
      </c>
      <c r="AC303" s="147">
        <f t="shared" si="1163"/>
        <v>202629</v>
      </c>
      <c r="AD303" s="151">
        <f t="shared" si="1163"/>
        <v>202629</v>
      </c>
      <c r="AE303" s="94" t="str">
        <f t="shared" ref="AE303:AG303" si="1164">IF(ISERROR(VLOOKUP(AE302,$K$394:$W$428,9,FALSE)),"",VLOOKUP(AE302,$K$394:$W$428,9,FALSE))</f>
        <v/>
      </c>
      <c r="AF303" s="94" t="str">
        <f t="shared" si="1164"/>
        <v/>
      </c>
      <c r="AG303" s="197">
        <f t="shared" si="1164"/>
        <v>96379</v>
      </c>
      <c r="AH303" s="97"/>
      <c r="AI303" s="73"/>
    </row>
    <row r="304" spans="1:35" ht="15" customHeight="1" outlineLevel="1">
      <c r="A304" s="221"/>
      <c r="B304" s="216" t="s">
        <v>22</v>
      </c>
      <c r="C304" s="37"/>
      <c r="D304" s="37"/>
      <c r="E304" s="38"/>
      <c r="F304" s="39"/>
      <c r="G304" s="182" t="s">
        <v>46</v>
      </c>
      <c r="H304" s="182" t="s">
        <v>46</v>
      </c>
      <c r="I304" s="148" t="s">
        <v>47</v>
      </c>
      <c r="J304" s="37"/>
      <c r="K304" s="37"/>
      <c r="L304" s="38"/>
      <c r="M304" s="39"/>
      <c r="N304" s="211"/>
      <c r="O304" s="182" t="s">
        <v>46</v>
      </c>
      <c r="P304" s="182" t="s">
        <v>46</v>
      </c>
      <c r="Q304" s="37"/>
      <c r="R304" s="37"/>
      <c r="S304" s="38"/>
      <c r="T304" s="39"/>
      <c r="U304" s="200" t="s">
        <v>46</v>
      </c>
      <c r="V304" s="200" t="s">
        <v>46</v>
      </c>
      <c r="W304" s="201" t="s">
        <v>47</v>
      </c>
      <c r="X304" s="146"/>
      <c r="Y304" s="146"/>
      <c r="Z304" s="196" t="s">
        <v>50</v>
      </c>
      <c r="AA304" s="39"/>
      <c r="AB304" s="200" t="s">
        <v>46</v>
      </c>
      <c r="AC304" s="200" t="s">
        <v>46</v>
      </c>
      <c r="AD304" s="201" t="s">
        <v>47</v>
      </c>
      <c r="AE304" s="37"/>
      <c r="AF304" s="37"/>
      <c r="AG304" s="199" t="s">
        <v>51</v>
      </c>
      <c r="AH304" s="93"/>
      <c r="AI304" s="73">
        <f>COUNTA($C304:$AG304)</f>
        <v>13</v>
      </c>
    </row>
    <row r="305" spans="1:35" ht="15.75" customHeight="1" outlineLevel="1">
      <c r="A305" s="221"/>
      <c r="B305" s="294"/>
      <c r="C305" s="94" t="str">
        <f t="shared" ref="C305:D305" si="1165">IF(ISERROR(VLOOKUP(C304,$K$394:$W$428,9,FALSE)),"",VLOOKUP(C304,$K$394:$W$428,9,FALSE))</f>
        <v/>
      </c>
      <c r="D305" s="94" t="str">
        <f t="shared" si="1165"/>
        <v/>
      </c>
      <c r="E305" s="95" t="str">
        <f t="shared" ref="E305" si="1166">IF(ISERROR(VLOOKUP(E304,$K$394:$W$428,9,FALSE)),"",VLOOKUP(E304,$K$394:$W$428,9,FALSE))</f>
        <v/>
      </c>
      <c r="F305" s="96"/>
      <c r="G305" s="94">
        <f t="shared" ref="G305:I305" si="1167">IF(ISERROR(VLOOKUP(G304,$K$394:$W$428,9,FALSE)),"",VLOOKUP(G304,$K$394:$W$428,9,FALSE))</f>
        <v>202629</v>
      </c>
      <c r="H305" s="94">
        <f t="shared" si="1167"/>
        <v>202629</v>
      </c>
      <c r="I305" s="94">
        <f t="shared" si="1167"/>
        <v>202629</v>
      </c>
      <c r="J305" s="94" t="str">
        <f t="shared" ref="J305:K305" si="1168">IF(ISERROR(VLOOKUP(J304,$K$394:$W$428,9,FALSE)),"",VLOOKUP(J304,$K$394:$W$428,9,FALSE))</f>
        <v/>
      </c>
      <c r="K305" s="94" t="str">
        <f t="shared" si="1168"/>
        <v/>
      </c>
      <c r="L305" s="95" t="str">
        <f t="shared" ref="L305" si="1169">IF(ISERROR(VLOOKUP(L304,$K$394:$W$428,9,FALSE)),"",VLOOKUP(L304,$K$394:$W$428,9,FALSE))</f>
        <v/>
      </c>
      <c r="M305" s="96"/>
      <c r="N305" s="294"/>
      <c r="O305" s="94">
        <f t="shared" ref="O305:P305" si="1170">IF(ISERROR(VLOOKUP(O304,$K$394:$W$428,9,FALSE)),"",VLOOKUP(O304,$K$394:$W$428,9,FALSE))</f>
        <v>202629</v>
      </c>
      <c r="P305" s="94">
        <f t="shared" si="1170"/>
        <v>202629</v>
      </c>
      <c r="Q305" s="94" t="str">
        <f t="shared" ref="Q305:R305" si="1171">IF(ISERROR(VLOOKUP(Q304,$K$394:$W$428,9,FALSE)),"",VLOOKUP(Q304,$K$394:$W$428,9,FALSE))</f>
        <v/>
      </c>
      <c r="R305" s="94" t="str">
        <f t="shared" si="1171"/>
        <v/>
      </c>
      <c r="S305" s="95" t="str">
        <f t="shared" ref="S305" si="1172">IF(ISERROR(VLOOKUP(S304,$K$394:$W$428,9,FALSE)),"",VLOOKUP(S304,$K$394:$W$428,9,FALSE))</f>
        <v/>
      </c>
      <c r="T305" s="96"/>
      <c r="U305" s="151">
        <f t="shared" ref="U305:W305" si="1173">IF(ISERROR(VLOOKUP(U304,$K$394:$W$428,9,FALSE)),"",VLOOKUP(U304,$K$394:$W$428,9,FALSE))</f>
        <v>202629</v>
      </c>
      <c r="V305" s="151">
        <f t="shared" si="1173"/>
        <v>202629</v>
      </c>
      <c r="W305" s="151">
        <f t="shared" si="1173"/>
        <v>202629</v>
      </c>
      <c r="X305" s="151" t="str">
        <f t="shared" ref="X305:Z305" si="1174">IF(ISERROR(VLOOKUP(X304,$K$394:$W$428,9,FALSE)),"",VLOOKUP(X304,$K$394:$W$428,9,FALSE))</f>
        <v/>
      </c>
      <c r="Y305" s="151" t="str">
        <f t="shared" si="1174"/>
        <v/>
      </c>
      <c r="Z305" s="191">
        <f t="shared" si="1174"/>
        <v>96379</v>
      </c>
      <c r="AA305" s="96"/>
      <c r="AB305" s="151">
        <f t="shared" ref="AB305:AD305" si="1175">IF(ISERROR(VLOOKUP(AB304,$K$394:$W$428,9,FALSE)),"",VLOOKUP(AB304,$K$394:$W$428,9,FALSE))</f>
        <v>202629</v>
      </c>
      <c r="AC305" s="151">
        <f t="shared" si="1175"/>
        <v>202629</v>
      </c>
      <c r="AD305" s="151">
        <f t="shared" si="1175"/>
        <v>202629</v>
      </c>
      <c r="AE305" s="94" t="str">
        <f t="shared" ref="AE305:AG305" si="1176">IF(ISERROR(VLOOKUP(AE304,$K$394:$W$428,9,FALSE)),"",VLOOKUP(AE304,$K$394:$W$428,9,FALSE))</f>
        <v/>
      </c>
      <c r="AF305" s="94" t="str">
        <f t="shared" si="1176"/>
        <v/>
      </c>
      <c r="AG305" s="191">
        <f t="shared" si="1176"/>
        <v>96379</v>
      </c>
      <c r="AH305" s="97"/>
      <c r="AI305" s="73"/>
    </row>
    <row r="306" spans="1:35" ht="15" customHeight="1" outlineLevel="1">
      <c r="A306" s="221"/>
      <c r="B306" s="216" t="s">
        <v>23</v>
      </c>
      <c r="C306" s="37"/>
      <c r="D306" s="37"/>
      <c r="E306" s="38"/>
      <c r="F306" s="39"/>
      <c r="G306" s="37"/>
      <c r="H306" s="37"/>
      <c r="I306" s="37"/>
      <c r="J306" s="37"/>
      <c r="K306" s="37"/>
      <c r="L306" s="38"/>
      <c r="M306" s="39"/>
      <c r="N306" s="211"/>
      <c r="O306" s="37"/>
      <c r="P306" s="37"/>
      <c r="Q306" s="37"/>
      <c r="R306" s="37"/>
      <c r="S306" s="38"/>
      <c r="T306" s="39"/>
      <c r="U306" s="146"/>
      <c r="V306" s="146"/>
      <c r="W306" s="146"/>
      <c r="X306" s="146"/>
      <c r="Y306" s="146"/>
      <c r="Z306" s="38"/>
      <c r="AA306" s="39"/>
      <c r="AB306" s="146"/>
      <c r="AC306" s="146"/>
      <c r="AD306" s="146"/>
      <c r="AE306" s="37"/>
      <c r="AF306" s="37"/>
      <c r="AG306" s="38"/>
      <c r="AH306" s="93"/>
      <c r="AI306" s="73">
        <f>COUNTA($C306:$AG306)</f>
        <v>0</v>
      </c>
    </row>
    <row r="307" spans="1:35" ht="15.75" customHeight="1" outlineLevel="1">
      <c r="A307" s="223"/>
      <c r="B307" s="294"/>
      <c r="C307" s="40" t="str">
        <f t="shared" ref="C307:D307" si="1177">IF(ISERROR(VLOOKUP(C306,$K$394:$W$428,9,FALSE)),"",VLOOKUP(C306,$K$394:$W$428,9,FALSE))</f>
        <v/>
      </c>
      <c r="D307" s="40" t="str">
        <f t="shared" si="1177"/>
        <v/>
      </c>
      <c r="E307" s="95" t="str">
        <f t="shared" ref="E307" si="1178">IF(ISERROR(VLOOKUP(E306,$K$394:$W$428,9,FALSE)),"",VLOOKUP(E306,$K$394:$W$428,9,FALSE))</f>
        <v/>
      </c>
      <c r="F307" s="96"/>
      <c r="G307" s="40" t="str">
        <f t="shared" ref="G307:K307" si="1179">IF(ISERROR(VLOOKUP(G306,$K$394:$W$428,9,FALSE)),"",VLOOKUP(G306,$K$394:$W$428,9,FALSE))</f>
        <v/>
      </c>
      <c r="H307" s="40" t="str">
        <f t="shared" si="1179"/>
        <v/>
      </c>
      <c r="I307" s="40" t="str">
        <f t="shared" si="1179"/>
        <v/>
      </c>
      <c r="J307" s="40" t="str">
        <f t="shared" si="1179"/>
        <v/>
      </c>
      <c r="K307" s="40" t="str">
        <f t="shared" si="1179"/>
        <v/>
      </c>
      <c r="L307" s="95" t="str">
        <f t="shared" ref="L307" si="1180">IF(ISERROR(VLOOKUP(L306,$K$394:$W$428,9,FALSE)),"",VLOOKUP(L306,$K$394:$W$428,9,FALSE))</f>
        <v/>
      </c>
      <c r="M307" s="96"/>
      <c r="N307" s="294"/>
      <c r="O307" s="40" t="str">
        <f t="shared" ref="O307:R307" si="1181">IF(ISERROR(VLOOKUP(O306,$K$394:$W$428,9,FALSE)),"",VLOOKUP(O306,$K$394:$W$428,9,FALSE))</f>
        <v/>
      </c>
      <c r="P307" s="40" t="str">
        <f t="shared" si="1181"/>
        <v/>
      </c>
      <c r="Q307" s="40" t="str">
        <f t="shared" si="1181"/>
        <v/>
      </c>
      <c r="R307" s="40" t="str">
        <f t="shared" si="1181"/>
        <v/>
      </c>
      <c r="S307" s="95" t="str">
        <f t="shared" ref="S307" si="1182">IF(ISERROR(VLOOKUP(S306,$K$394:$W$428,9,FALSE)),"",VLOOKUP(S306,$K$394:$W$428,9,FALSE))</f>
        <v/>
      </c>
      <c r="T307" s="96"/>
      <c r="U307" s="147" t="str">
        <f t="shared" ref="U307:Z307" si="1183">IF(ISERROR(VLOOKUP(U306,$K$394:$W$428,9,FALSE)),"",VLOOKUP(U306,$K$394:$W$428,9,FALSE))</f>
        <v/>
      </c>
      <c r="V307" s="147" t="str">
        <f t="shared" si="1183"/>
        <v/>
      </c>
      <c r="W307" s="147" t="str">
        <f t="shared" si="1183"/>
        <v/>
      </c>
      <c r="X307" s="147" t="str">
        <f t="shared" si="1183"/>
        <v/>
      </c>
      <c r="Y307" s="147" t="str">
        <f t="shared" si="1183"/>
        <v/>
      </c>
      <c r="Z307" s="41" t="str">
        <f t="shared" si="1183"/>
        <v/>
      </c>
      <c r="AA307" s="96"/>
      <c r="AB307" s="147" t="str">
        <f t="shared" ref="AB307:AF307" si="1184">IF(ISERROR(VLOOKUP(AB306,$K$394:$W$428,9,FALSE)),"",VLOOKUP(AB306,$K$394:$W$428,9,FALSE))</f>
        <v/>
      </c>
      <c r="AC307" s="147" t="str">
        <f t="shared" si="1184"/>
        <v/>
      </c>
      <c r="AD307" s="147" t="str">
        <f t="shared" si="1184"/>
        <v/>
      </c>
      <c r="AE307" s="40" t="str">
        <f t="shared" si="1184"/>
        <v/>
      </c>
      <c r="AF307" s="40" t="str">
        <f t="shared" si="1184"/>
        <v/>
      </c>
      <c r="AG307" s="95" t="str">
        <f t="shared" ref="AG307" si="1185">IF(ISERROR(VLOOKUP(AG306,$K$394:$W$428,9,FALSE)),"",VLOOKUP(AG306,$K$394:$W$428,9,FALSE))</f>
        <v/>
      </c>
      <c r="AH307" s="97"/>
      <c r="AI307" s="73"/>
    </row>
    <row r="308" spans="1:35" ht="15" customHeight="1" outlineLevel="1">
      <c r="A308" s="221" t="s">
        <v>24</v>
      </c>
      <c r="B308" s="216" t="s">
        <v>19</v>
      </c>
      <c r="C308" s="157" t="s">
        <v>53</v>
      </c>
      <c r="D308" s="157" t="s">
        <v>53</v>
      </c>
      <c r="E308" s="38"/>
      <c r="F308" s="39"/>
      <c r="G308" s="157" t="s">
        <v>53</v>
      </c>
      <c r="H308" s="157" t="s">
        <v>53</v>
      </c>
      <c r="I308" s="195" t="s">
        <v>49</v>
      </c>
      <c r="J308" s="157" t="s">
        <v>53</v>
      </c>
      <c r="K308" s="157" t="s">
        <v>53</v>
      </c>
      <c r="L308" s="38"/>
      <c r="M308" s="39"/>
      <c r="N308" s="211"/>
      <c r="O308" s="195" t="s">
        <v>49</v>
      </c>
      <c r="P308" s="195" t="s">
        <v>49</v>
      </c>
      <c r="Q308" s="157" t="s">
        <v>53</v>
      </c>
      <c r="R308" s="157" t="s">
        <v>53</v>
      </c>
      <c r="S308" s="38"/>
      <c r="T308" s="39"/>
      <c r="U308" s="202" t="s">
        <v>49</v>
      </c>
      <c r="V308" s="202" t="s">
        <v>49</v>
      </c>
      <c r="W308" s="202" t="s">
        <v>49</v>
      </c>
      <c r="X308" s="203" t="s">
        <v>53</v>
      </c>
      <c r="Y308" s="203" t="s">
        <v>53</v>
      </c>
      <c r="Z308" s="38"/>
      <c r="AA308" s="39"/>
      <c r="AB308" s="202" t="s">
        <v>49</v>
      </c>
      <c r="AC308" s="202" t="s">
        <v>49</v>
      </c>
      <c r="AD308" s="202" t="s">
        <v>49</v>
      </c>
      <c r="AE308" s="150" t="s">
        <v>56</v>
      </c>
      <c r="AF308" s="150" t="s">
        <v>56</v>
      </c>
      <c r="AG308" s="38"/>
      <c r="AH308" s="93"/>
      <c r="AI308" s="73">
        <f>COUNTA($C308:$AG308)</f>
        <v>21</v>
      </c>
    </row>
    <row r="309" spans="1:35" ht="15.75" customHeight="1" outlineLevel="1">
      <c r="A309" s="221"/>
      <c r="B309" s="293"/>
      <c r="C309" s="94">
        <f t="shared" ref="C309:D309" si="1186">IF(ISERROR(VLOOKUP(C308,$K$394:$W$428,9,FALSE)),"",VLOOKUP(C308,$K$394:$W$428,9,FALSE))</f>
        <v>96378</v>
      </c>
      <c r="D309" s="94">
        <f t="shared" si="1186"/>
        <v>96378</v>
      </c>
      <c r="E309" s="95" t="str">
        <f t="shared" ref="E309" si="1187">IF(ISERROR(VLOOKUP(E308,$K$394:$W$428,9,FALSE)),"",VLOOKUP(E308,$K$394:$W$428,9,FALSE))</f>
        <v/>
      </c>
      <c r="F309" s="96"/>
      <c r="G309" s="94">
        <f t="shared" ref="G309:I309" si="1188">IF(ISERROR(VLOOKUP(G308,$K$394:$W$428,9,FALSE)),"",VLOOKUP(G308,$K$394:$W$428,9,FALSE))</f>
        <v>96378</v>
      </c>
      <c r="H309" s="94">
        <f t="shared" si="1188"/>
        <v>96378</v>
      </c>
      <c r="I309" s="94">
        <f t="shared" si="1188"/>
        <v>101706</v>
      </c>
      <c r="J309" s="94">
        <f t="shared" ref="J309:K309" si="1189">IF(ISERROR(VLOOKUP(J308,$K$394:$W$428,9,FALSE)),"",VLOOKUP(J308,$K$394:$W$428,9,FALSE))</f>
        <v>96378</v>
      </c>
      <c r="K309" s="94">
        <f t="shared" si="1189"/>
        <v>96378</v>
      </c>
      <c r="L309" s="95" t="str">
        <f t="shared" ref="L309" si="1190">IF(ISERROR(VLOOKUP(L308,$K$394:$W$428,9,FALSE)),"",VLOOKUP(L308,$K$394:$W$428,9,FALSE))</f>
        <v/>
      </c>
      <c r="M309" s="96"/>
      <c r="N309" s="294"/>
      <c r="O309" s="94">
        <f t="shared" ref="O309:P309" si="1191">IF(ISERROR(VLOOKUP(O308,$K$394:$W$428,9,FALSE)),"",VLOOKUP(O308,$K$394:$W$428,9,FALSE))</f>
        <v>101706</v>
      </c>
      <c r="P309" s="94">
        <f t="shared" si="1191"/>
        <v>101706</v>
      </c>
      <c r="Q309" s="94">
        <f t="shared" ref="Q309:R309" si="1192">IF(ISERROR(VLOOKUP(Q308,$K$394:$W$428,9,FALSE)),"",VLOOKUP(Q308,$K$394:$W$428,9,FALSE))</f>
        <v>96378</v>
      </c>
      <c r="R309" s="94">
        <f t="shared" si="1192"/>
        <v>96378</v>
      </c>
      <c r="S309" s="95" t="str">
        <f t="shared" ref="S309" si="1193">IF(ISERROR(VLOOKUP(S308,$K$394:$W$428,9,FALSE)),"",VLOOKUP(S308,$K$394:$W$428,9,FALSE))</f>
        <v/>
      </c>
      <c r="T309" s="96"/>
      <c r="U309" s="151">
        <f t="shared" ref="U309:V309" si="1194">IF(ISERROR(VLOOKUP(U308,$K$394:$W$428,9,FALSE)),"",VLOOKUP(U308,$K$394:$W$428,9,FALSE))</f>
        <v>101706</v>
      </c>
      <c r="V309" s="151">
        <f t="shared" si="1194"/>
        <v>101706</v>
      </c>
      <c r="W309" s="151">
        <f t="shared" ref="W309" si="1195">IF(ISERROR(VLOOKUP(W308,$K$394:$W$428,9,FALSE)),"",VLOOKUP(W308,$K$394:$W$428,9,FALSE))</f>
        <v>101706</v>
      </c>
      <c r="X309" s="151">
        <f t="shared" ref="X309:Z309" si="1196">IF(ISERROR(VLOOKUP(X308,$K$394:$W$428,9,FALSE)),"",VLOOKUP(X308,$K$394:$W$428,9,FALSE))</f>
        <v>96378</v>
      </c>
      <c r="Y309" s="151">
        <f t="shared" si="1196"/>
        <v>96378</v>
      </c>
      <c r="Z309" s="95" t="str">
        <f t="shared" si="1196"/>
        <v/>
      </c>
      <c r="AA309" s="96"/>
      <c r="AB309" s="151">
        <f t="shared" ref="AB309:AD309" si="1197">IF(ISERROR(VLOOKUP(AB308,$K$394:$W$428,9,FALSE)),"",VLOOKUP(AB308,$K$394:$W$428,9,FALSE))</f>
        <v>101706</v>
      </c>
      <c r="AC309" s="151">
        <f t="shared" si="1197"/>
        <v>101706</v>
      </c>
      <c r="AD309" s="151">
        <f t="shared" si="1197"/>
        <v>101706</v>
      </c>
      <c r="AE309" s="94">
        <f t="shared" ref="AE309" si="1198">IF(ISERROR(VLOOKUP(AE308,$K$394:$W$428,9,FALSE)),"",VLOOKUP(AE308,$K$394:$W$428,9,FALSE))</f>
        <v>96378</v>
      </c>
      <c r="AF309" s="94">
        <f t="shared" ref="AF309" si="1199">IF(ISERROR(VLOOKUP(AF308,$K$394:$W$428,9,FALSE)),"",VLOOKUP(AF308,$K$394:$W$428,9,FALSE))</f>
        <v>96378</v>
      </c>
      <c r="AG309" s="95" t="str">
        <f t="shared" ref="AG309" si="1200">IF(ISERROR(VLOOKUP(AG308,$K$394:$W$428,9,FALSE)),"",VLOOKUP(AG308,$K$394:$W$428,9,FALSE))</f>
        <v/>
      </c>
      <c r="AH309" s="97"/>
      <c r="AI309" s="73"/>
    </row>
    <row r="310" spans="1:35" ht="15" customHeight="1" outlineLevel="1">
      <c r="A310" s="221"/>
      <c r="B310" s="216" t="s">
        <v>20</v>
      </c>
      <c r="C310" s="157" t="s">
        <v>53</v>
      </c>
      <c r="D310" s="157" t="s">
        <v>53</v>
      </c>
      <c r="E310" s="38"/>
      <c r="F310" s="39"/>
      <c r="G310" s="157" t="s">
        <v>53</v>
      </c>
      <c r="H310" s="157" t="s">
        <v>53</v>
      </c>
      <c r="I310" s="195" t="s">
        <v>49</v>
      </c>
      <c r="J310" s="157" t="s">
        <v>53</v>
      </c>
      <c r="K310" s="157" t="s">
        <v>53</v>
      </c>
      <c r="L310" s="38"/>
      <c r="M310" s="39"/>
      <c r="N310" s="211"/>
      <c r="O310" s="195" t="s">
        <v>49</v>
      </c>
      <c r="P310" s="195" t="s">
        <v>49</v>
      </c>
      <c r="Q310" s="157" t="s">
        <v>53</v>
      </c>
      <c r="R310" s="157" t="s">
        <v>53</v>
      </c>
      <c r="S310" s="38"/>
      <c r="T310" s="39"/>
      <c r="U310" s="202" t="s">
        <v>49</v>
      </c>
      <c r="V310" s="202" t="s">
        <v>49</v>
      </c>
      <c r="W310" s="202" t="s">
        <v>49</v>
      </c>
      <c r="X310" s="203" t="s">
        <v>53</v>
      </c>
      <c r="Y310" s="203" t="s">
        <v>53</v>
      </c>
      <c r="Z310" s="38"/>
      <c r="AA310" s="39"/>
      <c r="AB310" s="202" t="s">
        <v>49</v>
      </c>
      <c r="AC310" s="202" t="s">
        <v>49</v>
      </c>
      <c r="AD310" s="202" t="s">
        <v>49</v>
      </c>
      <c r="AE310" s="150" t="s">
        <v>56</v>
      </c>
      <c r="AF310" s="150" t="s">
        <v>56</v>
      </c>
      <c r="AG310" s="38"/>
      <c r="AH310" s="93"/>
      <c r="AI310" s="73">
        <f>COUNTA($C310:$AG310)</f>
        <v>21</v>
      </c>
    </row>
    <row r="311" spans="1:35" ht="15.75" customHeight="1" outlineLevel="1">
      <c r="A311" s="221"/>
      <c r="B311" s="294"/>
      <c r="C311" s="40">
        <f t="shared" ref="C311:D311" si="1201">IF(ISERROR(VLOOKUP(C310,$K$394:$W$428,9,FALSE)),"",VLOOKUP(C310,$K$394:$W$428,9,FALSE))</f>
        <v>96378</v>
      </c>
      <c r="D311" s="40">
        <f t="shared" si="1201"/>
        <v>96378</v>
      </c>
      <c r="E311" s="41" t="str">
        <f t="shared" ref="E311" si="1202">IF(ISERROR(VLOOKUP(E310,$K$394:$W$428,9,FALSE)),"",VLOOKUP(E310,$K$394:$W$428,9,FALSE))</f>
        <v/>
      </c>
      <c r="F311" s="42"/>
      <c r="G311" s="40">
        <f t="shared" ref="G311:I311" si="1203">IF(ISERROR(VLOOKUP(G310,$K$394:$W$428,9,FALSE)),"",VLOOKUP(G310,$K$394:$W$428,9,FALSE))</f>
        <v>96378</v>
      </c>
      <c r="H311" s="40">
        <f t="shared" si="1203"/>
        <v>96378</v>
      </c>
      <c r="I311" s="40">
        <f t="shared" si="1203"/>
        <v>101706</v>
      </c>
      <c r="J311" s="40">
        <f t="shared" ref="J311:K311" si="1204">IF(ISERROR(VLOOKUP(J310,$K$394:$W$428,9,FALSE)),"",VLOOKUP(J310,$K$394:$W$428,9,FALSE))</f>
        <v>96378</v>
      </c>
      <c r="K311" s="40">
        <f t="shared" si="1204"/>
        <v>96378</v>
      </c>
      <c r="L311" s="41" t="str">
        <f t="shared" ref="L311" si="1205">IF(ISERROR(VLOOKUP(L310,$K$394:$W$428,9,FALSE)),"",VLOOKUP(L310,$K$394:$W$428,9,FALSE))</f>
        <v/>
      </c>
      <c r="M311" s="42"/>
      <c r="N311" s="294"/>
      <c r="O311" s="40">
        <f t="shared" ref="O311:P311" si="1206">IF(ISERROR(VLOOKUP(O310,$K$394:$W$428,9,FALSE)),"",VLOOKUP(O310,$K$394:$W$428,9,FALSE))</f>
        <v>101706</v>
      </c>
      <c r="P311" s="40">
        <f t="shared" si="1206"/>
        <v>101706</v>
      </c>
      <c r="Q311" s="40">
        <f t="shared" ref="Q311:R311" si="1207">IF(ISERROR(VLOOKUP(Q310,$K$394:$W$428,9,FALSE)),"",VLOOKUP(Q310,$K$394:$W$428,9,FALSE))</f>
        <v>96378</v>
      </c>
      <c r="R311" s="40">
        <f t="shared" si="1207"/>
        <v>96378</v>
      </c>
      <c r="S311" s="41" t="str">
        <f t="shared" ref="S311" si="1208">IF(ISERROR(VLOOKUP(S310,$K$394:$W$428,9,FALSE)),"",VLOOKUP(S310,$K$394:$W$428,9,FALSE))</f>
        <v/>
      </c>
      <c r="T311" s="42"/>
      <c r="U311" s="147">
        <f t="shared" ref="U311:V311" si="1209">IF(ISERROR(VLOOKUP(U310,$K$394:$W$428,9,FALSE)),"",VLOOKUP(U310,$K$394:$W$428,9,FALSE))</f>
        <v>101706</v>
      </c>
      <c r="V311" s="147">
        <f t="shared" si="1209"/>
        <v>101706</v>
      </c>
      <c r="W311" s="147">
        <f t="shared" ref="W311" si="1210">IF(ISERROR(VLOOKUP(W310,$K$394:$W$428,9,FALSE)),"",VLOOKUP(W310,$K$394:$W$428,9,FALSE))</f>
        <v>101706</v>
      </c>
      <c r="X311" s="147">
        <f t="shared" ref="X311:Z311" si="1211">IF(ISERROR(VLOOKUP(X310,$K$394:$W$428,9,FALSE)),"",VLOOKUP(X310,$K$394:$W$428,9,FALSE))</f>
        <v>96378</v>
      </c>
      <c r="Y311" s="147">
        <f t="shared" si="1211"/>
        <v>96378</v>
      </c>
      <c r="Z311" s="95" t="str">
        <f t="shared" si="1211"/>
        <v/>
      </c>
      <c r="AA311" s="42"/>
      <c r="AB311" s="147">
        <f t="shared" ref="AB311:AD311" si="1212">IF(ISERROR(VLOOKUP(AB310,$K$394:$W$428,9,FALSE)),"",VLOOKUP(AB310,$K$394:$W$428,9,FALSE))</f>
        <v>101706</v>
      </c>
      <c r="AC311" s="147">
        <f t="shared" si="1212"/>
        <v>101706</v>
      </c>
      <c r="AD311" s="147">
        <f t="shared" si="1212"/>
        <v>101706</v>
      </c>
      <c r="AE311" s="40">
        <f t="shared" ref="AE311" si="1213">IF(ISERROR(VLOOKUP(AE310,$K$394:$W$428,9,FALSE)),"",VLOOKUP(AE310,$K$394:$W$428,9,FALSE))</f>
        <v>96378</v>
      </c>
      <c r="AF311" s="40">
        <f t="shared" ref="AF311" si="1214">IF(ISERROR(VLOOKUP(AF310,$K$394:$W$428,9,FALSE)),"",VLOOKUP(AF310,$K$394:$W$428,9,FALSE))</f>
        <v>96378</v>
      </c>
      <c r="AG311" s="41" t="str">
        <f t="shared" ref="AG311" si="1215">IF(ISERROR(VLOOKUP(AG310,$K$394:$W$428,9,FALSE)),"",VLOOKUP(AG310,$K$394:$W$428,9,FALSE))</f>
        <v/>
      </c>
      <c r="AH311" s="97"/>
      <c r="AI311" s="73"/>
    </row>
    <row r="312" spans="1:35" ht="15" customHeight="1" outlineLevel="1">
      <c r="A312" s="221"/>
      <c r="B312" s="216" t="s">
        <v>21</v>
      </c>
      <c r="C312" s="157" t="s">
        <v>53</v>
      </c>
      <c r="D312" s="157" t="s">
        <v>53</v>
      </c>
      <c r="E312" s="38"/>
      <c r="F312" s="39"/>
      <c r="G312" s="157" t="s">
        <v>53</v>
      </c>
      <c r="H312" s="157" t="s">
        <v>53</v>
      </c>
      <c r="I312" s="195" t="s">
        <v>49</v>
      </c>
      <c r="J312" s="157" t="s">
        <v>53</v>
      </c>
      <c r="K312" s="157" t="s">
        <v>53</v>
      </c>
      <c r="L312" s="38"/>
      <c r="M312" s="39"/>
      <c r="N312" s="211"/>
      <c r="O312" s="195" t="s">
        <v>49</v>
      </c>
      <c r="P312" s="195" t="s">
        <v>49</v>
      </c>
      <c r="Q312" s="157" t="s">
        <v>53</v>
      </c>
      <c r="R312" s="157" t="s">
        <v>53</v>
      </c>
      <c r="S312" s="38"/>
      <c r="T312" s="39"/>
      <c r="U312" s="202" t="s">
        <v>49</v>
      </c>
      <c r="V312" s="202" t="s">
        <v>49</v>
      </c>
      <c r="W312" s="202" t="s">
        <v>49</v>
      </c>
      <c r="X312" s="203"/>
      <c r="Y312" s="203" t="s">
        <v>53</v>
      </c>
      <c r="Z312" s="38"/>
      <c r="AA312" s="39"/>
      <c r="AB312" s="202" t="s">
        <v>49</v>
      </c>
      <c r="AC312" s="202" t="s">
        <v>49</v>
      </c>
      <c r="AD312" s="202" t="s">
        <v>49</v>
      </c>
      <c r="AE312" s="150" t="s">
        <v>56</v>
      </c>
      <c r="AF312" s="150" t="s">
        <v>56</v>
      </c>
      <c r="AG312" s="38"/>
      <c r="AH312" s="93"/>
      <c r="AI312" s="73">
        <f>COUNTA($C312:$AG312)</f>
        <v>20</v>
      </c>
    </row>
    <row r="313" spans="1:35" ht="15.75" customHeight="1" outlineLevel="1">
      <c r="A313" s="221"/>
      <c r="B313" s="294"/>
      <c r="C313" s="94">
        <f t="shared" ref="C313:D313" si="1216">IF(ISERROR(VLOOKUP(C312,$K$394:$W$428,9,FALSE)),"",VLOOKUP(C312,$K$394:$W$428,9,FALSE))</f>
        <v>96378</v>
      </c>
      <c r="D313" s="94">
        <f t="shared" si="1216"/>
        <v>96378</v>
      </c>
      <c r="E313" s="95" t="str">
        <f t="shared" ref="E313" si="1217">IF(ISERROR(VLOOKUP(E312,$K$394:$W$428,9,FALSE)),"",VLOOKUP(E312,$K$394:$W$428,9,FALSE))</f>
        <v/>
      </c>
      <c r="F313" s="96"/>
      <c r="G313" s="94">
        <f t="shared" ref="G313:I313" si="1218">IF(ISERROR(VLOOKUP(G312,$K$394:$W$428,9,FALSE)),"",VLOOKUP(G312,$K$394:$W$428,9,FALSE))</f>
        <v>96378</v>
      </c>
      <c r="H313" s="94">
        <f t="shared" si="1218"/>
        <v>96378</v>
      </c>
      <c r="I313" s="94">
        <f t="shared" si="1218"/>
        <v>101706</v>
      </c>
      <c r="J313" s="94">
        <f t="shared" ref="J313:K313" si="1219">IF(ISERROR(VLOOKUP(J312,$K$394:$W$428,9,FALSE)),"",VLOOKUP(J312,$K$394:$W$428,9,FALSE))</f>
        <v>96378</v>
      </c>
      <c r="K313" s="94">
        <f t="shared" si="1219"/>
        <v>96378</v>
      </c>
      <c r="L313" s="95" t="str">
        <f t="shared" ref="L313" si="1220">IF(ISERROR(VLOOKUP(L312,$K$394:$W$428,9,FALSE)),"",VLOOKUP(L312,$K$394:$W$428,9,FALSE))</f>
        <v/>
      </c>
      <c r="M313" s="96"/>
      <c r="N313" s="294"/>
      <c r="O313" s="94">
        <f t="shared" ref="O313:P313" si="1221">IF(ISERROR(VLOOKUP(O312,$K$394:$W$428,9,FALSE)),"",VLOOKUP(O312,$K$394:$W$428,9,FALSE))</f>
        <v>101706</v>
      </c>
      <c r="P313" s="94">
        <f t="shared" si="1221"/>
        <v>101706</v>
      </c>
      <c r="Q313" s="94">
        <f t="shared" ref="Q313:R313" si="1222">IF(ISERROR(VLOOKUP(Q312,$K$394:$W$428,9,FALSE)),"",VLOOKUP(Q312,$K$394:$W$428,9,FALSE))</f>
        <v>96378</v>
      </c>
      <c r="R313" s="94">
        <f t="shared" si="1222"/>
        <v>96378</v>
      </c>
      <c r="S313" s="95" t="str">
        <f t="shared" ref="S313" si="1223">IF(ISERROR(VLOOKUP(S312,$K$394:$W$428,9,FALSE)),"",VLOOKUP(S312,$K$394:$W$428,9,FALSE))</f>
        <v/>
      </c>
      <c r="T313" s="96"/>
      <c r="U313" s="151">
        <f t="shared" ref="U313:V313" si="1224">IF(ISERROR(VLOOKUP(U312,$K$394:$W$428,9,FALSE)),"",VLOOKUP(U312,$K$394:$W$428,9,FALSE))</f>
        <v>101706</v>
      </c>
      <c r="V313" s="151">
        <f t="shared" si="1224"/>
        <v>101706</v>
      </c>
      <c r="W313" s="151">
        <f t="shared" ref="W313" si="1225">IF(ISERROR(VLOOKUP(W312,$K$394:$W$428,9,FALSE)),"",VLOOKUP(W312,$K$394:$W$428,9,FALSE))</f>
        <v>101706</v>
      </c>
      <c r="X313" s="151" t="str">
        <f t="shared" ref="X313:Y313" si="1226">IF(ISERROR(VLOOKUP(X312,$K$394:$W$428,9,FALSE)),"",VLOOKUP(X312,$K$394:$W$428,9,FALSE))</f>
        <v/>
      </c>
      <c r="Y313" s="151">
        <f t="shared" si="1226"/>
        <v>96378</v>
      </c>
      <c r="Z313" s="95" t="str">
        <f t="shared" ref="Z313" si="1227">IF(ISERROR(VLOOKUP(Z312,$K$394:$W$428,9,FALSE)),"",VLOOKUP(Z312,$K$394:$W$428,9,FALSE))</f>
        <v/>
      </c>
      <c r="AA313" s="96"/>
      <c r="AB313" s="151">
        <f t="shared" ref="AB313:AD313" si="1228">IF(ISERROR(VLOOKUP(AB312,$K$394:$W$428,9,FALSE)),"",VLOOKUP(AB312,$K$394:$W$428,9,FALSE))</f>
        <v>101706</v>
      </c>
      <c r="AC313" s="151">
        <f t="shared" si="1228"/>
        <v>101706</v>
      </c>
      <c r="AD313" s="151">
        <f t="shared" si="1228"/>
        <v>101706</v>
      </c>
      <c r="AE313" s="94">
        <f t="shared" ref="AE313" si="1229">IF(ISERROR(VLOOKUP(AE312,$K$394:$W$428,9,FALSE)),"",VLOOKUP(AE312,$K$394:$W$428,9,FALSE))</f>
        <v>96378</v>
      </c>
      <c r="AF313" s="94">
        <f t="shared" ref="AF313" si="1230">IF(ISERROR(VLOOKUP(AF312,$K$394:$W$428,9,FALSE)),"",VLOOKUP(AF312,$K$394:$W$428,9,FALSE))</f>
        <v>96378</v>
      </c>
      <c r="AG313" s="95" t="str">
        <f t="shared" ref="AG313" si="1231">IF(ISERROR(VLOOKUP(AG312,$K$394:$W$428,9,FALSE)),"",VLOOKUP(AG312,$K$394:$W$428,9,FALSE))</f>
        <v/>
      </c>
      <c r="AH313" s="97"/>
      <c r="AI313" s="73"/>
    </row>
    <row r="314" spans="1:35" ht="15" customHeight="1" outlineLevel="1">
      <c r="A314" s="221"/>
      <c r="B314" s="216" t="s">
        <v>22</v>
      </c>
      <c r="C314" s="157" t="s">
        <v>53</v>
      </c>
      <c r="D314" s="157" t="s">
        <v>53</v>
      </c>
      <c r="E314" s="38"/>
      <c r="F314" s="39"/>
      <c r="G314" s="157" t="s">
        <v>53</v>
      </c>
      <c r="H314" s="157" t="s">
        <v>53</v>
      </c>
      <c r="I314" s="195" t="s">
        <v>49</v>
      </c>
      <c r="J314" s="157" t="s">
        <v>53</v>
      </c>
      <c r="K314" s="157" t="s">
        <v>53</v>
      </c>
      <c r="L314" s="38"/>
      <c r="M314" s="39"/>
      <c r="N314" s="211"/>
      <c r="O314" s="195" t="s">
        <v>49</v>
      </c>
      <c r="P314" s="195" t="s">
        <v>49</v>
      </c>
      <c r="Q314" s="157" t="s">
        <v>53</v>
      </c>
      <c r="R314" s="157" t="s">
        <v>53</v>
      </c>
      <c r="S314" s="38"/>
      <c r="T314" s="39"/>
      <c r="U314" s="202" t="s">
        <v>49</v>
      </c>
      <c r="V314" s="202" t="s">
        <v>49</v>
      </c>
      <c r="W314" s="202" t="s">
        <v>49</v>
      </c>
      <c r="X314" s="203"/>
      <c r="Y314" s="203" t="s">
        <v>53</v>
      </c>
      <c r="Z314" s="38"/>
      <c r="AA314" s="39"/>
      <c r="AB314" s="202" t="s">
        <v>49</v>
      </c>
      <c r="AC314" s="202" t="s">
        <v>49</v>
      </c>
      <c r="AD314" s="202" t="s">
        <v>49</v>
      </c>
      <c r="AE314" s="150" t="s">
        <v>56</v>
      </c>
      <c r="AF314" s="150" t="s">
        <v>56</v>
      </c>
      <c r="AG314" s="38"/>
      <c r="AH314" s="93"/>
      <c r="AI314" s="73">
        <f>COUNTA($C314:$AG314)</f>
        <v>20</v>
      </c>
    </row>
    <row r="315" spans="1:35" ht="15.75" customHeight="1" outlineLevel="1">
      <c r="A315" s="221"/>
      <c r="B315" s="294"/>
      <c r="C315" s="94">
        <f t="shared" ref="C315:D315" si="1232">IF(ISERROR(VLOOKUP(C314,$K$394:$W$428,9,FALSE)),"",VLOOKUP(C314,$K$394:$W$428,9,FALSE))</f>
        <v>96378</v>
      </c>
      <c r="D315" s="94">
        <f t="shared" si="1232"/>
        <v>96378</v>
      </c>
      <c r="E315" s="95" t="str">
        <f t="shared" ref="E315" si="1233">IF(ISERROR(VLOOKUP(E314,$K$394:$W$428,9,FALSE)),"",VLOOKUP(E314,$K$394:$W$428,9,FALSE))</f>
        <v/>
      </c>
      <c r="F315" s="96"/>
      <c r="G315" s="94">
        <f t="shared" ref="G315:I315" si="1234">IF(ISERROR(VLOOKUP(G314,$K$394:$W$428,9,FALSE)),"",VLOOKUP(G314,$K$394:$W$428,9,FALSE))</f>
        <v>96378</v>
      </c>
      <c r="H315" s="94">
        <f t="shared" si="1234"/>
        <v>96378</v>
      </c>
      <c r="I315" s="94">
        <f t="shared" si="1234"/>
        <v>101706</v>
      </c>
      <c r="J315" s="94">
        <f t="shared" ref="J315:K315" si="1235">IF(ISERROR(VLOOKUP(J314,$K$394:$W$428,9,FALSE)),"",VLOOKUP(J314,$K$394:$W$428,9,FALSE))</f>
        <v>96378</v>
      </c>
      <c r="K315" s="94">
        <f t="shared" si="1235"/>
        <v>96378</v>
      </c>
      <c r="L315" s="95" t="str">
        <f t="shared" ref="L315" si="1236">IF(ISERROR(VLOOKUP(L314,$K$394:$W$428,9,FALSE)),"",VLOOKUP(L314,$K$394:$W$428,9,FALSE))</f>
        <v/>
      </c>
      <c r="M315" s="96"/>
      <c r="N315" s="294"/>
      <c r="O315" s="94">
        <f t="shared" ref="O315:P315" si="1237">IF(ISERROR(VLOOKUP(O314,$K$394:$W$428,9,FALSE)),"",VLOOKUP(O314,$K$394:$W$428,9,FALSE))</f>
        <v>101706</v>
      </c>
      <c r="P315" s="94">
        <f t="shared" si="1237"/>
        <v>101706</v>
      </c>
      <c r="Q315" s="94">
        <f t="shared" ref="Q315:R315" si="1238">IF(ISERROR(VLOOKUP(Q314,$K$394:$W$428,9,FALSE)),"",VLOOKUP(Q314,$K$394:$W$428,9,FALSE))</f>
        <v>96378</v>
      </c>
      <c r="R315" s="94">
        <f t="shared" si="1238"/>
        <v>96378</v>
      </c>
      <c r="S315" s="95" t="str">
        <f t="shared" ref="S315" si="1239">IF(ISERROR(VLOOKUP(S314,$K$394:$W$428,9,FALSE)),"",VLOOKUP(S314,$K$394:$W$428,9,FALSE))</f>
        <v/>
      </c>
      <c r="T315" s="96"/>
      <c r="U315" s="151">
        <f t="shared" ref="U315:V315" si="1240">IF(ISERROR(VLOOKUP(U314,$K$394:$W$428,9,FALSE)),"",VLOOKUP(U314,$K$394:$W$428,9,FALSE))</f>
        <v>101706</v>
      </c>
      <c r="V315" s="151">
        <f t="shared" si="1240"/>
        <v>101706</v>
      </c>
      <c r="W315" s="151">
        <f t="shared" ref="W315" si="1241">IF(ISERROR(VLOOKUP(W314,$K$394:$W$428,9,FALSE)),"",VLOOKUP(W314,$K$394:$W$428,9,FALSE))</f>
        <v>101706</v>
      </c>
      <c r="X315" s="151" t="str">
        <f t="shared" ref="X315:Y315" si="1242">IF(ISERROR(VLOOKUP(X314,$K$394:$W$428,9,FALSE)),"",VLOOKUP(X314,$K$394:$W$428,9,FALSE))</f>
        <v/>
      </c>
      <c r="Y315" s="151">
        <f t="shared" si="1242"/>
        <v>96378</v>
      </c>
      <c r="Z315" s="95" t="str">
        <f t="shared" ref="Z315" si="1243">IF(ISERROR(VLOOKUP(Z314,$K$394:$W$428,9,FALSE)),"",VLOOKUP(Z314,$K$394:$W$428,9,FALSE))</f>
        <v/>
      </c>
      <c r="AA315" s="96"/>
      <c r="AB315" s="151">
        <f t="shared" ref="AB315:AD315" si="1244">IF(ISERROR(VLOOKUP(AB314,$K$394:$W$428,9,FALSE)),"",VLOOKUP(AB314,$K$394:$W$428,9,FALSE))</f>
        <v>101706</v>
      </c>
      <c r="AC315" s="151">
        <f t="shared" si="1244"/>
        <v>101706</v>
      </c>
      <c r="AD315" s="151">
        <f t="shared" si="1244"/>
        <v>101706</v>
      </c>
      <c r="AE315" s="94">
        <f t="shared" ref="AE315" si="1245">IF(ISERROR(VLOOKUP(AE314,$K$394:$W$428,9,FALSE)),"",VLOOKUP(AE314,$K$394:$W$428,9,FALSE))</f>
        <v>96378</v>
      </c>
      <c r="AF315" s="94">
        <f t="shared" ref="AF315" si="1246">IF(ISERROR(VLOOKUP(AF314,$K$394:$W$428,9,FALSE)),"",VLOOKUP(AF314,$K$394:$W$428,9,FALSE))</f>
        <v>96378</v>
      </c>
      <c r="AG315" s="95" t="str">
        <f t="shared" ref="AG315" si="1247">IF(ISERROR(VLOOKUP(AG314,$K$394:$W$428,9,FALSE)),"",VLOOKUP(AG314,$K$394:$W$428,9,FALSE))</f>
        <v/>
      </c>
      <c r="AH315" s="97"/>
      <c r="AI315" s="73"/>
    </row>
    <row r="316" spans="1:35" ht="15" customHeight="1" outlineLevel="1">
      <c r="A316" s="221"/>
      <c r="B316" s="216" t="s">
        <v>23</v>
      </c>
      <c r="C316" s="37"/>
      <c r="D316" s="37"/>
      <c r="E316" s="38"/>
      <c r="F316" s="39"/>
      <c r="G316" s="37"/>
      <c r="H316" s="37"/>
      <c r="I316" s="37"/>
      <c r="J316" s="37"/>
      <c r="K316" s="37"/>
      <c r="L316" s="38"/>
      <c r="M316" s="39"/>
      <c r="N316" s="211"/>
      <c r="O316" s="37"/>
      <c r="P316" s="37"/>
      <c r="Q316" s="37"/>
      <c r="R316" s="37"/>
      <c r="S316" s="38"/>
      <c r="T316" s="39"/>
      <c r="U316" s="146"/>
      <c r="V316" s="146"/>
      <c r="W316" s="146"/>
      <c r="X316" s="146"/>
      <c r="Y316" s="146"/>
      <c r="Z316" s="38"/>
      <c r="AA316" s="39"/>
      <c r="AB316" s="146"/>
      <c r="AC316" s="146"/>
      <c r="AD316" s="146"/>
      <c r="AE316" s="37"/>
      <c r="AF316" s="37"/>
      <c r="AG316" s="38"/>
      <c r="AH316" s="93"/>
      <c r="AI316" s="73">
        <f>COUNTA($C316:$AG316)</f>
        <v>0</v>
      </c>
    </row>
    <row r="317" spans="1:35" ht="15.75" customHeight="1" outlineLevel="1">
      <c r="A317" s="223"/>
      <c r="B317" s="294"/>
      <c r="C317" s="40" t="str">
        <f t="shared" ref="C317:D317" si="1248">IF(ISERROR(VLOOKUP(C316,$K$394:$W$428,9,FALSE)),"",VLOOKUP(C316,$K$394:$W$428,9,FALSE))</f>
        <v/>
      </c>
      <c r="D317" s="40" t="str">
        <f t="shared" si="1248"/>
        <v/>
      </c>
      <c r="E317" s="95" t="str">
        <f t="shared" ref="E317" si="1249">IF(ISERROR(VLOOKUP(E316,$K$394:$W$428,9,FALSE)),"",VLOOKUP(E316,$K$394:$W$428,9,FALSE))</f>
        <v/>
      </c>
      <c r="F317" s="96"/>
      <c r="G317" s="40" t="str">
        <f t="shared" ref="G317:K317" si="1250">IF(ISERROR(VLOOKUP(G316,$K$394:$W$428,9,FALSE)),"",VLOOKUP(G316,$K$394:$W$428,9,FALSE))</f>
        <v/>
      </c>
      <c r="H317" s="40" t="str">
        <f t="shared" si="1250"/>
        <v/>
      </c>
      <c r="I317" s="40" t="str">
        <f t="shared" si="1250"/>
        <v/>
      </c>
      <c r="J317" s="40" t="str">
        <f t="shared" si="1250"/>
        <v/>
      </c>
      <c r="K317" s="40" t="str">
        <f t="shared" si="1250"/>
        <v/>
      </c>
      <c r="L317" s="95" t="str">
        <f t="shared" ref="L317" si="1251">IF(ISERROR(VLOOKUP(L316,$K$394:$W$428,9,FALSE)),"",VLOOKUP(L316,$K$394:$W$428,9,FALSE))</f>
        <v/>
      </c>
      <c r="M317" s="96"/>
      <c r="N317" s="294"/>
      <c r="O317" s="40" t="str">
        <f t="shared" ref="O317:R317" si="1252">IF(ISERROR(VLOOKUP(O316,$K$394:$W$428,9,FALSE)),"",VLOOKUP(O316,$K$394:$W$428,9,FALSE))</f>
        <v/>
      </c>
      <c r="P317" s="40" t="str">
        <f t="shared" si="1252"/>
        <v/>
      </c>
      <c r="Q317" s="40" t="str">
        <f t="shared" si="1252"/>
        <v/>
      </c>
      <c r="R317" s="40" t="str">
        <f t="shared" si="1252"/>
        <v/>
      </c>
      <c r="S317" s="95" t="str">
        <f t="shared" ref="S317" si="1253">IF(ISERROR(VLOOKUP(S316,$K$394:$W$428,9,FALSE)),"",VLOOKUP(S316,$K$394:$W$428,9,FALSE))</f>
        <v/>
      </c>
      <c r="T317" s="96"/>
      <c r="U317" s="147" t="str">
        <f t="shared" ref="U317:Y317" si="1254">IF(ISERROR(VLOOKUP(U316,$K$394:$W$428,9,FALSE)),"",VLOOKUP(U316,$K$394:$W$428,9,FALSE))</f>
        <v/>
      </c>
      <c r="V317" s="147" t="str">
        <f t="shared" si="1254"/>
        <v/>
      </c>
      <c r="W317" s="147" t="str">
        <f t="shared" si="1254"/>
        <v/>
      </c>
      <c r="X317" s="147" t="str">
        <f t="shared" si="1254"/>
        <v/>
      </c>
      <c r="Y317" s="147" t="str">
        <f t="shared" si="1254"/>
        <v/>
      </c>
      <c r="Z317" s="95" t="str">
        <f t="shared" ref="Z317" si="1255">IF(ISERROR(VLOOKUP(Z316,$K$394:$W$428,9,FALSE)),"",VLOOKUP(Z316,$K$394:$W$428,9,FALSE))</f>
        <v/>
      </c>
      <c r="AA317" s="96"/>
      <c r="AB317" s="147" t="str">
        <f t="shared" ref="AB317:AF317" si="1256">IF(ISERROR(VLOOKUP(AB316,$K$394:$W$428,9,FALSE)),"",VLOOKUP(AB316,$K$394:$W$428,9,FALSE))</f>
        <v/>
      </c>
      <c r="AC317" s="147" t="str">
        <f t="shared" si="1256"/>
        <v/>
      </c>
      <c r="AD317" s="147" t="str">
        <f t="shared" si="1256"/>
        <v/>
      </c>
      <c r="AE317" s="40" t="str">
        <f t="shared" si="1256"/>
        <v/>
      </c>
      <c r="AF317" s="40" t="str">
        <f t="shared" si="1256"/>
        <v/>
      </c>
      <c r="AG317" s="95" t="str">
        <f t="shared" ref="AG317" si="1257">IF(ISERROR(VLOOKUP(AG316,$K$394:$W$428,9,FALSE)),"",VLOOKUP(AG316,$K$394:$W$428,9,FALSE))</f>
        <v/>
      </c>
      <c r="AH317" s="97"/>
      <c r="AI317" s="73"/>
    </row>
    <row r="318" spans="1:35" ht="15" customHeight="1" outlineLevel="1">
      <c r="A318" s="221" t="s">
        <v>25</v>
      </c>
      <c r="B318" s="215" t="s">
        <v>19</v>
      </c>
      <c r="C318" s="198" t="s">
        <v>51</v>
      </c>
      <c r="D318" s="37" t="s">
        <v>50</v>
      </c>
      <c r="E318" s="38"/>
      <c r="F318" s="39"/>
      <c r="G318" s="37"/>
      <c r="H318" s="37"/>
      <c r="I318" s="37"/>
      <c r="J318" s="198" t="s">
        <v>51</v>
      </c>
      <c r="K318" s="37" t="s">
        <v>50</v>
      </c>
      <c r="L318" s="38"/>
      <c r="M318" s="39"/>
      <c r="N318" s="211"/>
      <c r="O318" s="37"/>
      <c r="P318" s="37"/>
      <c r="Q318" s="198" t="s">
        <v>51</v>
      </c>
      <c r="R318" s="37" t="s">
        <v>50</v>
      </c>
      <c r="S318" s="38"/>
      <c r="T318" s="39"/>
      <c r="U318" s="146"/>
      <c r="V318" s="146"/>
      <c r="W318" s="146"/>
      <c r="X318" s="204" t="s">
        <v>51</v>
      </c>
      <c r="Y318" s="146" t="s">
        <v>50</v>
      </c>
      <c r="Z318" s="38"/>
      <c r="AA318" s="39"/>
      <c r="AB318" s="146"/>
      <c r="AC318" s="146"/>
      <c r="AD318" s="146"/>
      <c r="AE318" s="37"/>
      <c r="AF318" s="37" t="s">
        <v>50</v>
      </c>
      <c r="AG318" s="38"/>
      <c r="AH318" s="93"/>
      <c r="AI318" s="73">
        <f>COUNTA($C318:$AG318)</f>
        <v>9</v>
      </c>
    </row>
    <row r="319" spans="1:35" ht="15.75" customHeight="1" outlineLevel="1">
      <c r="A319" s="293"/>
      <c r="B319" s="293"/>
      <c r="C319" s="40">
        <f t="shared" ref="C319:D319" si="1258">IF(ISERROR(VLOOKUP(C318,$K$394:$W$428,9,FALSE)),"",VLOOKUP(C318,$K$394:$W$428,9,FALSE))</f>
        <v>96379</v>
      </c>
      <c r="D319" s="40">
        <f t="shared" si="1258"/>
        <v>96379</v>
      </c>
      <c r="E319" s="41" t="str">
        <f t="shared" ref="E319" si="1259">IF(ISERROR(VLOOKUP(E318,$K$394:$W$428,9,FALSE)),"",VLOOKUP(E318,$K$394:$W$428,9,FALSE))</f>
        <v/>
      </c>
      <c r="F319" s="42"/>
      <c r="G319" s="40" t="str">
        <f t="shared" ref="G319:K319" si="1260">IF(ISERROR(VLOOKUP(G318,$K$394:$W$428,9,FALSE)),"",VLOOKUP(G318,$K$394:$W$428,9,FALSE))</f>
        <v/>
      </c>
      <c r="H319" s="40" t="str">
        <f t="shared" si="1260"/>
        <v/>
      </c>
      <c r="I319" s="40" t="str">
        <f t="shared" si="1260"/>
        <v/>
      </c>
      <c r="J319" s="40">
        <f t="shared" si="1260"/>
        <v>96379</v>
      </c>
      <c r="K319" s="40">
        <f t="shared" si="1260"/>
        <v>96379</v>
      </c>
      <c r="L319" s="41" t="str">
        <f t="shared" ref="L319" si="1261">IF(ISERROR(VLOOKUP(L318,$K$394:$W$428,9,FALSE)),"",VLOOKUP(L318,$K$394:$W$428,9,FALSE))</f>
        <v/>
      </c>
      <c r="M319" s="42"/>
      <c r="N319" s="294"/>
      <c r="O319" s="40" t="str">
        <f t="shared" ref="O319:R319" si="1262">IF(ISERROR(VLOOKUP(O318,$K$394:$W$428,9,FALSE)),"",VLOOKUP(O318,$K$394:$W$428,9,FALSE))</f>
        <v/>
      </c>
      <c r="P319" s="40" t="str">
        <f t="shared" si="1262"/>
        <v/>
      </c>
      <c r="Q319" s="40">
        <f t="shared" si="1262"/>
        <v>96379</v>
      </c>
      <c r="R319" s="40">
        <f t="shared" si="1262"/>
        <v>96379</v>
      </c>
      <c r="S319" s="41" t="str">
        <f t="shared" ref="S319" si="1263">IF(ISERROR(VLOOKUP(S318,$K$394:$W$428,9,FALSE)),"",VLOOKUP(S318,$K$394:$W$428,9,FALSE))</f>
        <v/>
      </c>
      <c r="T319" s="42"/>
      <c r="U319" s="147" t="str">
        <f t="shared" ref="U319:Y319" si="1264">IF(ISERROR(VLOOKUP(U318,$K$394:$W$428,9,FALSE)),"",VLOOKUP(U318,$K$394:$W$428,9,FALSE))</f>
        <v/>
      </c>
      <c r="V319" s="147" t="str">
        <f t="shared" si="1264"/>
        <v/>
      </c>
      <c r="W319" s="147" t="str">
        <f t="shared" si="1264"/>
        <v/>
      </c>
      <c r="X319" s="147">
        <f t="shared" si="1264"/>
        <v>96379</v>
      </c>
      <c r="Y319" s="147">
        <f t="shared" si="1264"/>
        <v>96379</v>
      </c>
      <c r="Z319" s="41" t="str">
        <f t="shared" ref="Z319" si="1265">IF(ISERROR(VLOOKUP(Z318,$K$394:$W$428,9,FALSE)),"",VLOOKUP(Z318,$K$394:$W$428,9,FALSE))</f>
        <v/>
      </c>
      <c r="AA319" s="42"/>
      <c r="AB319" s="147" t="str">
        <f t="shared" ref="AB319:AF319" si="1266">IF(ISERROR(VLOOKUP(AB318,$K$394:$W$428,9,FALSE)),"",VLOOKUP(AB318,$K$394:$W$428,9,FALSE))</f>
        <v/>
      </c>
      <c r="AC319" s="147" t="str">
        <f t="shared" si="1266"/>
        <v/>
      </c>
      <c r="AD319" s="147" t="str">
        <f t="shared" si="1266"/>
        <v/>
      </c>
      <c r="AE319" s="40" t="str">
        <f t="shared" si="1266"/>
        <v/>
      </c>
      <c r="AF319" s="40">
        <f t="shared" si="1266"/>
        <v>96379</v>
      </c>
      <c r="AG319" s="41" t="str">
        <f t="shared" ref="AG319" si="1267">IF(ISERROR(VLOOKUP(AG318,$K$394:$W$428,9,FALSE)),"",VLOOKUP(AG318,$K$394:$W$428,9,FALSE))</f>
        <v/>
      </c>
      <c r="AH319" s="97"/>
      <c r="AI319" s="73"/>
    </row>
    <row r="320" spans="1:35" ht="15" customHeight="1" outlineLevel="1">
      <c r="A320" s="293"/>
      <c r="B320" s="216" t="s">
        <v>20</v>
      </c>
      <c r="C320" s="198" t="s">
        <v>51</v>
      </c>
      <c r="D320" s="37" t="s">
        <v>50</v>
      </c>
      <c r="E320" s="38"/>
      <c r="F320" s="39"/>
      <c r="G320" s="37"/>
      <c r="H320" s="37"/>
      <c r="I320" s="37"/>
      <c r="J320" s="198" t="s">
        <v>51</v>
      </c>
      <c r="K320" s="37" t="s">
        <v>50</v>
      </c>
      <c r="L320" s="38"/>
      <c r="M320" s="39"/>
      <c r="N320" s="211"/>
      <c r="O320" s="37"/>
      <c r="P320" s="37"/>
      <c r="Q320" s="198" t="s">
        <v>51</v>
      </c>
      <c r="R320" s="37" t="s">
        <v>50</v>
      </c>
      <c r="S320" s="38"/>
      <c r="T320" s="39"/>
      <c r="U320" s="146"/>
      <c r="V320" s="146"/>
      <c r="W320" s="146"/>
      <c r="X320" s="204" t="s">
        <v>51</v>
      </c>
      <c r="Y320" s="146" t="s">
        <v>50</v>
      </c>
      <c r="Z320" s="38"/>
      <c r="AA320" s="39"/>
      <c r="AB320" s="146"/>
      <c r="AC320" s="146"/>
      <c r="AD320" s="146"/>
      <c r="AE320" s="37"/>
      <c r="AF320" s="37" t="s">
        <v>50</v>
      </c>
      <c r="AG320" s="38"/>
      <c r="AH320" s="93"/>
      <c r="AI320" s="73">
        <f>COUNTA($C320:$AG320)</f>
        <v>9</v>
      </c>
    </row>
    <row r="321" spans="1:35" ht="15.75" customHeight="1" outlineLevel="1">
      <c r="A321" s="293"/>
      <c r="B321" s="294"/>
      <c r="C321" s="94">
        <f t="shared" ref="C321:D321" si="1268">IF(ISERROR(VLOOKUP(C320,$K$394:$W$428,9,FALSE)),"",VLOOKUP(C320,$K$394:$W$428,9,FALSE))</f>
        <v>96379</v>
      </c>
      <c r="D321" s="94">
        <f t="shared" si="1268"/>
        <v>96379</v>
      </c>
      <c r="E321" s="95" t="str">
        <f t="shared" ref="E321" si="1269">IF(ISERROR(VLOOKUP(E320,$K$394:$W$428,9,FALSE)),"",VLOOKUP(E320,$K$394:$W$428,9,FALSE))</f>
        <v/>
      </c>
      <c r="F321" s="96"/>
      <c r="G321" s="94" t="str">
        <f t="shared" ref="G321:K321" si="1270">IF(ISERROR(VLOOKUP(G320,$K$394:$W$428,9,FALSE)),"",VLOOKUP(G320,$K$394:$W$428,9,FALSE))</f>
        <v/>
      </c>
      <c r="H321" s="94" t="str">
        <f t="shared" si="1270"/>
        <v/>
      </c>
      <c r="I321" s="94" t="str">
        <f t="shared" si="1270"/>
        <v/>
      </c>
      <c r="J321" s="94">
        <f t="shared" si="1270"/>
        <v>96379</v>
      </c>
      <c r="K321" s="94">
        <f t="shared" si="1270"/>
        <v>96379</v>
      </c>
      <c r="L321" s="95" t="str">
        <f t="shared" ref="L321" si="1271">IF(ISERROR(VLOOKUP(L320,$K$394:$W$428,9,FALSE)),"",VLOOKUP(L320,$K$394:$W$428,9,FALSE))</f>
        <v/>
      </c>
      <c r="M321" s="96"/>
      <c r="N321" s="294"/>
      <c r="O321" s="94" t="str">
        <f t="shared" ref="O321:R321" si="1272">IF(ISERROR(VLOOKUP(O320,$K$394:$W$428,9,FALSE)),"",VLOOKUP(O320,$K$394:$W$428,9,FALSE))</f>
        <v/>
      </c>
      <c r="P321" s="94" t="str">
        <f t="shared" si="1272"/>
        <v/>
      </c>
      <c r="Q321" s="94">
        <f t="shared" si="1272"/>
        <v>96379</v>
      </c>
      <c r="R321" s="94">
        <f t="shared" si="1272"/>
        <v>96379</v>
      </c>
      <c r="S321" s="95" t="str">
        <f t="shared" ref="S321" si="1273">IF(ISERROR(VLOOKUP(S320,$K$394:$W$428,9,FALSE)),"",VLOOKUP(S320,$K$394:$W$428,9,FALSE))</f>
        <v/>
      </c>
      <c r="T321" s="96"/>
      <c r="U321" s="151" t="str">
        <f t="shared" ref="U321:Y321" si="1274">IF(ISERROR(VLOOKUP(U320,$K$394:$W$428,9,FALSE)),"",VLOOKUP(U320,$K$394:$W$428,9,FALSE))</f>
        <v/>
      </c>
      <c r="V321" s="151" t="str">
        <f t="shared" si="1274"/>
        <v/>
      </c>
      <c r="W321" s="151" t="str">
        <f t="shared" si="1274"/>
        <v/>
      </c>
      <c r="X321" s="151">
        <f t="shared" si="1274"/>
        <v>96379</v>
      </c>
      <c r="Y321" s="151">
        <f t="shared" si="1274"/>
        <v>96379</v>
      </c>
      <c r="Z321" s="95" t="str">
        <f t="shared" ref="Z321" si="1275">IF(ISERROR(VLOOKUP(Z320,$K$394:$W$428,9,FALSE)),"",VLOOKUP(Z320,$K$394:$W$428,9,FALSE))</f>
        <v/>
      </c>
      <c r="AA321" s="96"/>
      <c r="AB321" s="151" t="str">
        <f t="shared" ref="AB321:AF321" si="1276">IF(ISERROR(VLOOKUP(AB320,$K$394:$W$428,9,FALSE)),"",VLOOKUP(AB320,$K$394:$W$428,9,FALSE))</f>
        <v/>
      </c>
      <c r="AC321" s="151" t="str">
        <f t="shared" si="1276"/>
        <v/>
      </c>
      <c r="AD321" s="151" t="str">
        <f t="shared" si="1276"/>
        <v/>
      </c>
      <c r="AE321" s="94" t="str">
        <f t="shared" si="1276"/>
        <v/>
      </c>
      <c r="AF321" s="94">
        <f t="shared" si="1276"/>
        <v>96379</v>
      </c>
      <c r="AG321" s="95" t="str">
        <f t="shared" ref="AG321" si="1277">IF(ISERROR(VLOOKUP(AG320,$K$394:$W$428,9,FALSE)),"",VLOOKUP(AG320,$K$394:$W$428,9,FALSE))</f>
        <v/>
      </c>
      <c r="AH321" s="97"/>
      <c r="AI321" s="73"/>
    </row>
    <row r="322" spans="1:35" ht="15" customHeight="1" outlineLevel="1">
      <c r="A322" s="293"/>
      <c r="B322" s="216" t="s">
        <v>21</v>
      </c>
      <c r="C322" s="198" t="s">
        <v>51</v>
      </c>
      <c r="D322" s="37" t="s">
        <v>50</v>
      </c>
      <c r="E322" s="38"/>
      <c r="F322" s="39"/>
      <c r="G322" s="37"/>
      <c r="H322" s="37"/>
      <c r="I322" s="37"/>
      <c r="J322" s="198" t="s">
        <v>51</v>
      </c>
      <c r="K322" s="37" t="s">
        <v>50</v>
      </c>
      <c r="L322" s="38"/>
      <c r="M322" s="39"/>
      <c r="N322" s="211"/>
      <c r="O322" s="37"/>
      <c r="P322" s="37"/>
      <c r="Q322" s="198" t="s">
        <v>51</v>
      </c>
      <c r="R322" s="37" t="s">
        <v>50</v>
      </c>
      <c r="S322" s="38"/>
      <c r="T322" s="39"/>
      <c r="U322" s="146"/>
      <c r="V322" s="146"/>
      <c r="W322" s="146"/>
      <c r="X322" s="204" t="s">
        <v>51</v>
      </c>
      <c r="Y322" s="146" t="s">
        <v>50</v>
      </c>
      <c r="Z322" s="38"/>
      <c r="AA322" s="39"/>
      <c r="AB322" s="146"/>
      <c r="AC322" s="146"/>
      <c r="AD322" s="146"/>
      <c r="AE322" s="37"/>
      <c r="AF322" s="37" t="s">
        <v>50</v>
      </c>
      <c r="AG322" s="38"/>
      <c r="AH322" s="93"/>
      <c r="AI322" s="73">
        <f>COUNTA($C322:$AG322)</f>
        <v>9</v>
      </c>
    </row>
    <row r="323" spans="1:35" ht="15.75" customHeight="1" outlineLevel="1">
      <c r="A323" s="293"/>
      <c r="B323" s="294"/>
      <c r="C323" s="40">
        <f t="shared" ref="C323:D323" si="1278">IF(ISERROR(VLOOKUP(C322,$K$394:$W$428,9,FALSE)),"",VLOOKUP(C322,$K$394:$W$428,9,FALSE))</f>
        <v>96379</v>
      </c>
      <c r="D323" s="40">
        <f t="shared" si="1278"/>
        <v>96379</v>
      </c>
      <c r="E323" s="41" t="str">
        <f t="shared" ref="E323" si="1279">IF(ISERROR(VLOOKUP(E322,$K$394:$W$428,9,FALSE)),"",VLOOKUP(E322,$K$394:$W$428,9,FALSE))</f>
        <v/>
      </c>
      <c r="F323" s="42"/>
      <c r="G323" s="40" t="str">
        <f t="shared" ref="G323:K323" si="1280">IF(ISERROR(VLOOKUP(G322,$K$394:$W$428,9,FALSE)),"",VLOOKUP(G322,$K$394:$W$428,9,FALSE))</f>
        <v/>
      </c>
      <c r="H323" s="40" t="str">
        <f t="shared" si="1280"/>
        <v/>
      </c>
      <c r="I323" s="40" t="str">
        <f t="shared" si="1280"/>
        <v/>
      </c>
      <c r="J323" s="40">
        <f t="shared" si="1280"/>
        <v>96379</v>
      </c>
      <c r="K323" s="40">
        <f t="shared" si="1280"/>
        <v>96379</v>
      </c>
      <c r="L323" s="41" t="str">
        <f t="shared" ref="L323" si="1281">IF(ISERROR(VLOOKUP(L322,$K$394:$W$428,9,FALSE)),"",VLOOKUP(L322,$K$394:$W$428,9,FALSE))</f>
        <v/>
      </c>
      <c r="M323" s="42"/>
      <c r="N323" s="294"/>
      <c r="O323" s="40" t="str">
        <f t="shared" ref="O323:R323" si="1282">IF(ISERROR(VLOOKUP(O322,$K$394:$W$428,9,FALSE)),"",VLOOKUP(O322,$K$394:$W$428,9,FALSE))</f>
        <v/>
      </c>
      <c r="P323" s="40" t="str">
        <f t="shared" si="1282"/>
        <v/>
      </c>
      <c r="Q323" s="40">
        <f t="shared" si="1282"/>
        <v>96379</v>
      </c>
      <c r="R323" s="40">
        <f t="shared" si="1282"/>
        <v>96379</v>
      </c>
      <c r="S323" s="41" t="str">
        <f t="shared" ref="S323" si="1283">IF(ISERROR(VLOOKUP(S322,$K$394:$W$428,9,FALSE)),"",VLOOKUP(S322,$K$394:$W$428,9,FALSE))</f>
        <v/>
      </c>
      <c r="T323" s="42"/>
      <c r="U323" s="147" t="str">
        <f t="shared" ref="U323:Y323" si="1284">IF(ISERROR(VLOOKUP(U322,$K$394:$W$428,9,FALSE)),"",VLOOKUP(U322,$K$394:$W$428,9,FALSE))</f>
        <v/>
      </c>
      <c r="V323" s="147" t="str">
        <f t="shared" si="1284"/>
        <v/>
      </c>
      <c r="W323" s="147" t="str">
        <f t="shared" si="1284"/>
        <v/>
      </c>
      <c r="X323" s="147">
        <f t="shared" si="1284"/>
        <v>96379</v>
      </c>
      <c r="Y323" s="147">
        <f t="shared" si="1284"/>
        <v>96379</v>
      </c>
      <c r="Z323" s="41" t="str">
        <f t="shared" ref="Z323" si="1285">IF(ISERROR(VLOOKUP(Z322,$K$394:$W$428,9,FALSE)),"",VLOOKUP(Z322,$K$394:$W$428,9,FALSE))</f>
        <v/>
      </c>
      <c r="AA323" s="42"/>
      <c r="AB323" s="147" t="str">
        <f t="shared" ref="AB323:AF323" si="1286">IF(ISERROR(VLOOKUP(AB322,$K$394:$W$428,9,FALSE)),"",VLOOKUP(AB322,$K$394:$W$428,9,FALSE))</f>
        <v/>
      </c>
      <c r="AC323" s="147" t="str">
        <f t="shared" si="1286"/>
        <v/>
      </c>
      <c r="AD323" s="147" t="str">
        <f t="shared" si="1286"/>
        <v/>
      </c>
      <c r="AE323" s="40" t="str">
        <f t="shared" si="1286"/>
        <v/>
      </c>
      <c r="AF323" s="40">
        <f t="shared" si="1286"/>
        <v>96379</v>
      </c>
      <c r="AG323" s="41" t="str">
        <f t="shared" ref="AG323" si="1287">IF(ISERROR(VLOOKUP(AG322,$K$394:$W$428,9,FALSE)),"",VLOOKUP(AG322,$K$394:$W$428,9,FALSE))</f>
        <v/>
      </c>
      <c r="AH323" s="97"/>
      <c r="AI323" s="73"/>
    </row>
    <row r="324" spans="1:35" ht="15" customHeight="1" outlineLevel="1">
      <c r="A324" s="293"/>
      <c r="B324" s="215" t="s">
        <v>22</v>
      </c>
      <c r="C324" s="37"/>
      <c r="D324" s="37"/>
      <c r="E324" s="99"/>
      <c r="F324" s="100"/>
      <c r="G324" s="98"/>
      <c r="H324" s="98"/>
      <c r="I324" s="98"/>
      <c r="J324" s="37"/>
      <c r="K324" s="37"/>
      <c r="L324" s="99"/>
      <c r="M324" s="100"/>
      <c r="N324" s="211"/>
      <c r="O324" s="98"/>
      <c r="P324" s="98"/>
      <c r="Q324" s="37"/>
      <c r="R324" s="37"/>
      <c r="S324" s="99"/>
      <c r="T324" s="100"/>
      <c r="U324" s="183"/>
      <c r="V324" s="183"/>
      <c r="W324" s="183"/>
      <c r="X324" s="146"/>
      <c r="Y324" s="146"/>
      <c r="Z324" s="99"/>
      <c r="AA324" s="100"/>
      <c r="AB324" s="183"/>
      <c r="AC324" s="183"/>
      <c r="AD324" s="183"/>
      <c r="AE324" s="98"/>
      <c r="AF324" s="98"/>
      <c r="AG324" s="99"/>
      <c r="AH324" s="93"/>
      <c r="AI324" s="73">
        <f>COUNTA($C324:$AG324)</f>
        <v>0</v>
      </c>
    </row>
    <row r="325" spans="1:35" ht="15.75" customHeight="1" outlineLevel="1">
      <c r="A325" s="295"/>
      <c r="B325" s="295"/>
      <c r="C325" s="43" t="str">
        <f t="shared" ref="C325:D325" si="1288">IF(ISERROR(VLOOKUP(C324,$K$394:$W$428,9,FALSE)),"",VLOOKUP(C324,$K$394:$W$428,9,FALSE))</f>
        <v/>
      </c>
      <c r="D325" s="43" t="str">
        <f t="shared" si="1288"/>
        <v/>
      </c>
      <c r="E325" s="44" t="str">
        <f t="shared" ref="E325" si="1289">IF(ISERROR(VLOOKUP(E324,$K$394:$W$428,9,FALSE)),"",VLOOKUP(E324,$K$394:$W$428,9,FALSE))</f>
        <v/>
      </c>
      <c r="F325" s="45"/>
      <c r="G325" s="43" t="str">
        <f t="shared" ref="G325:K325" si="1290">IF(ISERROR(VLOOKUP(G324,$K$394:$W$428,9,FALSE)),"",VLOOKUP(G324,$K$394:$W$428,9,FALSE))</f>
        <v/>
      </c>
      <c r="H325" s="43" t="str">
        <f t="shared" si="1290"/>
        <v/>
      </c>
      <c r="I325" s="43" t="str">
        <f t="shared" si="1290"/>
        <v/>
      </c>
      <c r="J325" s="43" t="str">
        <f t="shared" si="1290"/>
        <v/>
      </c>
      <c r="K325" s="43" t="str">
        <f t="shared" si="1290"/>
        <v/>
      </c>
      <c r="L325" s="44" t="str">
        <f t="shared" ref="L325" si="1291">IF(ISERROR(VLOOKUP(L324,$K$394:$W$428,9,FALSE)),"",VLOOKUP(L324,$K$394:$W$428,9,FALSE))</f>
        <v/>
      </c>
      <c r="M325" s="45"/>
      <c r="N325" s="295"/>
      <c r="O325" s="43" t="str">
        <f t="shared" ref="O325:R325" si="1292">IF(ISERROR(VLOOKUP(O324,$K$394:$W$428,9,FALSE)),"",VLOOKUP(O324,$K$394:$W$428,9,FALSE))</f>
        <v/>
      </c>
      <c r="P325" s="43" t="str">
        <f t="shared" si="1292"/>
        <v/>
      </c>
      <c r="Q325" s="43" t="str">
        <f t="shared" si="1292"/>
        <v/>
      </c>
      <c r="R325" s="43" t="str">
        <f t="shared" si="1292"/>
        <v/>
      </c>
      <c r="S325" s="44" t="str">
        <f t="shared" ref="S325" si="1293">IF(ISERROR(VLOOKUP(S324,$K$394:$W$428,9,FALSE)),"",VLOOKUP(S324,$K$394:$W$428,9,FALSE))</f>
        <v/>
      </c>
      <c r="T325" s="45"/>
      <c r="U325" s="184" t="str">
        <f t="shared" ref="U325:Y325" si="1294">IF(ISERROR(VLOOKUP(U324,$K$394:$W$428,9,FALSE)),"",VLOOKUP(U324,$K$394:$W$428,9,FALSE))</f>
        <v/>
      </c>
      <c r="V325" s="184" t="str">
        <f t="shared" si="1294"/>
        <v/>
      </c>
      <c r="W325" s="184" t="str">
        <f t="shared" si="1294"/>
        <v/>
      </c>
      <c r="X325" s="184" t="str">
        <f t="shared" si="1294"/>
        <v/>
      </c>
      <c r="Y325" s="184" t="str">
        <f t="shared" si="1294"/>
        <v/>
      </c>
      <c r="Z325" s="44" t="str">
        <f t="shared" ref="Z325" si="1295">IF(ISERROR(VLOOKUP(Z324,$K$394:$W$428,9,FALSE)),"",VLOOKUP(Z324,$K$394:$W$428,9,FALSE))</f>
        <v/>
      </c>
      <c r="AA325" s="45"/>
      <c r="AB325" s="184" t="str">
        <f t="shared" ref="AB325:AF325" si="1296">IF(ISERROR(VLOOKUP(AB324,$K$394:$W$428,9,FALSE)),"",VLOOKUP(AB324,$K$394:$W$428,9,FALSE))</f>
        <v/>
      </c>
      <c r="AC325" s="184" t="str">
        <f t="shared" si="1296"/>
        <v/>
      </c>
      <c r="AD325" s="184" t="str">
        <f t="shared" si="1296"/>
        <v/>
      </c>
      <c r="AE325" s="43" t="str">
        <f t="shared" si="1296"/>
        <v/>
      </c>
      <c r="AF325" s="43" t="str">
        <f t="shared" si="1296"/>
        <v/>
      </c>
      <c r="AG325" s="44" t="str">
        <f t="shared" ref="AG325" si="1297">IF(ISERROR(VLOOKUP(AG324,$K$394:$W$428,9,FALSE)),"",VLOOKUP(AG324,$K$394:$W$428,9,FALSE))</f>
        <v/>
      </c>
      <c r="AH325" s="97"/>
      <c r="AI325" s="73"/>
    </row>
    <row r="326" spans="1:35" ht="15.75" customHeight="1">
      <c r="A326" s="46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207" t="s">
        <v>57</v>
      </c>
      <c r="V326" s="206"/>
      <c r="W326" s="206"/>
      <c r="X326" s="206"/>
      <c r="Y326" s="206"/>
      <c r="Z326" s="1"/>
      <c r="AA326" s="1"/>
      <c r="AB326" s="207" t="s">
        <v>58</v>
      </c>
      <c r="AC326" s="206"/>
      <c r="AD326" s="206"/>
      <c r="AE326" s="1"/>
      <c r="AF326" s="1"/>
      <c r="AG326" s="1"/>
      <c r="AH326" s="21"/>
      <c r="AI326" s="70"/>
    </row>
    <row r="327" spans="1:35" ht="23.25" customHeight="1" outlineLevel="1">
      <c r="A327" s="218">
        <f>A295+31</f>
        <v>46327</v>
      </c>
      <c r="B327" s="219"/>
      <c r="C327" s="219"/>
      <c r="D327" s="219"/>
      <c r="E327" s="219"/>
      <c r="F327" s="219"/>
      <c r="G327" s="219"/>
      <c r="H327" s="219"/>
      <c r="I327" s="219"/>
      <c r="J327" s="219"/>
      <c r="K327" s="219"/>
      <c r="L327" s="219"/>
      <c r="M327" s="220"/>
      <c r="N327" s="213" t="s">
        <v>14</v>
      </c>
      <c r="O327" s="214"/>
      <c r="P327" s="214"/>
      <c r="Q327" s="214"/>
      <c r="R327" s="68">
        <v>19</v>
      </c>
      <c r="S327" s="212" t="s">
        <v>15</v>
      </c>
      <c r="T327" s="212"/>
      <c r="U327" s="212"/>
      <c r="V327" s="212"/>
      <c r="W327" s="69">
        <f>SUM(AI330:AI357)</f>
        <v>136</v>
      </c>
      <c r="X327" s="212" t="s">
        <v>16</v>
      </c>
      <c r="Y327" s="212"/>
      <c r="Z327" s="212"/>
      <c r="AA327" s="212"/>
      <c r="AB327" s="69">
        <f>IF($M$2="Mensalista",R327*8,IF($M$2="Horista",90,IF($M$2="Intermitente",(ROUNDDOWN((R327*8*0.909),0)),"")))</f>
        <v>152</v>
      </c>
      <c r="AC327" s="212" t="s">
        <v>17</v>
      </c>
      <c r="AD327" s="245"/>
      <c r="AE327" s="245"/>
      <c r="AF327" s="246">
        <f>IF($M$2="","",IF($M$2="RSA","",W327/AB327))</f>
        <v>0.89473684210526316</v>
      </c>
      <c r="AG327" s="289"/>
      <c r="AH327" s="101"/>
      <c r="AI327" s="72"/>
    </row>
    <row r="328" spans="1:35" ht="15.75" customHeight="1" outlineLevel="1">
      <c r="A328" s="217"/>
      <c r="B328" s="290"/>
      <c r="C328" s="34">
        <f>A327</f>
        <v>46327</v>
      </c>
      <c r="D328" s="32">
        <f t="shared" ref="D328:AF328" si="1298">C328+1</f>
        <v>46328</v>
      </c>
      <c r="E328" s="32">
        <f t="shared" si="1298"/>
        <v>46329</v>
      </c>
      <c r="F328" s="32">
        <f t="shared" si="1298"/>
        <v>46330</v>
      </c>
      <c r="G328" s="32">
        <f t="shared" si="1298"/>
        <v>46331</v>
      </c>
      <c r="H328" s="32">
        <f t="shared" si="1298"/>
        <v>46332</v>
      </c>
      <c r="I328" s="33">
        <f t="shared" si="1298"/>
        <v>46333</v>
      </c>
      <c r="J328" s="34">
        <f t="shared" si="1298"/>
        <v>46334</v>
      </c>
      <c r="K328" s="32">
        <f t="shared" si="1298"/>
        <v>46335</v>
      </c>
      <c r="L328" s="32">
        <f t="shared" si="1298"/>
        <v>46336</v>
      </c>
      <c r="M328" s="32">
        <f t="shared" si="1298"/>
        <v>46337</v>
      </c>
      <c r="N328" s="32">
        <f t="shared" si="1298"/>
        <v>46338</v>
      </c>
      <c r="O328" s="32">
        <f t="shared" si="1298"/>
        <v>46339</v>
      </c>
      <c r="P328" s="33">
        <f t="shared" si="1298"/>
        <v>46340</v>
      </c>
      <c r="Q328" s="34">
        <f t="shared" si="1298"/>
        <v>46341</v>
      </c>
      <c r="R328" s="32">
        <f t="shared" si="1298"/>
        <v>46342</v>
      </c>
      <c r="S328" s="32">
        <f t="shared" si="1298"/>
        <v>46343</v>
      </c>
      <c r="T328" s="32">
        <f t="shared" si="1298"/>
        <v>46344</v>
      </c>
      <c r="U328" s="32">
        <f t="shared" si="1298"/>
        <v>46345</v>
      </c>
      <c r="V328" s="32">
        <f t="shared" si="1298"/>
        <v>46346</v>
      </c>
      <c r="W328" s="33">
        <f t="shared" si="1298"/>
        <v>46347</v>
      </c>
      <c r="X328" s="34">
        <f t="shared" si="1298"/>
        <v>46348</v>
      </c>
      <c r="Y328" s="32">
        <f t="shared" si="1298"/>
        <v>46349</v>
      </c>
      <c r="Z328" s="32">
        <f t="shared" si="1298"/>
        <v>46350</v>
      </c>
      <c r="AA328" s="32">
        <f t="shared" si="1298"/>
        <v>46351</v>
      </c>
      <c r="AB328" s="32">
        <f t="shared" si="1298"/>
        <v>46352</v>
      </c>
      <c r="AC328" s="32">
        <f t="shared" si="1298"/>
        <v>46353</v>
      </c>
      <c r="AD328" s="33">
        <f t="shared" si="1298"/>
        <v>46354</v>
      </c>
      <c r="AE328" s="34">
        <f t="shared" si="1298"/>
        <v>46355</v>
      </c>
      <c r="AF328" s="32">
        <f t="shared" si="1298"/>
        <v>46356</v>
      </c>
      <c r="AG328" s="247"/>
      <c r="AH328" s="90"/>
      <c r="AI328" s="73"/>
    </row>
    <row r="329" spans="1:35" ht="15.75" customHeight="1" outlineLevel="1">
      <c r="A329" s="291"/>
      <c r="B329" s="292"/>
      <c r="C329" s="36">
        <f>A327</f>
        <v>46327</v>
      </c>
      <c r="D329" s="91">
        <f t="shared" ref="D329:AF329" si="1299">C329+1</f>
        <v>46328</v>
      </c>
      <c r="E329" s="91">
        <f t="shared" si="1299"/>
        <v>46329</v>
      </c>
      <c r="F329" s="91">
        <f t="shared" si="1299"/>
        <v>46330</v>
      </c>
      <c r="G329" s="91">
        <f t="shared" si="1299"/>
        <v>46331</v>
      </c>
      <c r="H329" s="91">
        <f t="shared" si="1299"/>
        <v>46332</v>
      </c>
      <c r="I329" s="35">
        <f t="shared" si="1299"/>
        <v>46333</v>
      </c>
      <c r="J329" s="36">
        <f t="shared" si="1299"/>
        <v>46334</v>
      </c>
      <c r="K329" s="91">
        <f t="shared" si="1299"/>
        <v>46335</v>
      </c>
      <c r="L329" s="91">
        <f t="shared" si="1299"/>
        <v>46336</v>
      </c>
      <c r="M329" s="91">
        <f t="shared" si="1299"/>
        <v>46337</v>
      </c>
      <c r="N329" s="91">
        <f t="shared" si="1299"/>
        <v>46338</v>
      </c>
      <c r="O329" s="91">
        <f t="shared" si="1299"/>
        <v>46339</v>
      </c>
      <c r="P329" s="35">
        <f t="shared" si="1299"/>
        <v>46340</v>
      </c>
      <c r="Q329" s="36">
        <f t="shared" si="1299"/>
        <v>46341</v>
      </c>
      <c r="R329" s="91">
        <f t="shared" si="1299"/>
        <v>46342</v>
      </c>
      <c r="S329" s="91">
        <f t="shared" si="1299"/>
        <v>46343</v>
      </c>
      <c r="T329" s="91">
        <f t="shared" si="1299"/>
        <v>46344</v>
      </c>
      <c r="U329" s="91">
        <f t="shared" si="1299"/>
        <v>46345</v>
      </c>
      <c r="V329" s="91">
        <f t="shared" si="1299"/>
        <v>46346</v>
      </c>
      <c r="W329" s="35">
        <f t="shared" si="1299"/>
        <v>46347</v>
      </c>
      <c r="X329" s="36">
        <f t="shared" si="1299"/>
        <v>46348</v>
      </c>
      <c r="Y329" s="91">
        <f t="shared" si="1299"/>
        <v>46349</v>
      </c>
      <c r="Z329" s="91">
        <f t="shared" si="1299"/>
        <v>46350</v>
      </c>
      <c r="AA329" s="91">
        <f t="shared" si="1299"/>
        <v>46351</v>
      </c>
      <c r="AB329" s="91">
        <f t="shared" si="1299"/>
        <v>46352</v>
      </c>
      <c r="AC329" s="91">
        <f t="shared" si="1299"/>
        <v>46353</v>
      </c>
      <c r="AD329" s="35">
        <f t="shared" si="1299"/>
        <v>46354</v>
      </c>
      <c r="AE329" s="36">
        <f t="shared" si="1299"/>
        <v>46355</v>
      </c>
      <c r="AF329" s="91">
        <f t="shared" si="1299"/>
        <v>46356</v>
      </c>
      <c r="AG329" s="299"/>
      <c r="AH329" s="92"/>
      <c r="AI329" s="72"/>
    </row>
    <row r="330" spans="1:35" ht="15" customHeight="1" outlineLevel="1">
      <c r="A330" s="222" t="s">
        <v>18</v>
      </c>
      <c r="B330" s="215" t="s">
        <v>19</v>
      </c>
      <c r="C330" s="39"/>
      <c r="D330" s="211"/>
      <c r="E330" s="182" t="s">
        <v>46</v>
      </c>
      <c r="F330" s="182" t="s">
        <v>46</v>
      </c>
      <c r="G330" s="182" t="s">
        <v>46</v>
      </c>
      <c r="H330" s="37"/>
      <c r="I330" s="38"/>
      <c r="J330" s="39"/>
      <c r="K330" s="182" t="s">
        <v>46</v>
      </c>
      <c r="L330" s="182" t="s">
        <v>46</v>
      </c>
      <c r="M330" s="148" t="s">
        <v>47</v>
      </c>
      <c r="N330" s="148" t="s">
        <v>47</v>
      </c>
      <c r="O330" s="37"/>
      <c r="P330" s="38"/>
      <c r="Q330" s="39"/>
      <c r="R330" s="182" t="s">
        <v>46</v>
      </c>
      <c r="S330" s="182" t="s">
        <v>46</v>
      </c>
      <c r="T330" s="148" t="s">
        <v>47</v>
      </c>
      <c r="U330" s="148" t="s">
        <v>47</v>
      </c>
      <c r="V330" s="211"/>
      <c r="W330" s="38"/>
      <c r="X330" s="39"/>
      <c r="Y330" s="182" t="s">
        <v>46</v>
      </c>
      <c r="Z330" s="182" t="s">
        <v>46</v>
      </c>
      <c r="AA330" s="148" t="s">
        <v>47</v>
      </c>
      <c r="AB330" s="148" t="s">
        <v>47</v>
      </c>
      <c r="AC330" s="37"/>
      <c r="AD330" s="38"/>
      <c r="AE330" s="39"/>
      <c r="AF330" s="37"/>
      <c r="AG330" s="299"/>
      <c r="AH330" s="93"/>
      <c r="AI330" s="73">
        <f>COUNTA($C330:$AF330)</f>
        <v>15</v>
      </c>
    </row>
    <row r="331" spans="1:35" ht="15.75" customHeight="1" outlineLevel="1">
      <c r="A331" s="221"/>
      <c r="B331" s="293"/>
      <c r="C331" s="96"/>
      <c r="D331" s="294"/>
      <c r="E331" s="94">
        <f t="shared" ref="E331:F331" si="1300">IF(ISERROR(VLOOKUP(E330,$K$394:$W$428,9,FALSE)),"",VLOOKUP(E330,$K$394:$W$428,9,FALSE))</f>
        <v>202629</v>
      </c>
      <c r="F331" s="94">
        <f t="shared" si="1300"/>
        <v>202629</v>
      </c>
      <c r="G331" s="94">
        <f t="shared" ref="G331" si="1301">IF(ISERROR(VLOOKUP(G330,$K$394:$W$428,9,FALSE)),"",VLOOKUP(G330,$K$394:$W$428,9,FALSE))</f>
        <v>202629</v>
      </c>
      <c r="H331" s="94" t="str">
        <f t="shared" ref="H331" si="1302">IF(ISERROR(VLOOKUP(H330,$K$394:$W$428,9,FALSE)),"",VLOOKUP(H330,$K$394:$W$428,9,FALSE))</f>
        <v/>
      </c>
      <c r="I331" s="95" t="str">
        <f t="shared" ref="I331" si="1303">IF(ISERROR(VLOOKUP(I330,$K$394:$W$428,9,FALSE)),"",VLOOKUP(I330,$K$394:$W$428,9,FALSE))</f>
        <v/>
      </c>
      <c r="J331" s="96"/>
      <c r="K331" s="94">
        <f t="shared" ref="K331:N331" si="1304">IF(ISERROR(VLOOKUP(K330,$K$394:$W$428,9,FALSE)),"",VLOOKUP(K330,$K$394:$W$428,9,FALSE))</f>
        <v>202629</v>
      </c>
      <c r="L331" s="94">
        <f t="shared" si="1304"/>
        <v>202629</v>
      </c>
      <c r="M331" s="94">
        <f t="shared" si="1304"/>
        <v>202629</v>
      </c>
      <c r="N331" s="94">
        <f t="shared" si="1304"/>
        <v>202629</v>
      </c>
      <c r="O331" s="94" t="str">
        <f t="shared" ref="O331" si="1305">IF(ISERROR(VLOOKUP(O330,$K$394:$W$428,9,FALSE)),"",VLOOKUP(O330,$K$394:$W$428,9,FALSE))</f>
        <v/>
      </c>
      <c r="P331" s="95" t="str">
        <f t="shared" ref="P331" si="1306">IF(ISERROR(VLOOKUP(P330,$K$394:$W$428,9,FALSE)),"",VLOOKUP(P330,$K$394:$W$428,9,FALSE))</f>
        <v/>
      </c>
      <c r="Q331" s="96"/>
      <c r="R331" s="94">
        <f t="shared" ref="R331:U331" si="1307">IF(ISERROR(VLOOKUP(R330,$K$394:$W$428,9,FALSE)),"",VLOOKUP(R330,$K$394:$W$428,9,FALSE))</f>
        <v>202629</v>
      </c>
      <c r="S331" s="94">
        <f t="shared" si="1307"/>
        <v>202629</v>
      </c>
      <c r="T331" s="94">
        <f t="shared" si="1307"/>
        <v>202629</v>
      </c>
      <c r="U331" s="94">
        <f t="shared" si="1307"/>
        <v>202629</v>
      </c>
      <c r="V331" s="294"/>
      <c r="W331" s="95" t="str">
        <f t="shared" ref="W331" si="1308">IF(ISERROR(VLOOKUP(W330,$K$394:$W$428,9,FALSE)),"",VLOOKUP(W330,$K$394:$W$428,9,FALSE))</f>
        <v/>
      </c>
      <c r="X331" s="96"/>
      <c r="Y331" s="94">
        <f t="shared" ref="Y331:AB331" si="1309">IF(ISERROR(VLOOKUP(Y330,$K$394:$W$428,9,FALSE)),"",VLOOKUP(Y330,$K$394:$W$428,9,FALSE))</f>
        <v>202629</v>
      </c>
      <c r="Z331" s="94">
        <f t="shared" si="1309"/>
        <v>202629</v>
      </c>
      <c r="AA331" s="94">
        <f t="shared" si="1309"/>
        <v>202629</v>
      </c>
      <c r="AB331" s="94">
        <f t="shared" si="1309"/>
        <v>202629</v>
      </c>
      <c r="AC331" s="94" t="str">
        <f t="shared" ref="AC331" si="1310">IF(ISERROR(VLOOKUP(AC330,$K$394:$W$428,9,FALSE)),"",VLOOKUP(AC330,$K$394:$W$428,9,FALSE))</f>
        <v/>
      </c>
      <c r="AD331" s="95" t="str">
        <f t="shared" ref="AD331" si="1311">IF(ISERROR(VLOOKUP(AD330,$K$394:$W$428,9,FALSE)),"",VLOOKUP(AD330,$K$394:$W$428,9,FALSE))</f>
        <v/>
      </c>
      <c r="AE331" s="96"/>
      <c r="AF331" s="94" t="str">
        <f>IF(ISERROR(VLOOKUP(AF330,$K$394:$W$428,9,FALSE)),"",VLOOKUP(AF330,$K$394:$W$428,9,FALSE))</f>
        <v/>
      </c>
      <c r="AG331" s="299"/>
      <c r="AH331" s="97"/>
      <c r="AI331" s="73"/>
    </row>
    <row r="332" spans="1:35" ht="14.45" outlineLevel="1">
      <c r="A332" s="221"/>
      <c r="B332" s="216" t="s">
        <v>20</v>
      </c>
      <c r="C332" s="39"/>
      <c r="D332" s="211"/>
      <c r="E332" s="182" t="s">
        <v>46</v>
      </c>
      <c r="F332" s="182" t="s">
        <v>46</v>
      </c>
      <c r="G332" s="182" t="s">
        <v>46</v>
      </c>
      <c r="H332" s="37"/>
      <c r="I332" s="196" t="s">
        <v>50</v>
      </c>
      <c r="J332" s="39"/>
      <c r="K332" s="182" t="s">
        <v>46</v>
      </c>
      <c r="L332" s="182" t="s">
        <v>46</v>
      </c>
      <c r="M332" s="148" t="s">
        <v>47</v>
      </c>
      <c r="N332" s="148" t="s">
        <v>47</v>
      </c>
      <c r="O332" s="37"/>
      <c r="P332" s="199" t="s">
        <v>51</v>
      </c>
      <c r="Q332" s="39"/>
      <c r="R332" s="182" t="s">
        <v>46</v>
      </c>
      <c r="S332" s="182" t="s">
        <v>46</v>
      </c>
      <c r="T332" s="148" t="s">
        <v>47</v>
      </c>
      <c r="U332" s="148" t="s">
        <v>47</v>
      </c>
      <c r="V332" s="211"/>
      <c r="W332" s="38"/>
      <c r="X332" s="39"/>
      <c r="Y332" s="182" t="s">
        <v>46</v>
      </c>
      <c r="Z332" s="182" t="s">
        <v>46</v>
      </c>
      <c r="AA332" s="148" t="s">
        <v>47</v>
      </c>
      <c r="AB332" s="148" t="s">
        <v>47</v>
      </c>
      <c r="AC332" s="37"/>
      <c r="AD332" s="196" t="s">
        <v>50</v>
      </c>
      <c r="AE332" s="39"/>
      <c r="AF332" s="37"/>
      <c r="AG332" s="299"/>
      <c r="AH332" s="93"/>
      <c r="AI332" s="73">
        <f>COUNTA($C332:$AF332)</f>
        <v>18</v>
      </c>
    </row>
    <row r="333" spans="1:35" ht="15.75" customHeight="1" outlineLevel="1">
      <c r="A333" s="221"/>
      <c r="B333" s="294"/>
      <c r="C333" s="96"/>
      <c r="D333" s="294"/>
      <c r="E333" s="94">
        <f t="shared" ref="E333:F333" si="1312">IF(ISERROR(VLOOKUP(E332,$K$394:$W$428,9,FALSE)),"",VLOOKUP(E332,$K$394:$W$428,9,FALSE))</f>
        <v>202629</v>
      </c>
      <c r="F333" s="94">
        <f t="shared" si="1312"/>
        <v>202629</v>
      </c>
      <c r="G333" s="94">
        <f t="shared" ref="G333" si="1313">IF(ISERROR(VLOOKUP(G332,$K$394:$W$428,9,FALSE)),"",VLOOKUP(G332,$K$394:$W$428,9,FALSE))</f>
        <v>202629</v>
      </c>
      <c r="H333" s="40" t="str">
        <f t="shared" ref="H333:I333" si="1314">IF(ISERROR(VLOOKUP(H332,$K$394:$W$428,9,FALSE)),"",VLOOKUP(H332,$K$394:$W$428,9,FALSE))</f>
        <v/>
      </c>
      <c r="I333" s="191">
        <f t="shared" si="1314"/>
        <v>96379</v>
      </c>
      <c r="J333" s="96"/>
      <c r="K333" s="94">
        <f t="shared" ref="K333:N333" si="1315">IF(ISERROR(VLOOKUP(K332,$K$394:$W$428,9,FALSE)),"",VLOOKUP(K332,$K$394:$W$428,9,FALSE))</f>
        <v>202629</v>
      </c>
      <c r="L333" s="94">
        <f t="shared" si="1315"/>
        <v>202629</v>
      </c>
      <c r="M333" s="40">
        <f t="shared" si="1315"/>
        <v>202629</v>
      </c>
      <c r="N333" s="40">
        <f t="shared" si="1315"/>
        <v>202629</v>
      </c>
      <c r="O333" s="40" t="str">
        <f t="shared" ref="O333:P333" si="1316">IF(ISERROR(VLOOKUP(O332,$K$394:$W$428,9,FALSE)),"",VLOOKUP(O332,$K$394:$W$428,9,FALSE))</f>
        <v/>
      </c>
      <c r="P333" s="191">
        <f t="shared" si="1316"/>
        <v>96379</v>
      </c>
      <c r="Q333" s="96"/>
      <c r="R333" s="94">
        <f t="shared" ref="R333:U333" si="1317">IF(ISERROR(VLOOKUP(R332,$K$394:$W$428,9,FALSE)),"",VLOOKUP(R332,$K$394:$W$428,9,FALSE))</f>
        <v>202629</v>
      </c>
      <c r="S333" s="94">
        <f t="shared" si="1317"/>
        <v>202629</v>
      </c>
      <c r="T333" s="40">
        <f t="shared" si="1317"/>
        <v>202629</v>
      </c>
      <c r="U333" s="40">
        <f t="shared" si="1317"/>
        <v>202629</v>
      </c>
      <c r="V333" s="294"/>
      <c r="W333" s="95" t="str">
        <f t="shared" ref="W333" si="1318">IF(ISERROR(VLOOKUP(W332,$K$394:$W$428,9,FALSE)),"",VLOOKUP(W332,$K$394:$W$428,9,FALSE))</f>
        <v/>
      </c>
      <c r="X333" s="96"/>
      <c r="Y333" s="94">
        <f t="shared" ref="Y333:AB333" si="1319">IF(ISERROR(VLOOKUP(Y332,$K$394:$W$428,9,FALSE)),"",VLOOKUP(Y332,$K$394:$W$428,9,FALSE))</f>
        <v>202629</v>
      </c>
      <c r="Z333" s="94">
        <f t="shared" si="1319"/>
        <v>202629</v>
      </c>
      <c r="AA333" s="40">
        <f t="shared" si="1319"/>
        <v>202629</v>
      </c>
      <c r="AB333" s="40">
        <f t="shared" si="1319"/>
        <v>202629</v>
      </c>
      <c r="AC333" s="40" t="str">
        <f t="shared" ref="AC333:AD333" si="1320">IF(ISERROR(VLOOKUP(AC332,$K$394:$W$428,9,FALSE)),"",VLOOKUP(AC332,$K$394:$W$428,9,FALSE))</f>
        <v/>
      </c>
      <c r="AD333" s="191">
        <f t="shared" si="1320"/>
        <v>96379</v>
      </c>
      <c r="AE333" s="96"/>
      <c r="AF333" s="94" t="str">
        <f>IF(ISERROR(VLOOKUP(AF332,$K$394:$W$428,9,FALSE)),"",VLOOKUP(AF332,$K$394:$W$428,9,FALSE))</f>
        <v/>
      </c>
      <c r="AG333" s="299"/>
      <c r="AH333" s="97"/>
      <c r="AI333" s="73"/>
    </row>
    <row r="334" spans="1:35" ht="15" customHeight="1" outlineLevel="1">
      <c r="A334" s="221"/>
      <c r="B334" s="216" t="s">
        <v>21</v>
      </c>
      <c r="C334" s="39"/>
      <c r="D334" s="211"/>
      <c r="E334" s="182" t="s">
        <v>46</v>
      </c>
      <c r="F334" s="182" t="s">
        <v>46</v>
      </c>
      <c r="G334" s="182" t="s">
        <v>46</v>
      </c>
      <c r="H334" s="37"/>
      <c r="I334" s="196" t="s">
        <v>50</v>
      </c>
      <c r="J334" s="39"/>
      <c r="K334" s="182" t="s">
        <v>46</v>
      </c>
      <c r="L334" s="182" t="s">
        <v>46</v>
      </c>
      <c r="M334" s="148" t="s">
        <v>47</v>
      </c>
      <c r="N334" s="148" t="s">
        <v>47</v>
      </c>
      <c r="O334" s="37"/>
      <c r="P334" s="199" t="s">
        <v>51</v>
      </c>
      <c r="Q334" s="39"/>
      <c r="R334" s="182" t="s">
        <v>46</v>
      </c>
      <c r="S334" s="182" t="s">
        <v>46</v>
      </c>
      <c r="T334" s="148" t="s">
        <v>47</v>
      </c>
      <c r="U334" s="148" t="s">
        <v>47</v>
      </c>
      <c r="V334" s="211"/>
      <c r="W334" s="38"/>
      <c r="X334" s="39"/>
      <c r="Y334" s="182" t="s">
        <v>46</v>
      </c>
      <c r="Z334" s="182" t="s">
        <v>46</v>
      </c>
      <c r="AA334" s="148" t="s">
        <v>47</v>
      </c>
      <c r="AB334" s="148" t="s">
        <v>47</v>
      </c>
      <c r="AC334" s="37"/>
      <c r="AD334" s="196" t="s">
        <v>50</v>
      </c>
      <c r="AE334" s="39"/>
      <c r="AF334" s="37"/>
      <c r="AG334" s="299"/>
      <c r="AH334" s="93"/>
      <c r="AI334" s="73">
        <f>COUNTA($C334:$AF334)</f>
        <v>18</v>
      </c>
    </row>
    <row r="335" spans="1:35" ht="15.75" customHeight="1" outlineLevel="1">
      <c r="A335" s="221"/>
      <c r="B335" s="294"/>
      <c r="C335" s="42"/>
      <c r="D335" s="294"/>
      <c r="E335" s="40">
        <f t="shared" ref="E335:F335" si="1321">IF(ISERROR(VLOOKUP(E334,$K$394:$W$428,9,FALSE)),"",VLOOKUP(E334,$K$394:$W$428,9,FALSE))</f>
        <v>202629</v>
      </c>
      <c r="F335" s="40">
        <f t="shared" si="1321"/>
        <v>202629</v>
      </c>
      <c r="G335" s="40">
        <f t="shared" ref="G335" si="1322">IF(ISERROR(VLOOKUP(G334,$K$394:$W$428,9,FALSE)),"",VLOOKUP(G334,$K$394:$W$428,9,FALSE))</f>
        <v>202629</v>
      </c>
      <c r="H335" s="94" t="str">
        <f t="shared" ref="H335:I335" si="1323">IF(ISERROR(VLOOKUP(H334,$K$394:$W$428,9,FALSE)),"",VLOOKUP(H334,$K$394:$W$428,9,FALSE))</f>
        <v/>
      </c>
      <c r="I335" s="197">
        <f t="shared" si="1323"/>
        <v>96379</v>
      </c>
      <c r="J335" s="42"/>
      <c r="K335" s="40">
        <f t="shared" ref="K335:N335" si="1324">IF(ISERROR(VLOOKUP(K334,$K$394:$W$428,9,FALSE)),"",VLOOKUP(K334,$K$394:$W$428,9,FALSE))</f>
        <v>202629</v>
      </c>
      <c r="L335" s="40">
        <f t="shared" si="1324"/>
        <v>202629</v>
      </c>
      <c r="M335" s="94">
        <f t="shared" si="1324"/>
        <v>202629</v>
      </c>
      <c r="N335" s="94">
        <f t="shared" si="1324"/>
        <v>202629</v>
      </c>
      <c r="O335" s="94" t="str">
        <f t="shared" ref="O335:P335" si="1325">IF(ISERROR(VLOOKUP(O334,$K$394:$W$428,9,FALSE)),"",VLOOKUP(O334,$K$394:$W$428,9,FALSE))</f>
        <v/>
      </c>
      <c r="P335" s="197">
        <f t="shared" si="1325"/>
        <v>96379</v>
      </c>
      <c r="Q335" s="42"/>
      <c r="R335" s="40">
        <f t="shared" ref="R335:U335" si="1326">IF(ISERROR(VLOOKUP(R334,$K$394:$W$428,9,FALSE)),"",VLOOKUP(R334,$K$394:$W$428,9,FALSE))</f>
        <v>202629</v>
      </c>
      <c r="S335" s="40">
        <f t="shared" si="1326"/>
        <v>202629</v>
      </c>
      <c r="T335" s="94">
        <f t="shared" si="1326"/>
        <v>202629</v>
      </c>
      <c r="U335" s="94">
        <f t="shared" si="1326"/>
        <v>202629</v>
      </c>
      <c r="V335" s="294"/>
      <c r="W335" s="41" t="str">
        <f t="shared" ref="W335" si="1327">IF(ISERROR(VLOOKUP(W334,$K$394:$W$428,9,FALSE)),"",VLOOKUP(W334,$K$394:$W$428,9,FALSE))</f>
        <v/>
      </c>
      <c r="X335" s="42"/>
      <c r="Y335" s="40">
        <f t="shared" ref="Y335:AB335" si="1328">IF(ISERROR(VLOOKUP(Y334,$K$394:$W$428,9,FALSE)),"",VLOOKUP(Y334,$K$394:$W$428,9,FALSE))</f>
        <v>202629</v>
      </c>
      <c r="Z335" s="40">
        <f t="shared" si="1328"/>
        <v>202629</v>
      </c>
      <c r="AA335" s="94">
        <f t="shared" si="1328"/>
        <v>202629</v>
      </c>
      <c r="AB335" s="94">
        <f t="shared" si="1328"/>
        <v>202629</v>
      </c>
      <c r="AC335" s="94" t="str">
        <f t="shared" ref="AC335:AD335" si="1329">IF(ISERROR(VLOOKUP(AC334,$K$394:$W$428,9,FALSE)),"",VLOOKUP(AC334,$K$394:$W$428,9,FALSE))</f>
        <v/>
      </c>
      <c r="AD335" s="197">
        <f t="shared" si="1329"/>
        <v>96379</v>
      </c>
      <c r="AE335" s="42"/>
      <c r="AF335" s="40" t="str">
        <f>IF(ISERROR(VLOOKUP(AF334,$K$394:$W$428,9,FALSE)),"",VLOOKUP(AF334,$K$394:$W$428,9,FALSE))</f>
        <v/>
      </c>
      <c r="AG335" s="299"/>
      <c r="AH335" s="97"/>
      <c r="AI335" s="73"/>
    </row>
    <row r="336" spans="1:35" ht="15" customHeight="1" outlineLevel="1">
      <c r="A336" s="221"/>
      <c r="B336" s="216" t="s">
        <v>22</v>
      </c>
      <c r="C336" s="39"/>
      <c r="D336" s="211"/>
      <c r="E336" s="182" t="s">
        <v>46</v>
      </c>
      <c r="F336" s="182" t="s">
        <v>46</v>
      </c>
      <c r="G336" s="182" t="s">
        <v>46</v>
      </c>
      <c r="H336" s="37"/>
      <c r="I336" s="196" t="s">
        <v>50</v>
      </c>
      <c r="J336" s="39"/>
      <c r="K336" s="182" t="s">
        <v>46</v>
      </c>
      <c r="L336" s="182" t="s">
        <v>46</v>
      </c>
      <c r="M336" s="148" t="s">
        <v>47</v>
      </c>
      <c r="N336" s="148" t="s">
        <v>47</v>
      </c>
      <c r="O336" s="37"/>
      <c r="P336" s="199" t="s">
        <v>51</v>
      </c>
      <c r="Q336" s="39"/>
      <c r="R336" s="182" t="s">
        <v>46</v>
      </c>
      <c r="S336" s="182" t="s">
        <v>46</v>
      </c>
      <c r="T336" s="148" t="s">
        <v>47</v>
      </c>
      <c r="U336" s="148" t="s">
        <v>47</v>
      </c>
      <c r="V336" s="211"/>
      <c r="W336" s="38"/>
      <c r="X336" s="39"/>
      <c r="Y336" s="182" t="s">
        <v>46</v>
      </c>
      <c r="Z336" s="182" t="s">
        <v>46</v>
      </c>
      <c r="AA336" s="148" t="s">
        <v>47</v>
      </c>
      <c r="AB336" s="148" t="s">
        <v>47</v>
      </c>
      <c r="AC336" s="37"/>
      <c r="AD336" s="196" t="s">
        <v>50</v>
      </c>
      <c r="AE336" s="39"/>
      <c r="AF336" s="37"/>
      <c r="AG336" s="299"/>
      <c r="AH336" s="93"/>
      <c r="AI336" s="73">
        <f>COUNTA($C336:$AF336)</f>
        <v>18</v>
      </c>
    </row>
    <row r="337" spans="1:35" ht="15.75" customHeight="1" outlineLevel="1">
      <c r="A337" s="221"/>
      <c r="B337" s="294"/>
      <c r="C337" s="96"/>
      <c r="D337" s="294"/>
      <c r="E337" s="94">
        <f t="shared" ref="E337:F337" si="1330">IF(ISERROR(VLOOKUP(E336,$K$394:$W$428,9,FALSE)),"",VLOOKUP(E336,$K$394:$W$428,9,FALSE))</f>
        <v>202629</v>
      </c>
      <c r="F337" s="94">
        <f t="shared" si="1330"/>
        <v>202629</v>
      </c>
      <c r="G337" s="94">
        <f t="shared" ref="G337" si="1331">IF(ISERROR(VLOOKUP(G336,$K$394:$W$428,9,FALSE)),"",VLOOKUP(G336,$K$394:$W$428,9,FALSE))</f>
        <v>202629</v>
      </c>
      <c r="H337" s="94" t="str">
        <f t="shared" ref="H337:I337" si="1332">IF(ISERROR(VLOOKUP(H336,$K$394:$W$428,9,FALSE)),"",VLOOKUP(H336,$K$394:$W$428,9,FALSE))</f>
        <v/>
      </c>
      <c r="I337" s="191">
        <f t="shared" si="1332"/>
        <v>96379</v>
      </c>
      <c r="J337" s="96"/>
      <c r="K337" s="94">
        <f t="shared" ref="K337:N337" si="1333">IF(ISERROR(VLOOKUP(K336,$K$394:$W$428,9,FALSE)),"",VLOOKUP(K336,$K$394:$W$428,9,FALSE))</f>
        <v>202629</v>
      </c>
      <c r="L337" s="94">
        <f t="shared" si="1333"/>
        <v>202629</v>
      </c>
      <c r="M337" s="94">
        <f t="shared" si="1333"/>
        <v>202629</v>
      </c>
      <c r="N337" s="94">
        <f t="shared" si="1333"/>
        <v>202629</v>
      </c>
      <c r="O337" s="94" t="str">
        <f t="shared" ref="O337:P337" si="1334">IF(ISERROR(VLOOKUP(O336,$K$394:$W$428,9,FALSE)),"",VLOOKUP(O336,$K$394:$W$428,9,FALSE))</f>
        <v/>
      </c>
      <c r="P337" s="191">
        <f t="shared" si="1334"/>
        <v>96379</v>
      </c>
      <c r="Q337" s="96"/>
      <c r="R337" s="94">
        <f t="shared" ref="R337:U337" si="1335">IF(ISERROR(VLOOKUP(R336,$K$394:$W$428,9,FALSE)),"",VLOOKUP(R336,$K$394:$W$428,9,FALSE))</f>
        <v>202629</v>
      </c>
      <c r="S337" s="94">
        <f t="shared" si="1335"/>
        <v>202629</v>
      </c>
      <c r="T337" s="94">
        <f t="shared" si="1335"/>
        <v>202629</v>
      </c>
      <c r="U337" s="94">
        <f t="shared" si="1335"/>
        <v>202629</v>
      </c>
      <c r="V337" s="294"/>
      <c r="W337" s="95" t="str">
        <f t="shared" ref="W337" si="1336">IF(ISERROR(VLOOKUP(W336,$K$394:$W$428,9,FALSE)),"",VLOOKUP(W336,$K$394:$W$428,9,FALSE))</f>
        <v/>
      </c>
      <c r="X337" s="96"/>
      <c r="Y337" s="94">
        <f t="shared" ref="Y337:AB337" si="1337">IF(ISERROR(VLOOKUP(Y336,$K$394:$W$428,9,FALSE)),"",VLOOKUP(Y336,$K$394:$W$428,9,FALSE))</f>
        <v>202629</v>
      </c>
      <c r="Z337" s="94">
        <f t="shared" si="1337"/>
        <v>202629</v>
      </c>
      <c r="AA337" s="94">
        <f t="shared" si="1337"/>
        <v>202629</v>
      </c>
      <c r="AB337" s="94">
        <f t="shared" si="1337"/>
        <v>202629</v>
      </c>
      <c r="AC337" s="94" t="str">
        <f t="shared" ref="AC337:AD337" si="1338">IF(ISERROR(VLOOKUP(AC336,$K$394:$W$428,9,FALSE)),"",VLOOKUP(AC336,$K$394:$W$428,9,FALSE))</f>
        <v/>
      </c>
      <c r="AD337" s="191">
        <f t="shared" si="1338"/>
        <v>96379</v>
      </c>
      <c r="AE337" s="96"/>
      <c r="AF337" s="94" t="str">
        <f>IF(ISERROR(VLOOKUP(AF336,$K$394:$W$428,9,FALSE)),"",VLOOKUP(AF336,$K$394:$W$428,9,FALSE))</f>
        <v/>
      </c>
      <c r="AG337" s="299"/>
      <c r="AH337" s="97"/>
      <c r="AI337" s="73"/>
    </row>
    <row r="338" spans="1:35" ht="15" customHeight="1" outlineLevel="1">
      <c r="A338" s="221"/>
      <c r="B338" s="216" t="s">
        <v>23</v>
      </c>
      <c r="C338" s="39"/>
      <c r="D338" s="211"/>
      <c r="E338" s="37"/>
      <c r="F338" s="37"/>
      <c r="G338" s="37"/>
      <c r="H338" s="37"/>
      <c r="I338" s="38"/>
      <c r="J338" s="39"/>
      <c r="K338" s="37"/>
      <c r="L338" s="37"/>
      <c r="M338" s="37"/>
      <c r="N338" s="37"/>
      <c r="O338" s="37"/>
      <c r="P338" s="38"/>
      <c r="Q338" s="39"/>
      <c r="R338" s="37"/>
      <c r="S338" s="37"/>
      <c r="T338" s="37"/>
      <c r="U338" s="37"/>
      <c r="V338" s="211"/>
      <c r="W338" s="38"/>
      <c r="X338" s="39"/>
      <c r="Y338" s="37"/>
      <c r="Z338" s="37"/>
      <c r="AA338" s="37"/>
      <c r="AB338" s="37"/>
      <c r="AC338" s="37"/>
      <c r="AD338" s="38"/>
      <c r="AE338" s="39"/>
      <c r="AF338" s="37"/>
      <c r="AG338" s="299"/>
      <c r="AH338" s="93"/>
      <c r="AI338" s="73">
        <f>COUNTA($C338:$AF338)</f>
        <v>0</v>
      </c>
    </row>
    <row r="339" spans="1:35" ht="15.75" customHeight="1" outlineLevel="1">
      <c r="A339" s="223"/>
      <c r="B339" s="294"/>
      <c r="C339" s="42"/>
      <c r="D339" s="294"/>
      <c r="E339" s="40" t="str">
        <f t="shared" ref="E339:H339" si="1339">IF(ISERROR(VLOOKUP(E338,$K$394:$W$428,9,FALSE)),"",VLOOKUP(E338,$K$394:$W$428,9,FALSE))</f>
        <v/>
      </c>
      <c r="F339" s="40" t="str">
        <f t="shared" si="1339"/>
        <v/>
      </c>
      <c r="G339" s="40" t="str">
        <f t="shared" si="1339"/>
        <v/>
      </c>
      <c r="H339" s="40" t="str">
        <f t="shared" si="1339"/>
        <v/>
      </c>
      <c r="I339" s="41" t="str">
        <f t="shared" ref="I339" si="1340">IF(ISERROR(VLOOKUP(I338,$K$394:$W$428,9,FALSE)),"",VLOOKUP(I338,$K$394:$W$428,9,FALSE))</f>
        <v/>
      </c>
      <c r="J339" s="42"/>
      <c r="K339" s="40" t="str">
        <f t="shared" ref="K339:O339" si="1341">IF(ISERROR(VLOOKUP(K338,$K$394:$W$428,9,FALSE)),"",VLOOKUP(K338,$K$394:$W$428,9,FALSE))</f>
        <v/>
      </c>
      <c r="L339" s="40" t="str">
        <f t="shared" si="1341"/>
        <v/>
      </c>
      <c r="M339" s="40" t="str">
        <f t="shared" si="1341"/>
        <v/>
      </c>
      <c r="N339" s="40" t="str">
        <f t="shared" si="1341"/>
        <v/>
      </c>
      <c r="O339" s="40" t="str">
        <f t="shared" si="1341"/>
        <v/>
      </c>
      <c r="P339" s="41" t="str">
        <f t="shared" ref="P339" si="1342">IF(ISERROR(VLOOKUP(P338,$K$394:$W$428,9,FALSE)),"",VLOOKUP(P338,$K$394:$W$428,9,FALSE))</f>
        <v/>
      </c>
      <c r="Q339" s="42"/>
      <c r="R339" s="40" t="str">
        <f t="shared" ref="R339:U339" si="1343">IF(ISERROR(VLOOKUP(R338,$K$394:$W$428,9,FALSE)),"",VLOOKUP(R338,$K$394:$W$428,9,FALSE))</f>
        <v/>
      </c>
      <c r="S339" s="40" t="str">
        <f t="shared" si="1343"/>
        <v/>
      </c>
      <c r="T339" s="40" t="str">
        <f t="shared" si="1343"/>
        <v/>
      </c>
      <c r="U339" s="40" t="str">
        <f t="shared" si="1343"/>
        <v/>
      </c>
      <c r="V339" s="294"/>
      <c r="W339" s="41" t="str">
        <f t="shared" ref="W339" si="1344">IF(ISERROR(VLOOKUP(W338,$K$394:$W$428,9,FALSE)),"",VLOOKUP(W338,$K$394:$W$428,9,FALSE))</f>
        <v/>
      </c>
      <c r="X339" s="42"/>
      <c r="Y339" s="40" t="str">
        <f t="shared" ref="Y339:AC339" si="1345">IF(ISERROR(VLOOKUP(Y338,$K$394:$W$428,9,FALSE)),"",VLOOKUP(Y338,$K$394:$W$428,9,FALSE))</f>
        <v/>
      </c>
      <c r="Z339" s="40" t="str">
        <f t="shared" si="1345"/>
        <v/>
      </c>
      <c r="AA339" s="40" t="str">
        <f t="shared" si="1345"/>
        <v/>
      </c>
      <c r="AB339" s="40" t="str">
        <f t="shared" si="1345"/>
        <v/>
      </c>
      <c r="AC339" s="40" t="str">
        <f t="shared" si="1345"/>
        <v/>
      </c>
      <c r="AD339" s="41" t="str">
        <f t="shared" ref="AD339" si="1346">IF(ISERROR(VLOOKUP(AD338,$K$394:$W$428,9,FALSE)),"",VLOOKUP(AD338,$K$394:$W$428,9,FALSE))</f>
        <v/>
      </c>
      <c r="AE339" s="42"/>
      <c r="AF339" s="40" t="str">
        <f>IF(ISERROR(VLOOKUP(AF338,$K$394:$W$428,9,FALSE)),"",VLOOKUP(AF338,$K$394:$W$428,9,FALSE))</f>
        <v/>
      </c>
      <c r="AG339" s="299"/>
      <c r="AH339" s="97"/>
      <c r="AI339" s="73"/>
    </row>
    <row r="340" spans="1:35" ht="15" customHeight="1" outlineLevel="1">
      <c r="A340" s="221" t="s">
        <v>24</v>
      </c>
      <c r="B340" s="216" t="s">
        <v>19</v>
      </c>
      <c r="C340" s="39"/>
      <c r="D340" s="211"/>
      <c r="E340" s="195" t="s">
        <v>49</v>
      </c>
      <c r="F340" s="195" t="s">
        <v>49</v>
      </c>
      <c r="G340" s="150" t="s">
        <v>56</v>
      </c>
      <c r="H340" s="150" t="s">
        <v>56</v>
      </c>
      <c r="I340" s="38"/>
      <c r="J340" s="39"/>
      <c r="K340" s="195" t="s">
        <v>49</v>
      </c>
      <c r="L340" s="195" t="s">
        <v>49</v>
      </c>
      <c r="M340" s="195" t="s">
        <v>49</v>
      </c>
      <c r="N340" s="150" t="s">
        <v>56</v>
      </c>
      <c r="O340" s="150" t="s">
        <v>56</v>
      </c>
      <c r="P340" s="38"/>
      <c r="Q340" s="39"/>
      <c r="R340" s="150" t="s">
        <v>56</v>
      </c>
      <c r="S340" s="150" t="s">
        <v>56</v>
      </c>
      <c r="T340" s="150" t="s">
        <v>56</v>
      </c>
      <c r="U340" s="150" t="s">
        <v>56</v>
      </c>
      <c r="V340" s="211"/>
      <c r="W340" s="38"/>
      <c r="X340" s="39"/>
      <c r="Y340" s="150" t="s">
        <v>56</v>
      </c>
      <c r="Z340" s="150" t="s">
        <v>56</v>
      </c>
      <c r="AA340" s="182"/>
      <c r="AB340" s="143"/>
      <c r="AC340" s="143"/>
      <c r="AD340" s="38"/>
      <c r="AE340" s="39"/>
      <c r="AF340" s="37"/>
      <c r="AG340" s="299"/>
      <c r="AH340" s="93"/>
      <c r="AI340" s="73">
        <f>COUNTA($C340:$AF340)</f>
        <v>15</v>
      </c>
    </row>
    <row r="341" spans="1:35" ht="15.75" customHeight="1" outlineLevel="1">
      <c r="A341" s="221"/>
      <c r="B341" s="293"/>
      <c r="C341" s="96"/>
      <c r="D341" s="294"/>
      <c r="E341" s="94">
        <f t="shared" ref="E341:H341" si="1347">IF(ISERROR(VLOOKUP(E340,$K$394:$W$428,9,FALSE)),"",VLOOKUP(E340,$K$394:$W$428,9,FALSE))</f>
        <v>101706</v>
      </c>
      <c r="F341" s="94">
        <f t="shared" si="1347"/>
        <v>101706</v>
      </c>
      <c r="G341" s="94">
        <f t="shared" si="1347"/>
        <v>96378</v>
      </c>
      <c r="H341" s="94">
        <f t="shared" si="1347"/>
        <v>96378</v>
      </c>
      <c r="I341" s="95" t="str">
        <f t="shared" ref="I341" si="1348">IF(ISERROR(VLOOKUP(I340,$K$394:$W$428,9,FALSE)),"",VLOOKUP(I340,$K$394:$W$428,9,FALSE))</f>
        <v/>
      </c>
      <c r="J341" s="96"/>
      <c r="K341" s="94">
        <f t="shared" ref="K341" si="1349">IF(ISERROR(VLOOKUP(K340,$K$394:$W$428,9,FALSE)),"",VLOOKUP(K340,$K$394:$W$428,9,FALSE))</f>
        <v>101706</v>
      </c>
      <c r="L341" s="94">
        <f t="shared" ref="L341:O341" si="1350">IF(ISERROR(VLOOKUP(L340,$K$394:$W$428,9,FALSE)),"",VLOOKUP(L340,$K$394:$W$428,9,FALSE))</f>
        <v>101706</v>
      </c>
      <c r="M341" s="94">
        <f t="shared" si="1350"/>
        <v>101706</v>
      </c>
      <c r="N341" s="94">
        <f t="shared" si="1350"/>
        <v>96378</v>
      </c>
      <c r="O341" s="94">
        <f t="shared" si="1350"/>
        <v>96378</v>
      </c>
      <c r="P341" s="95" t="str">
        <f t="shared" ref="P341" si="1351">IF(ISERROR(VLOOKUP(P340,$K$394:$W$428,9,FALSE)),"",VLOOKUP(P340,$K$394:$W$428,9,FALSE))</f>
        <v/>
      </c>
      <c r="Q341" s="96"/>
      <c r="R341" s="94">
        <f t="shared" ref="R341:U341" si="1352">IF(ISERROR(VLOOKUP(R340,$K$394:$W$428,9,FALSE)),"",VLOOKUP(R340,$K$394:$W$428,9,FALSE))</f>
        <v>96378</v>
      </c>
      <c r="S341" s="94">
        <f t="shared" si="1352"/>
        <v>96378</v>
      </c>
      <c r="T341" s="94">
        <f t="shared" si="1352"/>
        <v>96378</v>
      </c>
      <c r="U341" s="94">
        <f t="shared" si="1352"/>
        <v>96378</v>
      </c>
      <c r="V341" s="294"/>
      <c r="W341" s="95" t="str">
        <f t="shared" ref="W341" si="1353">IF(ISERROR(VLOOKUP(W340,$K$394:$W$428,9,FALSE)),"",VLOOKUP(W340,$K$394:$W$428,9,FALSE))</f>
        <v/>
      </c>
      <c r="X341" s="96"/>
      <c r="Y341" s="94">
        <f t="shared" ref="Y341:Z341" si="1354">IF(ISERROR(VLOOKUP(Y340,$K$394:$W$428,9,FALSE)),"",VLOOKUP(Y340,$K$394:$W$428,9,FALSE))</f>
        <v>96378</v>
      </c>
      <c r="Z341" s="94">
        <f t="shared" si="1354"/>
        <v>96378</v>
      </c>
      <c r="AA341" s="94" t="str">
        <f t="shared" ref="AA341:AC341" si="1355">IF(ISERROR(VLOOKUP(AA340,$K$394:$W$428,9,FALSE)),"",VLOOKUP(AA340,$K$394:$W$428,9,FALSE))</f>
        <v/>
      </c>
      <c r="AB341" s="94" t="str">
        <f t="shared" si="1355"/>
        <v/>
      </c>
      <c r="AC341" s="94" t="str">
        <f t="shared" si="1355"/>
        <v/>
      </c>
      <c r="AD341" s="95" t="str">
        <f t="shared" ref="AD341" si="1356">IF(ISERROR(VLOOKUP(AD340,$K$394:$W$428,9,FALSE)),"",VLOOKUP(AD340,$K$394:$W$428,9,FALSE))</f>
        <v/>
      </c>
      <c r="AE341" s="96"/>
      <c r="AF341" s="94" t="str">
        <f>IF(ISERROR(VLOOKUP(AF340,$K$394:$W$428,9,FALSE)),"",VLOOKUP(AF340,$K$394:$W$428,9,FALSE))</f>
        <v/>
      </c>
      <c r="AG341" s="299"/>
      <c r="AH341" s="97"/>
      <c r="AI341" s="73"/>
    </row>
    <row r="342" spans="1:35" ht="15" customHeight="1" outlineLevel="1">
      <c r="A342" s="221"/>
      <c r="B342" s="216" t="s">
        <v>20</v>
      </c>
      <c r="C342" s="39"/>
      <c r="D342" s="211"/>
      <c r="E342" s="195" t="s">
        <v>49</v>
      </c>
      <c r="F342" s="195" t="s">
        <v>49</v>
      </c>
      <c r="G342" s="150" t="s">
        <v>56</v>
      </c>
      <c r="H342" s="150" t="s">
        <v>56</v>
      </c>
      <c r="I342" s="38"/>
      <c r="J342" s="39"/>
      <c r="K342" s="195" t="s">
        <v>49</v>
      </c>
      <c r="L342" s="195" t="s">
        <v>49</v>
      </c>
      <c r="M342" s="195" t="s">
        <v>49</v>
      </c>
      <c r="N342" s="150" t="s">
        <v>56</v>
      </c>
      <c r="O342" s="150" t="s">
        <v>56</v>
      </c>
      <c r="P342" s="38"/>
      <c r="Q342" s="39"/>
      <c r="R342" s="150" t="s">
        <v>56</v>
      </c>
      <c r="S342" s="150" t="s">
        <v>56</v>
      </c>
      <c r="T342" s="150" t="s">
        <v>56</v>
      </c>
      <c r="U342" s="150" t="s">
        <v>56</v>
      </c>
      <c r="V342" s="211"/>
      <c r="W342" s="38"/>
      <c r="X342" s="39"/>
      <c r="Y342" s="150" t="s">
        <v>56</v>
      </c>
      <c r="Z342" s="150" t="s">
        <v>56</v>
      </c>
      <c r="AA342" s="182"/>
      <c r="AB342" s="143"/>
      <c r="AC342" s="143"/>
      <c r="AD342" s="38"/>
      <c r="AE342" s="39"/>
      <c r="AF342" s="37"/>
      <c r="AG342" s="299"/>
      <c r="AH342" s="93"/>
      <c r="AI342" s="73">
        <f>COUNTA($C342:$AF342)</f>
        <v>15</v>
      </c>
    </row>
    <row r="343" spans="1:35" ht="15.75" customHeight="1" outlineLevel="1">
      <c r="A343" s="221"/>
      <c r="B343" s="294"/>
      <c r="C343" s="42"/>
      <c r="D343" s="294"/>
      <c r="E343" s="40">
        <f t="shared" ref="E343:H343" si="1357">IF(ISERROR(VLOOKUP(E342,$K$394:$W$428,9,FALSE)),"",VLOOKUP(E342,$K$394:$W$428,9,FALSE))</f>
        <v>101706</v>
      </c>
      <c r="F343" s="40">
        <f t="shared" si="1357"/>
        <v>101706</v>
      </c>
      <c r="G343" s="40">
        <f t="shared" si="1357"/>
        <v>96378</v>
      </c>
      <c r="H343" s="40">
        <f t="shared" si="1357"/>
        <v>96378</v>
      </c>
      <c r="I343" s="41" t="str">
        <f t="shared" ref="I343" si="1358">IF(ISERROR(VLOOKUP(I342,$K$394:$W$428,9,FALSE)),"",VLOOKUP(I342,$K$394:$W$428,9,FALSE))</f>
        <v/>
      </c>
      <c r="J343" s="42"/>
      <c r="K343" s="40">
        <f t="shared" ref="K343" si="1359">IF(ISERROR(VLOOKUP(K342,$K$394:$W$428,9,FALSE)),"",VLOOKUP(K342,$K$394:$W$428,9,FALSE))</f>
        <v>101706</v>
      </c>
      <c r="L343" s="40">
        <f t="shared" ref="L343:O343" si="1360">IF(ISERROR(VLOOKUP(L342,$K$394:$W$428,9,FALSE)),"",VLOOKUP(L342,$K$394:$W$428,9,FALSE))</f>
        <v>101706</v>
      </c>
      <c r="M343" s="40">
        <f t="shared" si="1360"/>
        <v>101706</v>
      </c>
      <c r="N343" s="40">
        <f t="shared" si="1360"/>
        <v>96378</v>
      </c>
      <c r="O343" s="40">
        <f t="shared" si="1360"/>
        <v>96378</v>
      </c>
      <c r="P343" s="41" t="str">
        <f t="shared" ref="P343" si="1361">IF(ISERROR(VLOOKUP(P342,$K$394:$W$428,9,FALSE)),"",VLOOKUP(P342,$K$394:$W$428,9,FALSE))</f>
        <v/>
      </c>
      <c r="Q343" s="42"/>
      <c r="R343" s="40">
        <f t="shared" ref="R343:U343" si="1362">IF(ISERROR(VLOOKUP(R342,$K$394:$W$428,9,FALSE)),"",VLOOKUP(R342,$K$394:$W$428,9,FALSE))</f>
        <v>96378</v>
      </c>
      <c r="S343" s="40">
        <f t="shared" si="1362"/>
        <v>96378</v>
      </c>
      <c r="T343" s="40">
        <f t="shared" si="1362"/>
        <v>96378</v>
      </c>
      <c r="U343" s="40">
        <f t="shared" si="1362"/>
        <v>96378</v>
      </c>
      <c r="V343" s="294"/>
      <c r="W343" s="41" t="str">
        <f t="shared" ref="W343" si="1363">IF(ISERROR(VLOOKUP(W342,$K$394:$W$428,9,FALSE)),"",VLOOKUP(W342,$K$394:$W$428,9,FALSE))</f>
        <v/>
      </c>
      <c r="X343" s="42"/>
      <c r="Y343" s="40">
        <f t="shared" ref="Y343:Z343" si="1364">IF(ISERROR(VLOOKUP(Y342,$K$394:$W$428,9,FALSE)),"",VLOOKUP(Y342,$K$394:$W$428,9,FALSE))</f>
        <v>96378</v>
      </c>
      <c r="Z343" s="40">
        <f t="shared" si="1364"/>
        <v>96378</v>
      </c>
      <c r="AA343" s="40" t="str">
        <f t="shared" ref="AA343:AC343" si="1365">IF(ISERROR(VLOOKUP(AA342,$K$394:$W$428,9,FALSE)),"",VLOOKUP(AA342,$K$394:$W$428,9,FALSE))</f>
        <v/>
      </c>
      <c r="AB343" s="40" t="str">
        <f t="shared" si="1365"/>
        <v/>
      </c>
      <c r="AC343" s="40" t="str">
        <f t="shared" si="1365"/>
        <v/>
      </c>
      <c r="AD343" s="41" t="str">
        <f t="shared" ref="AD343" si="1366">IF(ISERROR(VLOOKUP(AD342,$K$394:$W$428,9,FALSE)),"",VLOOKUP(AD342,$K$394:$W$428,9,FALSE))</f>
        <v/>
      </c>
      <c r="AE343" s="42"/>
      <c r="AF343" s="40" t="str">
        <f>IF(ISERROR(VLOOKUP(AF342,$K$394:$W$428,9,FALSE)),"",VLOOKUP(AF342,$K$394:$W$428,9,FALSE))</f>
        <v/>
      </c>
      <c r="AG343" s="299"/>
      <c r="AH343" s="97"/>
      <c r="AI343" s="73"/>
    </row>
    <row r="344" spans="1:35" ht="15" customHeight="1" outlineLevel="1">
      <c r="A344" s="221"/>
      <c r="B344" s="216" t="s">
        <v>21</v>
      </c>
      <c r="C344" s="39"/>
      <c r="D344" s="211"/>
      <c r="E344" s="195" t="s">
        <v>49</v>
      </c>
      <c r="F344" s="195" t="s">
        <v>49</v>
      </c>
      <c r="G344" s="150" t="s">
        <v>56</v>
      </c>
      <c r="H344" s="150" t="s">
        <v>56</v>
      </c>
      <c r="I344" s="38"/>
      <c r="J344" s="39"/>
      <c r="K344" s="195" t="s">
        <v>49</v>
      </c>
      <c r="L344" s="195"/>
      <c r="M344" s="195" t="s">
        <v>49</v>
      </c>
      <c r="N344" s="150" t="s">
        <v>56</v>
      </c>
      <c r="O344" s="150" t="s">
        <v>56</v>
      </c>
      <c r="P344" s="38"/>
      <c r="Q344" s="39"/>
      <c r="R344" s="150" t="s">
        <v>56</v>
      </c>
      <c r="S344" s="150" t="s">
        <v>56</v>
      </c>
      <c r="T344" s="150" t="s">
        <v>56</v>
      </c>
      <c r="U344" s="150" t="s">
        <v>56</v>
      </c>
      <c r="V344" s="211"/>
      <c r="W344" s="38"/>
      <c r="X344" s="39"/>
      <c r="Y344" s="150" t="s">
        <v>56</v>
      </c>
      <c r="Z344" s="150" t="s">
        <v>56</v>
      </c>
      <c r="AA344" s="182"/>
      <c r="AB344" s="143"/>
      <c r="AC344" s="143"/>
      <c r="AD344" s="38"/>
      <c r="AE344" s="39"/>
      <c r="AF344" s="37"/>
      <c r="AG344" s="299"/>
      <c r="AH344" s="93"/>
      <c r="AI344" s="73">
        <f>COUNTA($C344:$AF344)</f>
        <v>14</v>
      </c>
    </row>
    <row r="345" spans="1:35" ht="15.75" customHeight="1" outlineLevel="1">
      <c r="A345" s="221"/>
      <c r="B345" s="294"/>
      <c r="C345" s="96"/>
      <c r="D345" s="294"/>
      <c r="E345" s="94">
        <f t="shared" ref="E345:H345" si="1367">IF(ISERROR(VLOOKUP(E344,$K$394:$W$428,9,FALSE)),"",VLOOKUP(E344,$K$394:$W$428,9,FALSE))</f>
        <v>101706</v>
      </c>
      <c r="F345" s="94">
        <f t="shared" si="1367"/>
        <v>101706</v>
      </c>
      <c r="G345" s="94">
        <f t="shared" si="1367"/>
        <v>96378</v>
      </c>
      <c r="H345" s="94">
        <f t="shared" si="1367"/>
        <v>96378</v>
      </c>
      <c r="I345" s="95" t="str">
        <f t="shared" ref="I345" si="1368">IF(ISERROR(VLOOKUP(I344,$K$394:$W$428,9,FALSE)),"",VLOOKUP(I344,$K$394:$W$428,9,FALSE))</f>
        <v/>
      </c>
      <c r="J345" s="96"/>
      <c r="K345" s="94">
        <f t="shared" ref="K345" si="1369">IF(ISERROR(VLOOKUP(K344,$K$394:$W$428,9,FALSE)),"",VLOOKUP(K344,$K$394:$W$428,9,FALSE))</f>
        <v>101706</v>
      </c>
      <c r="L345" s="94" t="str">
        <f t="shared" ref="L345:O345" si="1370">IF(ISERROR(VLOOKUP(L344,$K$394:$W$428,9,FALSE)),"",VLOOKUP(L344,$K$394:$W$428,9,FALSE))</f>
        <v/>
      </c>
      <c r="M345" s="94">
        <f t="shared" si="1370"/>
        <v>101706</v>
      </c>
      <c r="N345" s="94">
        <f t="shared" si="1370"/>
        <v>96378</v>
      </c>
      <c r="O345" s="94">
        <f t="shared" si="1370"/>
        <v>96378</v>
      </c>
      <c r="P345" s="95" t="str">
        <f t="shared" ref="P345" si="1371">IF(ISERROR(VLOOKUP(P344,$K$394:$W$428,9,FALSE)),"",VLOOKUP(P344,$K$394:$W$428,9,FALSE))</f>
        <v/>
      </c>
      <c r="Q345" s="96"/>
      <c r="R345" s="94">
        <f t="shared" ref="R345:U345" si="1372">IF(ISERROR(VLOOKUP(R344,$K$394:$W$428,9,FALSE)),"",VLOOKUP(R344,$K$394:$W$428,9,FALSE))</f>
        <v>96378</v>
      </c>
      <c r="S345" s="94">
        <f t="shared" si="1372"/>
        <v>96378</v>
      </c>
      <c r="T345" s="94">
        <f t="shared" si="1372"/>
        <v>96378</v>
      </c>
      <c r="U345" s="94">
        <f t="shared" si="1372"/>
        <v>96378</v>
      </c>
      <c r="V345" s="294"/>
      <c r="W345" s="95" t="str">
        <f t="shared" ref="W345" si="1373">IF(ISERROR(VLOOKUP(W344,$K$394:$W$428,9,FALSE)),"",VLOOKUP(W344,$K$394:$W$428,9,FALSE))</f>
        <v/>
      </c>
      <c r="X345" s="96"/>
      <c r="Y345" s="94">
        <f t="shared" ref="Y345:Z345" si="1374">IF(ISERROR(VLOOKUP(Y344,$K$394:$W$428,9,FALSE)),"",VLOOKUP(Y344,$K$394:$W$428,9,FALSE))</f>
        <v>96378</v>
      </c>
      <c r="Z345" s="94">
        <f t="shared" si="1374"/>
        <v>96378</v>
      </c>
      <c r="AA345" s="94" t="str">
        <f t="shared" ref="AA345:AC345" si="1375">IF(ISERROR(VLOOKUP(AA344,$K$394:$W$428,9,FALSE)),"",VLOOKUP(AA344,$K$394:$W$428,9,FALSE))</f>
        <v/>
      </c>
      <c r="AB345" s="94" t="str">
        <f t="shared" si="1375"/>
        <v/>
      </c>
      <c r="AC345" s="94" t="str">
        <f t="shared" si="1375"/>
        <v/>
      </c>
      <c r="AD345" s="95" t="str">
        <f t="shared" ref="AD345" si="1376">IF(ISERROR(VLOOKUP(AD344,$K$394:$W$428,9,FALSE)),"",VLOOKUP(AD344,$K$394:$W$428,9,FALSE))</f>
        <v/>
      </c>
      <c r="AE345" s="96"/>
      <c r="AF345" s="94" t="str">
        <f>IF(ISERROR(VLOOKUP(AF344,$K$394:$W$428,9,FALSE)),"",VLOOKUP(AF344,$K$394:$W$428,9,FALSE))</f>
        <v/>
      </c>
      <c r="AG345" s="299"/>
      <c r="AH345" s="97"/>
      <c r="AI345" s="73"/>
    </row>
    <row r="346" spans="1:35" ht="15" customHeight="1" outlineLevel="1">
      <c r="A346" s="221"/>
      <c r="B346" s="216" t="s">
        <v>22</v>
      </c>
      <c r="C346" s="39"/>
      <c r="D346" s="211"/>
      <c r="E346" s="195" t="s">
        <v>49</v>
      </c>
      <c r="F346" s="195" t="s">
        <v>49</v>
      </c>
      <c r="G346" s="150" t="s">
        <v>56</v>
      </c>
      <c r="H346" s="150" t="s">
        <v>56</v>
      </c>
      <c r="I346" s="38"/>
      <c r="J346" s="39"/>
      <c r="K346" s="195" t="s">
        <v>49</v>
      </c>
      <c r="L346" s="195"/>
      <c r="M346" s="195" t="s">
        <v>49</v>
      </c>
      <c r="N346" s="150" t="s">
        <v>56</v>
      </c>
      <c r="O346" s="150" t="s">
        <v>56</v>
      </c>
      <c r="P346" s="38"/>
      <c r="Q346" s="39"/>
      <c r="R346" s="150" t="s">
        <v>56</v>
      </c>
      <c r="S346" s="150" t="s">
        <v>56</v>
      </c>
      <c r="T346" s="150" t="s">
        <v>56</v>
      </c>
      <c r="U346" s="150" t="s">
        <v>56</v>
      </c>
      <c r="V346" s="211"/>
      <c r="W346" s="38"/>
      <c r="X346" s="39"/>
      <c r="Y346" s="150" t="s">
        <v>56</v>
      </c>
      <c r="Z346" s="150" t="s">
        <v>56</v>
      </c>
      <c r="AA346" s="182"/>
      <c r="AB346" s="143"/>
      <c r="AC346" s="143"/>
      <c r="AD346" s="38"/>
      <c r="AE346" s="39"/>
      <c r="AF346" s="37"/>
      <c r="AG346" s="299"/>
      <c r="AH346" s="93"/>
      <c r="AI346" s="73">
        <f>COUNTA($C346:$AF346)</f>
        <v>14</v>
      </c>
    </row>
    <row r="347" spans="1:35" ht="15.75" customHeight="1" outlineLevel="1">
      <c r="A347" s="221"/>
      <c r="B347" s="294"/>
      <c r="C347" s="96"/>
      <c r="D347" s="294"/>
      <c r="E347" s="94">
        <f t="shared" ref="E347:H347" si="1377">IF(ISERROR(VLOOKUP(E346,$K$394:$W$428,9,FALSE)),"",VLOOKUP(E346,$K$394:$W$428,9,FALSE))</f>
        <v>101706</v>
      </c>
      <c r="F347" s="94">
        <f t="shared" si="1377"/>
        <v>101706</v>
      </c>
      <c r="G347" s="94">
        <f t="shared" si="1377"/>
        <v>96378</v>
      </c>
      <c r="H347" s="94">
        <f t="shared" si="1377"/>
        <v>96378</v>
      </c>
      <c r="I347" s="95" t="str">
        <f t="shared" ref="I347" si="1378">IF(ISERROR(VLOOKUP(I346,$K$394:$W$428,9,FALSE)),"",VLOOKUP(I346,$K$394:$W$428,9,FALSE))</f>
        <v/>
      </c>
      <c r="J347" s="96"/>
      <c r="K347" s="94">
        <f t="shared" ref="K347" si="1379">IF(ISERROR(VLOOKUP(K346,$K$394:$W$428,9,FALSE)),"",VLOOKUP(K346,$K$394:$W$428,9,FALSE))</f>
        <v>101706</v>
      </c>
      <c r="L347" s="94" t="str">
        <f t="shared" ref="L347:O347" si="1380">IF(ISERROR(VLOOKUP(L346,$K$394:$W$428,9,FALSE)),"",VLOOKUP(L346,$K$394:$W$428,9,FALSE))</f>
        <v/>
      </c>
      <c r="M347" s="94">
        <f t="shared" si="1380"/>
        <v>101706</v>
      </c>
      <c r="N347" s="94">
        <f t="shared" si="1380"/>
        <v>96378</v>
      </c>
      <c r="O347" s="94">
        <f t="shared" si="1380"/>
        <v>96378</v>
      </c>
      <c r="P347" s="95" t="str">
        <f t="shared" ref="P347" si="1381">IF(ISERROR(VLOOKUP(P346,$K$394:$W$428,9,FALSE)),"",VLOOKUP(P346,$K$394:$W$428,9,FALSE))</f>
        <v/>
      </c>
      <c r="Q347" s="96"/>
      <c r="R347" s="94">
        <f t="shared" ref="R347:U347" si="1382">IF(ISERROR(VLOOKUP(R346,$K$394:$W$428,9,FALSE)),"",VLOOKUP(R346,$K$394:$W$428,9,FALSE))</f>
        <v>96378</v>
      </c>
      <c r="S347" s="94">
        <f t="shared" si="1382"/>
        <v>96378</v>
      </c>
      <c r="T347" s="94">
        <f t="shared" si="1382"/>
        <v>96378</v>
      </c>
      <c r="U347" s="94">
        <f t="shared" si="1382"/>
        <v>96378</v>
      </c>
      <c r="V347" s="294"/>
      <c r="W347" s="95" t="str">
        <f t="shared" ref="W347" si="1383">IF(ISERROR(VLOOKUP(W346,$K$394:$W$428,9,FALSE)),"",VLOOKUP(W346,$K$394:$W$428,9,FALSE))</f>
        <v/>
      </c>
      <c r="X347" s="96"/>
      <c r="Y347" s="94">
        <f t="shared" ref="Y347:Z347" si="1384">IF(ISERROR(VLOOKUP(Y346,$K$394:$W$428,9,FALSE)),"",VLOOKUP(Y346,$K$394:$W$428,9,FALSE))</f>
        <v>96378</v>
      </c>
      <c r="Z347" s="94">
        <f t="shared" si="1384"/>
        <v>96378</v>
      </c>
      <c r="AA347" s="94" t="str">
        <f t="shared" ref="AA347:AC347" si="1385">IF(ISERROR(VLOOKUP(AA346,$K$394:$W$428,9,FALSE)),"",VLOOKUP(AA346,$K$394:$W$428,9,FALSE))</f>
        <v/>
      </c>
      <c r="AB347" s="94" t="str">
        <f t="shared" si="1385"/>
        <v/>
      </c>
      <c r="AC347" s="94" t="str">
        <f t="shared" si="1385"/>
        <v/>
      </c>
      <c r="AD347" s="95" t="str">
        <f t="shared" ref="AD347" si="1386">IF(ISERROR(VLOOKUP(AD346,$K$394:$W$428,9,FALSE)),"",VLOOKUP(AD346,$K$394:$W$428,9,FALSE))</f>
        <v/>
      </c>
      <c r="AE347" s="96"/>
      <c r="AF347" s="94" t="str">
        <f>IF(ISERROR(VLOOKUP(AF346,$K$394:$W$428,9,FALSE)),"",VLOOKUP(AF346,$K$394:$W$428,9,FALSE))</f>
        <v/>
      </c>
      <c r="AG347" s="299"/>
      <c r="AH347" s="97"/>
      <c r="AI347" s="73"/>
    </row>
    <row r="348" spans="1:35" ht="15" customHeight="1" outlineLevel="1">
      <c r="A348" s="221"/>
      <c r="B348" s="216" t="s">
        <v>23</v>
      </c>
      <c r="C348" s="39"/>
      <c r="D348" s="211"/>
      <c r="E348" s="37"/>
      <c r="F348" s="37"/>
      <c r="G348" s="37"/>
      <c r="H348" s="37"/>
      <c r="I348" s="38"/>
      <c r="J348" s="39"/>
      <c r="K348" s="37"/>
      <c r="L348" s="37"/>
      <c r="M348" s="37"/>
      <c r="N348" s="37"/>
      <c r="O348" s="37"/>
      <c r="P348" s="38"/>
      <c r="Q348" s="39"/>
      <c r="R348" s="37"/>
      <c r="S348" s="37"/>
      <c r="T348" s="37"/>
      <c r="U348" s="37"/>
      <c r="V348" s="211"/>
      <c r="W348" s="38"/>
      <c r="X348" s="39"/>
      <c r="Y348" s="37"/>
      <c r="Z348" s="37"/>
      <c r="AA348" s="37"/>
      <c r="AB348" s="37"/>
      <c r="AC348" s="37"/>
      <c r="AD348" s="38"/>
      <c r="AE348" s="39"/>
      <c r="AF348" s="37"/>
      <c r="AG348" s="299"/>
      <c r="AH348" s="93"/>
      <c r="AI348" s="73">
        <f>COUNTA($C348:$AF348)</f>
        <v>0</v>
      </c>
    </row>
    <row r="349" spans="1:35" ht="15.75" customHeight="1" outlineLevel="1">
      <c r="A349" s="223"/>
      <c r="B349" s="294"/>
      <c r="C349" s="42"/>
      <c r="D349" s="294"/>
      <c r="E349" s="40" t="str">
        <f t="shared" ref="E349:H349" si="1387">IF(ISERROR(VLOOKUP(E348,$K$394:$W$428,9,FALSE)),"",VLOOKUP(E348,$K$394:$W$428,9,FALSE))</f>
        <v/>
      </c>
      <c r="F349" s="40" t="str">
        <f t="shared" si="1387"/>
        <v/>
      </c>
      <c r="G349" s="40" t="str">
        <f t="shared" si="1387"/>
        <v/>
      </c>
      <c r="H349" s="40" t="str">
        <f t="shared" si="1387"/>
        <v/>
      </c>
      <c r="I349" s="41" t="str">
        <f t="shared" ref="I349" si="1388">IF(ISERROR(VLOOKUP(I348,$K$394:$W$428,9,FALSE)),"",VLOOKUP(I348,$K$394:$W$428,9,FALSE))</f>
        <v/>
      </c>
      <c r="J349" s="42"/>
      <c r="K349" s="40" t="str">
        <f t="shared" ref="K349:O349" si="1389">IF(ISERROR(VLOOKUP(K348,$K$394:$W$428,9,FALSE)),"",VLOOKUP(K348,$K$394:$W$428,9,FALSE))</f>
        <v/>
      </c>
      <c r="L349" s="40" t="str">
        <f t="shared" si="1389"/>
        <v/>
      </c>
      <c r="M349" s="40" t="str">
        <f t="shared" si="1389"/>
        <v/>
      </c>
      <c r="N349" s="40" t="str">
        <f t="shared" si="1389"/>
        <v/>
      </c>
      <c r="O349" s="40" t="str">
        <f t="shared" si="1389"/>
        <v/>
      </c>
      <c r="P349" s="41" t="str">
        <f t="shared" ref="P349" si="1390">IF(ISERROR(VLOOKUP(P348,$K$394:$W$428,9,FALSE)),"",VLOOKUP(P348,$K$394:$W$428,9,FALSE))</f>
        <v/>
      </c>
      <c r="Q349" s="42"/>
      <c r="R349" s="40" t="str">
        <f t="shared" ref="R349:U349" si="1391">IF(ISERROR(VLOOKUP(R348,$K$394:$W$428,9,FALSE)),"",VLOOKUP(R348,$K$394:$W$428,9,FALSE))</f>
        <v/>
      </c>
      <c r="S349" s="40" t="str">
        <f t="shared" si="1391"/>
        <v/>
      </c>
      <c r="T349" s="40" t="str">
        <f t="shared" si="1391"/>
        <v/>
      </c>
      <c r="U349" s="40" t="str">
        <f t="shared" si="1391"/>
        <v/>
      </c>
      <c r="V349" s="294"/>
      <c r="W349" s="41" t="str">
        <f t="shared" ref="W349" si="1392">IF(ISERROR(VLOOKUP(W348,$K$394:$W$428,9,FALSE)),"",VLOOKUP(W348,$K$394:$W$428,9,FALSE))</f>
        <v/>
      </c>
      <c r="X349" s="42"/>
      <c r="Y349" s="40" t="str">
        <f t="shared" ref="Y349:AC349" si="1393">IF(ISERROR(VLOOKUP(Y348,$K$394:$W$428,9,FALSE)),"",VLOOKUP(Y348,$K$394:$W$428,9,FALSE))</f>
        <v/>
      </c>
      <c r="Z349" s="40" t="str">
        <f t="shared" si="1393"/>
        <v/>
      </c>
      <c r="AA349" s="40" t="str">
        <f t="shared" si="1393"/>
        <v/>
      </c>
      <c r="AB349" s="40" t="str">
        <f t="shared" si="1393"/>
        <v/>
      </c>
      <c r="AC349" s="40" t="str">
        <f t="shared" si="1393"/>
        <v/>
      </c>
      <c r="AD349" s="41" t="str">
        <f t="shared" ref="AD349" si="1394">IF(ISERROR(VLOOKUP(AD348,$K$394:$W$428,9,FALSE)),"",VLOOKUP(AD348,$K$394:$W$428,9,FALSE))</f>
        <v/>
      </c>
      <c r="AE349" s="42"/>
      <c r="AF349" s="40" t="str">
        <f>IF(ISERROR(VLOOKUP(AF348,$K$394:$W$428,9,FALSE)),"",VLOOKUP(AF348,$K$394:$W$428,9,FALSE))</f>
        <v/>
      </c>
      <c r="AG349" s="299"/>
      <c r="AH349" s="97"/>
      <c r="AI349" s="73"/>
    </row>
    <row r="350" spans="1:35" ht="15" customHeight="1" outlineLevel="1">
      <c r="A350" s="221" t="s">
        <v>25</v>
      </c>
      <c r="B350" s="215" t="s">
        <v>19</v>
      </c>
      <c r="C350" s="39"/>
      <c r="D350" s="211"/>
      <c r="E350" s="37"/>
      <c r="F350" s="37"/>
      <c r="G350" s="37"/>
      <c r="H350" s="198" t="s">
        <v>51</v>
      </c>
      <c r="I350" s="38"/>
      <c r="J350" s="39"/>
      <c r="K350" s="37"/>
      <c r="L350" s="37"/>
      <c r="M350" s="37"/>
      <c r="N350" s="37"/>
      <c r="O350" s="37" t="s">
        <v>50</v>
      </c>
      <c r="P350" s="38"/>
      <c r="Q350" s="39"/>
      <c r="R350" s="37"/>
      <c r="S350" s="37"/>
      <c r="T350" s="37"/>
      <c r="U350" s="37"/>
      <c r="V350" s="211"/>
      <c r="W350" s="38"/>
      <c r="X350" s="39"/>
      <c r="Y350" s="37"/>
      <c r="Z350" s="37"/>
      <c r="AA350" s="37"/>
      <c r="AB350" s="37"/>
      <c r="AC350" s="37" t="s">
        <v>50</v>
      </c>
      <c r="AD350" s="38"/>
      <c r="AE350" s="39"/>
      <c r="AF350" s="104"/>
      <c r="AG350" s="299"/>
      <c r="AH350" s="93"/>
      <c r="AI350" s="73">
        <f>COUNTA($C350:$AF350)</f>
        <v>3</v>
      </c>
    </row>
    <row r="351" spans="1:35" ht="15.75" customHeight="1" outlineLevel="1">
      <c r="A351" s="293"/>
      <c r="B351" s="293"/>
      <c r="C351" s="42"/>
      <c r="D351" s="294"/>
      <c r="E351" s="40" t="str">
        <f t="shared" ref="E351:H351" si="1395">IF(ISERROR(VLOOKUP(E350,$K$394:$W$428,9,FALSE)),"",VLOOKUP(E350,$K$394:$W$428,9,FALSE))</f>
        <v/>
      </c>
      <c r="F351" s="40" t="str">
        <f t="shared" si="1395"/>
        <v/>
      </c>
      <c r="G351" s="40" t="str">
        <f t="shared" si="1395"/>
        <v/>
      </c>
      <c r="H351" s="40">
        <f t="shared" si="1395"/>
        <v>96379</v>
      </c>
      <c r="I351" s="41" t="str">
        <f t="shared" ref="I351" si="1396">IF(ISERROR(VLOOKUP(I350,$K$394:$W$428,9,FALSE)),"",VLOOKUP(I350,$K$394:$W$428,9,FALSE))</f>
        <v/>
      </c>
      <c r="J351" s="42"/>
      <c r="K351" s="40" t="str">
        <f t="shared" ref="K351:O351" si="1397">IF(ISERROR(VLOOKUP(K350,$K$394:$W$428,9,FALSE)),"",VLOOKUP(K350,$K$394:$W$428,9,FALSE))</f>
        <v/>
      </c>
      <c r="L351" s="40" t="str">
        <f t="shared" si="1397"/>
        <v/>
      </c>
      <c r="M351" s="40" t="str">
        <f t="shared" si="1397"/>
        <v/>
      </c>
      <c r="N351" s="40" t="str">
        <f t="shared" si="1397"/>
        <v/>
      </c>
      <c r="O351" s="40">
        <f t="shared" si="1397"/>
        <v>96379</v>
      </c>
      <c r="P351" s="41" t="str">
        <f t="shared" ref="P351" si="1398">IF(ISERROR(VLOOKUP(P350,$K$394:$W$428,9,FALSE)),"",VLOOKUP(P350,$K$394:$W$428,9,FALSE))</f>
        <v/>
      </c>
      <c r="Q351" s="42"/>
      <c r="R351" s="40" t="str">
        <f t="shared" ref="R351:U351" si="1399">IF(ISERROR(VLOOKUP(R350,$K$394:$W$428,9,FALSE)),"",VLOOKUP(R350,$K$394:$W$428,9,FALSE))</f>
        <v/>
      </c>
      <c r="S351" s="40" t="str">
        <f t="shared" si="1399"/>
        <v/>
      </c>
      <c r="T351" s="40" t="str">
        <f t="shared" si="1399"/>
        <v/>
      </c>
      <c r="U351" s="40" t="str">
        <f t="shared" si="1399"/>
        <v/>
      </c>
      <c r="V351" s="294"/>
      <c r="W351" s="41" t="str">
        <f t="shared" ref="W351" si="1400">IF(ISERROR(VLOOKUP(W350,$K$394:$W$428,9,FALSE)),"",VLOOKUP(W350,$K$394:$W$428,9,FALSE))</f>
        <v/>
      </c>
      <c r="X351" s="42"/>
      <c r="Y351" s="40" t="str">
        <f t="shared" ref="Y351:AC351" si="1401">IF(ISERROR(VLOOKUP(Y350,$K$394:$W$428,9,FALSE)),"",VLOOKUP(Y350,$K$394:$W$428,9,FALSE))</f>
        <v/>
      </c>
      <c r="Z351" s="40" t="str">
        <f t="shared" si="1401"/>
        <v/>
      </c>
      <c r="AA351" s="40" t="str">
        <f t="shared" si="1401"/>
        <v/>
      </c>
      <c r="AB351" s="40" t="str">
        <f t="shared" si="1401"/>
        <v/>
      </c>
      <c r="AC351" s="40">
        <f t="shared" si="1401"/>
        <v>96379</v>
      </c>
      <c r="AD351" s="41" t="str">
        <f t="shared" ref="AD351" si="1402">IF(ISERROR(VLOOKUP(AD350,$K$394:$W$428,9,FALSE)),"",VLOOKUP(AD350,$K$394:$W$428,9,FALSE))</f>
        <v/>
      </c>
      <c r="AE351" s="42"/>
      <c r="AF351" s="105" t="str">
        <f>IF(ISERROR(VLOOKUP(AF350,$K$394:$W$428,9,FALSE)),"",VLOOKUP(AF350,$K$394:$W$428,9,FALSE))</f>
        <v/>
      </c>
      <c r="AG351" s="299"/>
      <c r="AH351" s="97"/>
      <c r="AI351" s="73"/>
    </row>
    <row r="352" spans="1:35" ht="15" customHeight="1" outlineLevel="1">
      <c r="A352" s="293"/>
      <c r="B352" s="216" t="s">
        <v>20</v>
      </c>
      <c r="C352" s="39"/>
      <c r="D352" s="211"/>
      <c r="E352" s="37"/>
      <c r="F352" s="37"/>
      <c r="G352" s="37"/>
      <c r="H352" s="198" t="s">
        <v>51</v>
      </c>
      <c r="I352" s="38"/>
      <c r="J352" s="39"/>
      <c r="K352" s="37"/>
      <c r="L352" s="37"/>
      <c r="M352" s="37"/>
      <c r="N352" s="37"/>
      <c r="O352" s="37" t="s">
        <v>50</v>
      </c>
      <c r="P352" s="38"/>
      <c r="Q352" s="39"/>
      <c r="R352" s="37"/>
      <c r="S352" s="37"/>
      <c r="T352" s="37"/>
      <c r="U352" s="37"/>
      <c r="V352" s="211"/>
      <c r="W352" s="38"/>
      <c r="X352" s="39"/>
      <c r="Y352" s="37"/>
      <c r="Z352" s="37"/>
      <c r="AA352" s="37"/>
      <c r="AB352" s="37"/>
      <c r="AC352" s="37" t="s">
        <v>50</v>
      </c>
      <c r="AD352" s="38"/>
      <c r="AE352" s="39"/>
      <c r="AF352" s="104"/>
      <c r="AG352" s="299"/>
      <c r="AH352" s="93"/>
      <c r="AI352" s="73">
        <f>COUNTA($C352:$AF352)</f>
        <v>3</v>
      </c>
    </row>
    <row r="353" spans="1:35" ht="15.75" customHeight="1" outlineLevel="1">
      <c r="A353" s="293"/>
      <c r="B353" s="294"/>
      <c r="C353" s="96"/>
      <c r="D353" s="294"/>
      <c r="E353" s="94" t="str">
        <f t="shared" ref="E353:H353" si="1403">IF(ISERROR(VLOOKUP(E352,$K$394:$W$428,9,FALSE)),"",VLOOKUP(E352,$K$394:$W$428,9,FALSE))</f>
        <v/>
      </c>
      <c r="F353" s="94" t="str">
        <f t="shared" si="1403"/>
        <v/>
      </c>
      <c r="G353" s="94" t="str">
        <f t="shared" si="1403"/>
        <v/>
      </c>
      <c r="H353" s="94">
        <f t="shared" si="1403"/>
        <v>96379</v>
      </c>
      <c r="I353" s="95" t="str">
        <f t="shared" ref="I353" si="1404">IF(ISERROR(VLOOKUP(I352,$K$394:$W$428,9,FALSE)),"",VLOOKUP(I352,$K$394:$W$428,9,FALSE))</f>
        <v/>
      </c>
      <c r="J353" s="96"/>
      <c r="K353" s="94" t="str">
        <f t="shared" ref="K353:O353" si="1405">IF(ISERROR(VLOOKUP(K352,$K$394:$W$428,9,FALSE)),"",VLOOKUP(K352,$K$394:$W$428,9,FALSE))</f>
        <v/>
      </c>
      <c r="L353" s="94" t="str">
        <f t="shared" si="1405"/>
        <v/>
      </c>
      <c r="M353" s="94" t="str">
        <f t="shared" si="1405"/>
        <v/>
      </c>
      <c r="N353" s="94" t="str">
        <f t="shared" si="1405"/>
        <v/>
      </c>
      <c r="O353" s="94">
        <f t="shared" si="1405"/>
        <v>96379</v>
      </c>
      <c r="P353" s="95" t="str">
        <f t="shared" ref="P353" si="1406">IF(ISERROR(VLOOKUP(P352,$K$394:$W$428,9,FALSE)),"",VLOOKUP(P352,$K$394:$W$428,9,FALSE))</f>
        <v/>
      </c>
      <c r="Q353" s="96"/>
      <c r="R353" s="94" t="str">
        <f t="shared" ref="R353:U353" si="1407">IF(ISERROR(VLOOKUP(R352,$K$394:$W$428,9,FALSE)),"",VLOOKUP(R352,$K$394:$W$428,9,FALSE))</f>
        <v/>
      </c>
      <c r="S353" s="94" t="str">
        <f t="shared" si="1407"/>
        <v/>
      </c>
      <c r="T353" s="94" t="str">
        <f t="shared" si="1407"/>
        <v/>
      </c>
      <c r="U353" s="94" t="str">
        <f t="shared" si="1407"/>
        <v/>
      </c>
      <c r="V353" s="294"/>
      <c r="W353" s="95" t="str">
        <f t="shared" ref="W353" si="1408">IF(ISERROR(VLOOKUP(W352,$K$394:$W$428,9,FALSE)),"",VLOOKUP(W352,$K$394:$W$428,9,FALSE))</f>
        <v/>
      </c>
      <c r="X353" s="96"/>
      <c r="Y353" s="94" t="str">
        <f t="shared" ref="Y353:AC353" si="1409">IF(ISERROR(VLOOKUP(Y352,$K$394:$W$428,9,FALSE)),"",VLOOKUP(Y352,$K$394:$W$428,9,FALSE))</f>
        <v/>
      </c>
      <c r="Z353" s="94" t="str">
        <f t="shared" si="1409"/>
        <v/>
      </c>
      <c r="AA353" s="94" t="str">
        <f t="shared" si="1409"/>
        <v/>
      </c>
      <c r="AB353" s="94" t="str">
        <f t="shared" si="1409"/>
        <v/>
      </c>
      <c r="AC353" s="94">
        <f t="shared" si="1409"/>
        <v>96379</v>
      </c>
      <c r="AD353" s="95" t="str">
        <f t="shared" ref="AD353" si="1410">IF(ISERROR(VLOOKUP(AD352,$K$394:$W$428,9,FALSE)),"",VLOOKUP(AD352,$K$394:$W$428,9,FALSE))</f>
        <v/>
      </c>
      <c r="AE353" s="96"/>
      <c r="AF353" s="106" t="str">
        <f>IF(ISERROR(VLOOKUP(AF352,$K$394:$W$428,9,FALSE)),"",VLOOKUP(AF352,$K$394:$W$428,9,FALSE))</f>
        <v/>
      </c>
      <c r="AG353" s="299"/>
      <c r="AH353" s="97"/>
      <c r="AI353" s="73"/>
    </row>
    <row r="354" spans="1:35" ht="15" customHeight="1" outlineLevel="1">
      <c r="A354" s="293"/>
      <c r="B354" s="216" t="s">
        <v>21</v>
      </c>
      <c r="C354" s="39"/>
      <c r="D354" s="211"/>
      <c r="E354" s="37"/>
      <c r="F354" s="37"/>
      <c r="G354" s="37"/>
      <c r="H354" s="198" t="s">
        <v>51</v>
      </c>
      <c r="I354" s="38"/>
      <c r="J354" s="39"/>
      <c r="K354" s="37"/>
      <c r="L354" s="37"/>
      <c r="M354" s="37"/>
      <c r="N354" s="37"/>
      <c r="O354" s="37" t="s">
        <v>50</v>
      </c>
      <c r="P354" s="38"/>
      <c r="Q354" s="39"/>
      <c r="R354" s="37"/>
      <c r="S354" s="37"/>
      <c r="T354" s="37"/>
      <c r="U354" s="37"/>
      <c r="V354" s="211"/>
      <c r="W354" s="38"/>
      <c r="X354" s="39"/>
      <c r="Y354" s="37"/>
      <c r="Z354" s="37"/>
      <c r="AA354" s="37"/>
      <c r="AB354" s="37"/>
      <c r="AC354" s="37" t="s">
        <v>50</v>
      </c>
      <c r="AD354" s="38"/>
      <c r="AE354" s="39"/>
      <c r="AF354" s="104"/>
      <c r="AG354" s="299"/>
      <c r="AH354" s="93"/>
      <c r="AI354" s="73">
        <f>COUNTA($C354:$AF354)</f>
        <v>3</v>
      </c>
    </row>
    <row r="355" spans="1:35" ht="15.75" customHeight="1" outlineLevel="1">
      <c r="A355" s="293"/>
      <c r="B355" s="294"/>
      <c r="C355" s="42"/>
      <c r="D355" s="294"/>
      <c r="E355" s="40" t="str">
        <f t="shared" ref="E355:H355" si="1411">IF(ISERROR(VLOOKUP(E354,$K$394:$W$428,9,FALSE)),"",VLOOKUP(E354,$K$394:$W$428,9,FALSE))</f>
        <v/>
      </c>
      <c r="F355" s="40" t="str">
        <f t="shared" si="1411"/>
        <v/>
      </c>
      <c r="G355" s="40" t="str">
        <f t="shared" si="1411"/>
        <v/>
      </c>
      <c r="H355" s="40">
        <f t="shared" si="1411"/>
        <v>96379</v>
      </c>
      <c r="I355" s="41" t="str">
        <f t="shared" ref="I355" si="1412">IF(ISERROR(VLOOKUP(I354,$K$394:$W$428,9,FALSE)),"",VLOOKUP(I354,$K$394:$W$428,9,FALSE))</f>
        <v/>
      </c>
      <c r="J355" s="42"/>
      <c r="K355" s="40" t="str">
        <f t="shared" ref="K355:O355" si="1413">IF(ISERROR(VLOOKUP(K354,$K$394:$W$428,9,FALSE)),"",VLOOKUP(K354,$K$394:$W$428,9,FALSE))</f>
        <v/>
      </c>
      <c r="L355" s="40" t="str">
        <f t="shared" si="1413"/>
        <v/>
      </c>
      <c r="M355" s="40" t="str">
        <f t="shared" si="1413"/>
        <v/>
      </c>
      <c r="N355" s="40" t="str">
        <f t="shared" si="1413"/>
        <v/>
      </c>
      <c r="O355" s="40">
        <f t="shared" si="1413"/>
        <v>96379</v>
      </c>
      <c r="P355" s="41" t="str">
        <f t="shared" ref="P355" si="1414">IF(ISERROR(VLOOKUP(P354,$K$394:$W$428,9,FALSE)),"",VLOOKUP(P354,$K$394:$W$428,9,FALSE))</f>
        <v/>
      </c>
      <c r="Q355" s="42"/>
      <c r="R355" s="40" t="str">
        <f t="shared" ref="R355:U355" si="1415">IF(ISERROR(VLOOKUP(R354,$K$394:$W$428,9,FALSE)),"",VLOOKUP(R354,$K$394:$W$428,9,FALSE))</f>
        <v/>
      </c>
      <c r="S355" s="40" t="str">
        <f t="shared" si="1415"/>
        <v/>
      </c>
      <c r="T355" s="40" t="str">
        <f t="shared" si="1415"/>
        <v/>
      </c>
      <c r="U355" s="40" t="str">
        <f t="shared" si="1415"/>
        <v/>
      </c>
      <c r="V355" s="294"/>
      <c r="W355" s="41" t="str">
        <f t="shared" ref="W355" si="1416">IF(ISERROR(VLOOKUP(W354,$K$394:$W$428,9,FALSE)),"",VLOOKUP(W354,$K$394:$W$428,9,FALSE))</f>
        <v/>
      </c>
      <c r="X355" s="42"/>
      <c r="Y355" s="40" t="str">
        <f t="shared" ref="Y355:AC355" si="1417">IF(ISERROR(VLOOKUP(Y354,$K$394:$W$428,9,FALSE)),"",VLOOKUP(Y354,$K$394:$W$428,9,FALSE))</f>
        <v/>
      </c>
      <c r="Z355" s="40" t="str">
        <f t="shared" si="1417"/>
        <v/>
      </c>
      <c r="AA355" s="40" t="str">
        <f t="shared" si="1417"/>
        <v/>
      </c>
      <c r="AB355" s="40" t="str">
        <f t="shared" si="1417"/>
        <v/>
      </c>
      <c r="AC355" s="40">
        <f t="shared" si="1417"/>
        <v>96379</v>
      </c>
      <c r="AD355" s="41" t="str">
        <f t="shared" ref="AD355" si="1418">IF(ISERROR(VLOOKUP(AD354,$K$394:$W$428,9,FALSE)),"",VLOOKUP(AD354,$K$394:$W$428,9,FALSE))</f>
        <v/>
      </c>
      <c r="AE355" s="42"/>
      <c r="AF355" s="105" t="str">
        <f>IF(ISERROR(VLOOKUP(AF354,$K$394:$W$428,9,FALSE)),"",VLOOKUP(AF354,$K$394:$W$428,9,FALSE))</f>
        <v/>
      </c>
      <c r="AG355" s="299"/>
      <c r="AH355" s="97"/>
      <c r="AI355" s="73"/>
    </row>
    <row r="356" spans="1:35" ht="15" customHeight="1" outlineLevel="1">
      <c r="A356" s="293"/>
      <c r="B356" s="215" t="s">
        <v>22</v>
      </c>
      <c r="C356" s="100"/>
      <c r="D356" s="211"/>
      <c r="E356" s="98"/>
      <c r="F356" s="98"/>
      <c r="G356" s="98"/>
      <c r="H356" s="98"/>
      <c r="I356" s="99"/>
      <c r="J356" s="100"/>
      <c r="K356" s="98"/>
      <c r="L356" s="98"/>
      <c r="M356" s="98"/>
      <c r="N356" s="98"/>
      <c r="O356" s="98"/>
      <c r="P356" s="99"/>
      <c r="Q356" s="100"/>
      <c r="R356" s="98"/>
      <c r="S356" s="98"/>
      <c r="T356" s="98"/>
      <c r="U356" s="98"/>
      <c r="V356" s="211"/>
      <c r="W356" s="99"/>
      <c r="X356" s="100"/>
      <c r="Y356" s="98"/>
      <c r="Z356" s="98"/>
      <c r="AA356" s="98"/>
      <c r="AB356" s="98"/>
      <c r="AC356" s="98"/>
      <c r="AD356" s="99"/>
      <c r="AE356" s="100"/>
      <c r="AF356" s="107"/>
      <c r="AG356" s="299"/>
      <c r="AH356" s="93"/>
      <c r="AI356" s="73">
        <f>COUNTA($C356:$AF356)</f>
        <v>0</v>
      </c>
    </row>
    <row r="357" spans="1:35" ht="15.75" customHeight="1" outlineLevel="1">
      <c r="A357" s="295"/>
      <c r="B357" s="295"/>
      <c r="C357" s="45"/>
      <c r="D357" s="295"/>
      <c r="E357" s="43" t="str">
        <f t="shared" ref="E357:H357" si="1419">IF(ISERROR(VLOOKUP(E356,$K$394:$W$428,9,FALSE)),"",VLOOKUP(E356,$K$394:$W$428,9,FALSE))</f>
        <v/>
      </c>
      <c r="F357" s="43" t="str">
        <f t="shared" si="1419"/>
        <v/>
      </c>
      <c r="G357" s="43" t="str">
        <f t="shared" si="1419"/>
        <v/>
      </c>
      <c r="H357" s="43" t="str">
        <f t="shared" si="1419"/>
        <v/>
      </c>
      <c r="I357" s="44" t="str">
        <f t="shared" ref="I357" si="1420">IF(ISERROR(VLOOKUP(I356,$K$394:$W$428,9,FALSE)),"",VLOOKUP(I356,$K$394:$W$428,9,FALSE))</f>
        <v/>
      </c>
      <c r="J357" s="45"/>
      <c r="K357" s="43" t="str">
        <f t="shared" ref="K357:O357" si="1421">IF(ISERROR(VLOOKUP(K356,$K$394:$W$428,9,FALSE)),"",VLOOKUP(K356,$K$394:$W$428,9,FALSE))</f>
        <v/>
      </c>
      <c r="L357" s="43" t="str">
        <f t="shared" si="1421"/>
        <v/>
      </c>
      <c r="M357" s="43" t="str">
        <f t="shared" si="1421"/>
        <v/>
      </c>
      <c r="N357" s="43" t="str">
        <f t="shared" si="1421"/>
        <v/>
      </c>
      <c r="O357" s="43" t="str">
        <f t="shared" si="1421"/>
        <v/>
      </c>
      <c r="P357" s="44" t="str">
        <f t="shared" ref="P357" si="1422">IF(ISERROR(VLOOKUP(P356,$K$394:$W$428,9,FALSE)),"",VLOOKUP(P356,$K$394:$W$428,9,FALSE))</f>
        <v/>
      </c>
      <c r="Q357" s="45"/>
      <c r="R357" s="43" t="str">
        <f t="shared" ref="R357:U357" si="1423">IF(ISERROR(VLOOKUP(R356,$K$394:$W$428,9,FALSE)),"",VLOOKUP(R356,$K$394:$W$428,9,FALSE))</f>
        <v/>
      </c>
      <c r="S357" s="43" t="str">
        <f t="shared" si="1423"/>
        <v/>
      </c>
      <c r="T357" s="43" t="str">
        <f t="shared" si="1423"/>
        <v/>
      </c>
      <c r="U357" s="43" t="str">
        <f t="shared" si="1423"/>
        <v/>
      </c>
      <c r="V357" s="295"/>
      <c r="W357" s="44" t="str">
        <f t="shared" ref="W357" si="1424">IF(ISERROR(VLOOKUP(W356,$K$394:$W$428,9,FALSE)),"",VLOOKUP(W356,$K$394:$W$428,9,FALSE))</f>
        <v/>
      </c>
      <c r="X357" s="45"/>
      <c r="Y357" s="43" t="str">
        <f t="shared" ref="Y357:AC357" si="1425">IF(ISERROR(VLOOKUP(Y356,$K$394:$W$428,9,FALSE)),"",VLOOKUP(Y356,$K$394:$W$428,9,FALSE))</f>
        <v/>
      </c>
      <c r="Z357" s="43" t="str">
        <f t="shared" si="1425"/>
        <v/>
      </c>
      <c r="AA357" s="43" t="str">
        <f t="shared" si="1425"/>
        <v/>
      </c>
      <c r="AB357" s="43" t="str">
        <f t="shared" si="1425"/>
        <v/>
      </c>
      <c r="AC357" s="43" t="str">
        <f t="shared" si="1425"/>
        <v/>
      </c>
      <c r="AD357" s="44" t="str">
        <f t="shared" ref="AD357" si="1426">IF(ISERROR(VLOOKUP(AD356,$K$394:$W$428,9,FALSE)),"",VLOOKUP(AD356,$K$394:$W$428,9,FALSE))</f>
        <v/>
      </c>
      <c r="AE357" s="45"/>
      <c r="AF357" s="108" t="str">
        <f>IF(ISERROR(VLOOKUP(AF356,$K$394:$W$428,9,FALSE)),"",VLOOKUP(AF356,$K$394:$W$428,9,FALSE))</f>
        <v/>
      </c>
      <c r="AG357" s="292"/>
      <c r="AH357" s="97"/>
      <c r="AI357" s="73"/>
    </row>
    <row r="358" spans="1:35" ht="15.75" customHeight="1">
      <c r="A358" s="46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31"/>
      <c r="Y358" s="1"/>
      <c r="Z358" s="1"/>
      <c r="AA358" s="31"/>
      <c r="AB358" s="31"/>
      <c r="AC358" s="31"/>
      <c r="AD358" s="31"/>
      <c r="AE358" s="31"/>
      <c r="AF358" s="1"/>
      <c r="AG358" s="1"/>
      <c r="AH358" s="21"/>
      <c r="AI358" s="70"/>
    </row>
    <row r="359" spans="1:35" ht="23.25" customHeight="1" outlineLevel="1">
      <c r="A359" s="218">
        <f>A327+30</f>
        <v>46357</v>
      </c>
      <c r="B359" s="219"/>
      <c r="C359" s="219"/>
      <c r="D359" s="219"/>
      <c r="E359" s="219"/>
      <c r="F359" s="219"/>
      <c r="G359" s="219"/>
      <c r="H359" s="219"/>
      <c r="I359" s="219"/>
      <c r="J359" s="219"/>
      <c r="K359" s="219"/>
      <c r="L359" s="219"/>
      <c r="M359" s="220"/>
      <c r="N359" s="213" t="s">
        <v>14</v>
      </c>
      <c r="O359" s="214"/>
      <c r="P359" s="214"/>
      <c r="Q359" s="214"/>
      <c r="R359" s="68">
        <v>20</v>
      </c>
      <c r="S359" s="212" t="s">
        <v>15</v>
      </c>
      <c r="T359" s="212"/>
      <c r="U359" s="212"/>
      <c r="V359" s="212"/>
      <c r="W359" s="69">
        <f>SUM(AI362:AI389)</f>
        <v>70</v>
      </c>
      <c r="X359" s="212" t="s">
        <v>16</v>
      </c>
      <c r="Y359" s="212"/>
      <c r="Z359" s="212"/>
      <c r="AA359" s="212"/>
      <c r="AB359" s="69">
        <f>IF($M$2="Mensalista",R359*8,IF($M$2="Horista",90,IF($M$2="Intermitente",(ROUNDDOWN((R359*8*0.909),0)),"")))</f>
        <v>160</v>
      </c>
      <c r="AC359" s="212" t="s">
        <v>17</v>
      </c>
      <c r="AD359" s="245"/>
      <c r="AE359" s="245"/>
      <c r="AF359" s="246">
        <f>IF($M$2="","",IF($M$2="RSA","",W359/AB359))</f>
        <v>0.4375</v>
      </c>
      <c r="AG359" s="289"/>
      <c r="AH359" s="101"/>
      <c r="AI359" s="72"/>
    </row>
    <row r="360" spans="1:35" ht="15.75" customHeight="1" outlineLevel="1">
      <c r="A360" s="217"/>
      <c r="B360" s="290"/>
      <c r="C360" s="32">
        <f>A359</f>
        <v>46357</v>
      </c>
      <c r="D360" s="32">
        <f t="shared" ref="D360:AG360" si="1427">C360+1</f>
        <v>46358</v>
      </c>
      <c r="E360" s="32">
        <f t="shared" si="1427"/>
        <v>46359</v>
      </c>
      <c r="F360" s="32">
        <f t="shared" si="1427"/>
        <v>46360</v>
      </c>
      <c r="G360" s="33">
        <f t="shared" si="1427"/>
        <v>46361</v>
      </c>
      <c r="H360" s="34">
        <f t="shared" si="1427"/>
        <v>46362</v>
      </c>
      <c r="I360" s="32">
        <f t="shared" si="1427"/>
        <v>46363</v>
      </c>
      <c r="J360" s="32">
        <f t="shared" si="1427"/>
        <v>46364</v>
      </c>
      <c r="K360" s="32">
        <f t="shared" si="1427"/>
        <v>46365</v>
      </c>
      <c r="L360" s="32">
        <f t="shared" si="1427"/>
        <v>46366</v>
      </c>
      <c r="M360" s="32">
        <f t="shared" si="1427"/>
        <v>46367</v>
      </c>
      <c r="N360" s="33">
        <f t="shared" si="1427"/>
        <v>46368</v>
      </c>
      <c r="O360" s="34">
        <f t="shared" si="1427"/>
        <v>46369</v>
      </c>
      <c r="P360" s="32">
        <f t="shared" si="1427"/>
        <v>46370</v>
      </c>
      <c r="Q360" s="32">
        <f t="shared" si="1427"/>
        <v>46371</v>
      </c>
      <c r="R360" s="32">
        <f t="shared" si="1427"/>
        <v>46372</v>
      </c>
      <c r="S360" s="32">
        <f t="shared" si="1427"/>
        <v>46373</v>
      </c>
      <c r="T360" s="32">
        <f t="shared" si="1427"/>
        <v>46374</v>
      </c>
      <c r="U360" s="33">
        <f t="shared" si="1427"/>
        <v>46375</v>
      </c>
      <c r="V360" s="34">
        <f t="shared" si="1427"/>
        <v>46376</v>
      </c>
      <c r="W360" s="32">
        <f t="shared" si="1427"/>
        <v>46377</v>
      </c>
      <c r="X360" s="32">
        <f t="shared" si="1427"/>
        <v>46378</v>
      </c>
      <c r="Y360" s="32">
        <f t="shared" si="1427"/>
        <v>46379</v>
      </c>
      <c r="Z360" s="32">
        <f t="shared" si="1427"/>
        <v>46380</v>
      </c>
      <c r="AA360" s="32">
        <f t="shared" si="1427"/>
        <v>46381</v>
      </c>
      <c r="AB360" s="33">
        <f t="shared" si="1427"/>
        <v>46382</v>
      </c>
      <c r="AC360" s="34">
        <f t="shared" si="1427"/>
        <v>46383</v>
      </c>
      <c r="AD360" s="32">
        <f t="shared" si="1427"/>
        <v>46384</v>
      </c>
      <c r="AE360" s="47">
        <f t="shared" si="1427"/>
        <v>46385</v>
      </c>
      <c r="AF360" s="47">
        <f t="shared" si="1427"/>
        <v>46386</v>
      </c>
      <c r="AG360" s="47">
        <f t="shared" si="1427"/>
        <v>46387</v>
      </c>
      <c r="AH360" s="90"/>
      <c r="AI360" s="73"/>
    </row>
    <row r="361" spans="1:35" ht="15.75" customHeight="1" outlineLevel="1">
      <c r="A361" s="291"/>
      <c r="B361" s="292"/>
      <c r="C361" s="91">
        <f>A359</f>
        <v>46357</v>
      </c>
      <c r="D361" s="91">
        <f t="shared" ref="D361:AG361" si="1428">C361+1</f>
        <v>46358</v>
      </c>
      <c r="E361" s="91">
        <f t="shared" si="1428"/>
        <v>46359</v>
      </c>
      <c r="F361" s="91">
        <f t="shared" si="1428"/>
        <v>46360</v>
      </c>
      <c r="G361" s="35">
        <f t="shared" si="1428"/>
        <v>46361</v>
      </c>
      <c r="H361" s="36">
        <f t="shared" si="1428"/>
        <v>46362</v>
      </c>
      <c r="I361" s="91">
        <f t="shared" si="1428"/>
        <v>46363</v>
      </c>
      <c r="J361" s="91">
        <f t="shared" si="1428"/>
        <v>46364</v>
      </c>
      <c r="K361" s="91">
        <f t="shared" si="1428"/>
        <v>46365</v>
      </c>
      <c r="L361" s="91">
        <f t="shared" si="1428"/>
        <v>46366</v>
      </c>
      <c r="M361" s="91">
        <f t="shared" si="1428"/>
        <v>46367</v>
      </c>
      <c r="N361" s="35">
        <f t="shared" si="1428"/>
        <v>46368</v>
      </c>
      <c r="O361" s="36">
        <f t="shared" si="1428"/>
        <v>46369</v>
      </c>
      <c r="P361" s="91">
        <f t="shared" si="1428"/>
        <v>46370</v>
      </c>
      <c r="Q361" s="91">
        <f t="shared" si="1428"/>
        <v>46371</v>
      </c>
      <c r="R361" s="91">
        <f t="shared" si="1428"/>
        <v>46372</v>
      </c>
      <c r="S361" s="91">
        <f t="shared" si="1428"/>
        <v>46373</v>
      </c>
      <c r="T361" s="91">
        <f t="shared" si="1428"/>
        <v>46374</v>
      </c>
      <c r="U361" s="35">
        <f t="shared" si="1428"/>
        <v>46375</v>
      </c>
      <c r="V361" s="36">
        <f t="shared" si="1428"/>
        <v>46376</v>
      </c>
      <c r="W361" s="91">
        <f t="shared" si="1428"/>
        <v>46377</v>
      </c>
      <c r="X361" s="91">
        <f t="shared" si="1428"/>
        <v>46378</v>
      </c>
      <c r="Y361" s="91">
        <f t="shared" si="1428"/>
        <v>46379</v>
      </c>
      <c r="Z361" s="91">
        <f t="shared" si="1428"/>
        <v>46380</v>
      </c>
      <c r="AA361" s="91">
        <f t="shared" si="1428"/>
        <v>46381</v>
      </c>
      <c r="AB361" s="35">
        <f t="shared" si="1428"/>
        <v>46382</v>
      </c>
      <c r="AC361" s="36">
        <f t="shared" si="1428"/>
        <v>46383</v>
      </c>
      <c r="AD361" s="91">
        <f t="shared" si="1428"/>
        <v>46384</v>
      </c>
      <c r="AE361" s="48">
        <f t="shared" si="1428"/>
        <v>46385</v>
      </c>
      <c r="AF361" s="48">
        <f t="shared" si="1428"/>
        <v>46386</v>
      </c>
      <c r="AG361" s="48">
        <f t="shared" si="1428"/>
        <v>46387</v>
      </c>
      <c r="AH361" s="92"/>
      <c r="AI361" s="72"/>
    </row>
    <row r="362" spans="1:35" ht="15" customHeight="1" outlineLevel="1">
      <c r="A362" s="222" t="s">
        <v>18</v>
      </c>
      <c r="B362" s="215" t="s">
        <v>19</v>
      </c>
      <c r="C362" s="182" t="s">
        <v>46</v>
      </c>
      <c r="D362" s="182" t="s">
        <v>46</v>
      </c>
      <c r="E362" s="148" t="s">
        <v>47</v>
      </c>
      <c r="F362" s="148" t="s">
        <v>47</v>
      </c>
      <c r="G362" s="38"/>
      <c r="H362" s="39"/>
      <c r="I362" s="182" t="s">
        <v>46</v>
      </c>
      <c r="J362" s="182" t="s">
        <v>46</v>
      </c>
      <c r="K362" s="148" t="s">
        <v>47</v>
      </c>
      <c r="L362" s="148" t="s">
        <v>47</v>
      </c>
      <c r="M362" s="37"/>
      <c r="N362" s="38"/>
      <c r="O362" s="39"/>
      <c r="P362" s="182" t="s">
        <v>46</v>
      </c>
      <c r="Q362" s="182" t="s">
        <v>46</v>
      </c>
      <c r="R362" s="182" t="s">
        <v>46</v>
      </c>
      <c r="S362" s="182" t="s">
        <v>46</v>
      </c>
      <c r="T362" s="37"/>
      <c r="U362" s="38"/>
      <c r="V362" s="39"/>
      <c r="W362" s="37"/>
      <c r="X362" s="37"/>
      <c r="Y362" s="37"/>
      <c r="Z362" s="211"/>
      <c r="AA362" s="211"/>
      <c r="AB362" s="38"/>
      <c r="AC362" s="39"/>
      <c r="AD362" s="37"/>
      <c r="AE362" s="37"/>
      <c r="AF362" s="37"/>
      <c r="AG362" s="37"/>
      <c r="AH362" s="93"/>
      <c r="AI362" s="73">
        <f>COUNTA($C362:$AG362)</f>
        <v>12</v>
      </c>
    </row>
    <row r="363" spans="1:35" ht="15.75" customHeight="1" outlineLevel="1">
      <c r="A363" s="221"/>
      <c r="B363" s="293"/>
      <c r="C363" s="94">
        <f t="shared" ref="C363:G363" si="1429">IF(ISERROR(VLOOKUP(C362,$K$394:$W$428,9,FALSE)),"",VLOOKUP(C362,$K$394:$W$428,9,FALSE))</f>
        <v>202629</v>
      </c>
      <c r="D363" s="94">
        <f t="shared" si="1429"/>
        <v>202629</v>
      </c>
      <c r="E363" s="94">
        <f t="shared" si="1429"/>
        <v>202629</v>
      </c>
      <c r="F363" s="94">
        <f t="shared" si="1429"/>
        <v>202629</v>
      </c>
      <c r="G363" s="95" t="str">
        <f t="shared" si="1429"/>
        <v/>
      </c>
      <c r="H363" s="96"/>
      <c r="I363" s="94">
        <f t="shared" ref="I363:L363" si="1430">IF(ISERROR(VLOOKUP(I362,$K$394:$W$428,9,FALSE)),"",VLOOKUP(I362,$K$394:$W$428,9,FALSE))</f>
        <v>202629</v>
      </c>
      <c r="J363" s="94">
        <f t="shared" si="1430"/>
        <v>202629</v>
      </c>
      <c r="K363" s="94">
        <f t="shared" si="1430"/>
        <v>202629</v>
      </c>
      <c r="L363" s="94">
        <f t="shared" si="1430"/>
        <v>202629</v>
      </c>
      <c r="M363" s="94" t="str">
        <f t="shared" ref="M363" si="1431">IF(ISERROR(VLOOKUP(M362,$K$394:$W$428,9,FALSE)),"",VLOOKUP(M362,$K$394:$W$428,9,FALSE))</f>
        <v/>
      </c>
      <c r="N363" s="95" t="str">
        <f t="shared" ref="N363" si="1432">IF(ISERROR(VLOOKUP(N362,$K$394:$W$428,9,FALSE)),"",VLOOKUP(N362,$K$394:$W$428,9,FALSE))</f>
        <v/>
      </c>
      <c r="O363" s="96"/>
      <c r="P363" s="94">
        <f t="shared" ref="P363:S363" si="1433">IF(ISERROR(VLOOKUP(P362,$K$394:$W$428,9,FALSE)),"",VLOOKUP(P362,$K$394:$W$428,9,FALSE))</f>
        <v>202629</v>
      </c>
      <c r="Q363" s="94">
        <f t="shared" si="1433"/>
        <v>202629</v>
      </c>
      <c r="R363" s="94">
        <f t="shared" si="1433"/>
        <v>202629</v>
      </c>
      <c r="S363" s="94">
        <f t="shared" si="1433"/>
        <v>202629</v>
      </c>
      <c r="T363" s="94" t="str">
        <f t="shared" ref="T363:U363" si="1434">IF(ISERROR(VLOOKUP(T362,$K$394:$W$428,9,FALSE)),"",VLOOKUP(T362,$K$394:$W$428,9,FALSE))</f>
        <v/>
      </c>
      <c r="U363" s="95" t="str">
        <f t="shared" si="1434"/>
        <v/>
      </c>
      <c r="V363" s="96"/>
      <c r="W363" s="94" t="str">
        <f t="shared" ref="W363:Y363" si="1435">IF(ISERROR(VLOOKUP(W362,$K$394:$W$428,9,FALSE)),"",VLOOKUP(W362,$K$394:$W$428,9,FALSE))</f>
        <v/>
      </c>
      <c r="X363" s="94" t="str">
        <f t="shared" si="1435"/>
        <v/>
      </c>
      <c r="Y363" s="94" t="str">
        <f t="shared" si="1435"/>
        <v/>
      </c>
      <c r="Z363" s="294"/>
      <c r="AA363" s="294"/>
      <c r="AB363" s="95" t="str">
        <f t="shared" ref="AB363" si="1436">IF(ISERROR(VLOOKUP(AB362,$K$394:$W$428,9,FALSE)),"",VLOOKUP(AB362,$K$394:$W$428,9,FALSE))</f>
        <v/>
      </c>
      <c r="AC363" s="96"/>
      <c r="AD363" s="94" t="str">
        <f t="shared" ref="AD363:AG363" si="1437">IF(ISERROR(VLOOKUP(AD362,$K$394:$W$428,9,FALSE)),"",VLOOKUP(AD362,$K$394:$W$428,9,FALSE))</f>
        <v/>
      </c>
      <c r="AE363" s="94" t="str">
        <f t="shared" si="1437"/>
        <v/>
      </c>
      <c r="AF363" s="94" t="str">
        <f t="shared" si="1437"/>
        <v/>
      </c>
      <c r="AG363" s="94" t="str">
        <f t="shared" si="1437"/>
        <v/>
      </c>
      <c r="AH363" s="97"/>
      <c r="AI363" s="73"/>
    </row>
    <row r="364" spans="1:35" ht="15" customHeight="1" outlineLevel="1">
      <c r="A364" s="221"/>
      <c r="B364" s="216" t="s">
        <v>20</v>
      </c>
      <c r="C364" s="182" t="s">
        <v>46</v>
      </c>
      <c r="D364" s="182" t="s">
        <v>46</v>
      </c>
      <c r="E364" s="148" t="s">
        <v>47</v>
      </c>
      <c r="F364" s="148" t="s">
        <v>47</v>
      </c>
      <c r="G364" s="196" t="s">
        <v>50</v>
      </c>
      <c r="H364" s="39"/>
      <c r="I364" s="182" t="s">
        <v>46</v>
      </c>
      <c r="J364" s="182" t="s">
        <v>46</v>
      </c>
      <c r="K364" s="148" t="s">
        <v>47</v>
      </c>
      <c r="L364" s="148" t="s">
        <v>47</v>
      </c>
      <c r="M364" s="37"/>
      <c r="N364" s="196" t="s">
        <v>50</v>
      </c>
      <c r="O364" s="39"/>
      <c r="P364" s="182" t="s">
        <v>46</v>
      </c>
      <c r="Q364" s="182" t="s">
        <v>46</v>
      </c>
      <c r="R364" s="182" t="s">
        <v>46</v>
      </c>
      <c r="S364" s="182" t="s">
        <v>46</v>
      </c>
      <c r="T364" s="37"/>
      <c r="U364" s="196" t="s">
        <v>50</v>
      </c>
      <c r="V364" s="39"/>
      <c r="W364" s="37"/>
      <c r="X364" s="37"/>
      <c r="Y364" s="37"/>
      <c r="Z364" s="211"/>
      <c r="AA364" s="211"/>
      <c r="AB364" s="38"/>
      <c r="AC364" s="39"/>
      <c r="AD364" s="37"/>
      <c r="AE364" s="37"/>
      <c r="AF364" s="37"/>
      <c r="AG364" s="37"/>
      <c r="AH364" s="93"/>
      <c r="AI364" s="73">
        <f>COUNTA($C364:$AG364)</f>
        <v>15</v>
      </c>
    </row>
    <row r="365" spans="1:35" ht="15.75" customHeight="1" outlineLevel="1">
      <c r="A365" s="221"/>
      <c r="B365" s="294"/>
      <c r="C365" s="94">
        <f t="shared" ref="C365:G365" si="1438">IF(ISERROR(VLOOKUP(C364,$K$394:$W$428,9,FALSE)),"",VLOOKUP(C364,$K$394:$W$428,9,FALSE))</f>
        <v>202629</v>
      </c>
      <c r="D365" s="94">
        <f t="shared" si="1438"/>
        <v>202629</v>
      </c>
      <c r="E365" s="40">
        <f t="shared" si="1438"/>
        <v>202629</v>
      </c>
      <c r="F365" s="40">
        <f t="shared" si="1438"/>
        <v>202629</v>
      </c>
      <c r="G365" s="191">
        <f t="shared" si="1438"/>
        <v>96379</v>
      </c>
      <c r="H365" s="96"/>
      <c r="I365" s="94">
        <f t="shared" ref="I365:L365" si="1439">IF(ISERROR(VLOOKUP(I364,$K$394:$W$428,9,FALSE)),"",VLOOKUP(I364,$K$394:$W$428,9,FALSE))</f>
        <v>202629</v>
      </c>
      <c r="J365" s="94">
        <f t="shared" si="1439"/>
        <v>202629</v>
      </c>
      <c r="K365" s="40">
        <f t="shared" si="1439"/>
        <v>202629</v>
      </c>
      <c r="L365" s="40">
        <f t="shared" si="1439"/>
        <v>202629</v>
      </c>
      <c r="M365" s="40" t="str">
        <f t="shared" ref="M365:N365" si="1440">IF(ISERROR(VLOOKUP(M364,$K$394:$W$428,9,FALSE)),"",VLOOKUP(M364,$K$394:$W$428,9,FALSE))</f>
        <v/>
      </c>
      <c r="N365" s="191">
        <f t="shared" si="1440"/>
        <v>96379</v>
      </c>
      <c r="O365" s="96"/>
      <c r="P365" s="94">
        <f t="shared" ref="P365:S365" si="1441">IF(ISERROR(VLOOKUP(P364,$K$394:$W$428,9,FALSE)),"",VLOOKUP(P364,$K$394:$W$428,9,FALSE))</f>
        <v>202629</v>
      </c>
      <c r="Q365" s="94">
        <f t="shared" si="1441"/>
        <v>202629</v>
      </c>
      <c r="R365" s="94">
        <f t="shared" si="1441"/>
        <v>202629</v>
      </c>
      <c r="S365" s="94">
        <f t="shared" si="1441"/>
        <v>202629</v>
      </c>
      <c r="T365" s="94" t="str">
        <f t="shared" ref="T365:U365" si="1442">IF(ISERROR(VLOOKUP(T364,$K$394:$W$428,9,FALSE)),"",VLOOKUP(T364,$K$394:$W$428,9,FALSE))</f>
        <v/>
      </c>
      <c r="U365" s="191">
        <f t="shared" si="1442"/>
        <v>96379</v>
      </c>
      <c r="V365" s="96"/>
      <c r="W365" s="94" t="str">
        <f t="shared" ref="W365:Y365" si="1443">IF(ISERROR(VLOOKUP(W364,$K$394:$W$428,9,FALSE)),"",VLOOKUP(W364,$K$394:$W$428,9,FALSE))</f>
        <v/>
      </c>
      <c r="X365" s="94" t="str">
        <f t="shared" si="1443"/>
        <v/>
      </c>
      <c r="Y365" s="94" t="str">
        <f t="shared" si="1443"/>
        <v/>
      </c>
      <c r="Z365" s="294"/>
      <c r="AA365" s="294"/>
      <c r="AB365" s="95" t="str">
        <f t="shared" ref="AB365" si="1444">IF(ISERROR(VLOOKUP(AB364,$K$394:$W$428,9,FALSE)),"",VLOOKUP(AB364,$K$394:$W$428,9,FALSE))</f>
        <v/>
      </c>
      <c r="AC365" s="96"/>
      <c r="AD365" s="94" t="str">
        <f t="shared" ref="AD365:AG365" si="1445">IF(ISERROR(VLOOKUP(AD364,$K$394:$W$428,9,FALSE)),"",VLOOKUP(AD364,$K$394:$W$428,9,FALSE))</f>
        <v/>
      </c>
      <c r="AE365" s="94" t="str">
        <f t="shared" si="1445"/>
        <v/>
      </c>
      <c r="AF365" s="94" t="str">
        <f t="shared" si="1445"/>
        <v/>
      </c>
      <c r="AG365" s="94" t="str">
        <f t="shared" si="1445"/>
        <v/>
      </c>
      <c r="AH365" s="97"/>
      <c r="AI365" s="73"/>
    </row>
    <row r="366" spans="1:35" ht="15" customHeight="1" outlineLevel="1">
      <c r="A366" s="221"/>
      <c r="B366" s="216" t="s">
        <v>21</v>
      </c>
      <c r="C366" s="182" t="s">
        <v>46</v>
      </c>
      <c r="D366" s="182" t="s">
        <v>46</v>
      </c>
      <c r="E366" s="148" t="s">
        <v>47</v>
      </c>
      <c r="F366" s="148" t="s">
        <v>47</v>
      </c>
      <c r="G366" s="196" t="s">
        <v>50</v>
      </c>
      <c r="H366" s="39"/>
      <c r="I366" s="182" t="s">
        <v>46</v>
      </c>
      <c r="J366" s="182" t="s">
        <v>46</v>
      </c>
      <c r="K366" s="148" t="s">
        <v>47</v>
      </c>
      <c r="L366" s="148" t="s">
        <v>47</v>
      </c>
      <c r="M366" s="37"/>
      <c r="N366" s="196" t="s">
        <v>50</v>
      </c>
      <c r="O366" s="39"/>
      <c r="P366" s="182" t="s">
        <v>46</v>
      </c>
      <c r="Q366" s="182" t="s">
        <v>46</v>
      </c>
      <c r="R366" s="182" t="s">
        <v>46</v>
      </c>
      <c r="S366" s="182"/>
      <c r="T366" s="37"/>
      <c r="U366" s="196" t="s">
        <v>50</v>
      </c>
      <c r="V366" s="39"/>
      <c r="W366" s="37"/>
      <c r="X366" s="37"/>
      <c r="Y366" s="37"/>
      <c r="Z366" s="211"/>
      <c r="AA366" s="211"/>
      <c r="AB366" s="38"/>
      <c r="AC366" s="39"/>
      <c r="AD366" s="37"/>
      <c r="AE366" s="37"/>
      <c r="AF366" s="37"/>
      <c r="AG366" s="37"/>
      <c r="AH366" s="93"/>
      <c r="AI366" s="73">
        <f>COUNTA($C366:$AG366)</f>
        <v>14</v>
      </c>
    </row>
    <row r="367" spans="1:35" ht="15.75" customHeight="1" outlineLevel="1">
      <c r="A367" s="221"/>
      <c r="B367" s="294"/>
      <c r="C367" s="40">
        <f t="shared" ref="C367:G367" si="1446">IF(ISERROR(VLOOKUP(C366,$K$394:$W$428,9,FALSE)),"",VLOOKUP(C366,$K$394:$W$428,9,FALSE))</f>
        <v>202629</v>
      </c>
      <c r="D367" s="40">
        <f t="shared" si="1446"/>
        <v>202629</v>
      </c>
      <c r="E367" s="94">
        <f t="shared" si="1446"/>
        <v>202629</v>
      </c>
      <c r="F367" s="94">
        <f t="shared" si="1446"/>
        <v>202629</v>
      </c>
      <c r="G367" s="197">
        <f t="shared" si="1446"/>
        <v>96379</v>
      </c>
      <c r="H367" s="42"/>
      <c r="I367" s="40">
        <f t="shared" ref="I367:L367" si="1447">IF(ISERROR(VLOOKUP(I366,$K$394:$W$428,9,FALSE)),"",VLOOKUP(I366,$K$394:$W$428,9,FALSE))</f>
        <v>202629</v>
      </c>
      <c r="J367" s="40">
        <f t="shared" si="1447"/>
        <v>202629</v>
      </c>
      <c r="K367" s="94">
        <f t="shared" si="1447"/>
        <v>202629</v>
      </c>
      <c r="L367" s="94">
        <f t="shared" si="1447"/>
        <v>202629</v>
      </c>
      <c r="M367" s="94" t="str">
        <f t="shared" ref="M367:N367" si="1448">IF(ISERROR(VLOOKUP(M366,$K$394:$W$428,9,FALSE)),"",VLOOKUP(M366,$K$394:$W$428,9,FALSE))</f>
        <v/>
      </c>
      <c r="N367" s="197">
        <f t="shared" si="1448"/>
        <v>96379</v>
      </c>
      <c r="O367" s="42"/>
      <c r="P367" s="40">
        <f t="shared" ref="P367:S367" si="1449">IF(ISERROR(VLOOKUP(P366,$K$394:$W$428,9,FALSE)),"",VLOOKUP(P366,$K$394:$W$428,9,FALSE))</f>
        <v>202629</v>
      </c>
      <c r="Q367" s="40">
        <f t="shared" si="1449"/>
        <v>202629</v>
      </c>
      <c r="R367" s="40">
        <f t="shared" si="1449"/>
        <v>202629</v>
      </c>
      <c r="S367" s="40" t="str">
        <f t="shared" si="1449"/>
        <v/>
      </c>
      <c r="T367" s="40" t="str">
        <f t="shared" ref="T367:U367" si="1450">IF(ISERROR(VLOOKUP(T366,$K$394:$W$428,9,FALSE)),"",VLOOKUP(T366,$K$394:$W$428,9,FALSE))</f>
        <v/>
      </c>
      <c r="U367" s="197">
        <f t="shared" si="1450"/>
        <v>96379</v>
      </c>
      <c r="V367" s="42"/>
      <c r="W367" s="40" t="str">
        <f t="shared" ref="W367:Y367" si="1451">IF(ISERROR(VLOOKUP(W366,$K$394:$W$428,9,FALSE)),"",VLOOKUP(W366,$K$394:$W$428,9,FALSE))</f>
        <v/>
      </c>
      <c r="X367" s="40" t="str">
        <f t="shared" si="1451"/>
        <v/>
      </c>
      <c r="Y367" s="40" t="str">
        <f t="shared" si="1451"/>
        <v/>
      </c>
      <c r="Z367" s="294"/>
      <c r="AA367" s="294"/>
      <c r="AB367" s="41" t="str">
        <f t="shared" ref="AB367" si="1452">IF(ISERROR(VLOOKUP(AB366,$K$394:$W$428,9,FALSE)),"",VLOOKUP(AB366,$K$394:$W$428,9,FALSE))</f>
        <v/>
      </c>
      <c r="AC367" s="42"/>
      <c r="AD367" s="40" t="str">
        <f t="shared" ref="AD367:AG367" si="1453">IF(ISERROR(VLOOKUP(AD366,$K$394:$W$428,9,FALSE)),"",VLOOKUP(AD366,$K$394:$W$428,9,FALSE))</f>
        <v/>
      </c>
      <c r="AE367" s="40" t="str">
        <f t="shared" si="1453"/>
        <v/>
      </c>
      <c r="AF367" s="40" t="str">
        <f t="shared" si="1453"/>
        <v/>
      </c>
      <c r="AG367" s="40" t="str">
        <f t="shared" si="1453"/>
        <v/>
      </c>
      <c r="AH367" s="97"/>
      <c r="AI367" s="73"/>
    </row>
    <row r="368" spans="1:35" ht="15" customHeight="1" outlineLevel="1">
      <c r="A368" s="221"/>
      <c r="B368" s="216" t="s">
        <v>22</v>
      </c>
      <c r="C368" s="182" t="s">
        <v>46</v>
      </c>
      <c r="D368" s="182" t="s">
        <v>46</v>
      </c>
      <c r="E368" s="148" t="s">
        <v>47</v>
      </c>
      <c r="F368" s="148" t="s">
        <v>47</v>
      </c>
      <c r="G368" s="196" t="s">
        <v>50</v>
      </c>
      <c r="H368" s="39"/>
      <c r="I368" s="182" t="s">
        <v>46</v>
      </c>
      <c r="J368" s="182" t="s">
        <v>46</v>
      </c>
      <c r="K368" s="148" t="s">
        <v>47</v>
      </c>
      <c r="L368" s="148" t="s">
        <v>47</v>
      </c>
      <c r="M368" s="37"/>
      <c r="N368" s="196" t="s">
        <v>50</v>
      </c>
      <c r="O368" s="39"/>
      <c r="P368" s="182" t="s">
        <v>46</v>
      </c>
      <c r="Q368" s="182" t="s">
        <v>46</v>
      </c>
      <c r="R368" s="182" t="s">
        <v>46</v>
      </c>
      <c r="S368" s="182"/>
      <c r="T368" s="37"/>
      <c r="U368" s="196" t="s">
        <v>50</v>
      </c>
      <c r="V368" s="39"/>
      <c r="W368" s="37"/>
      <c r="X368" s="37"/>
      <c r="Y368" s="37"/>
      <c r="Z368" s="211"/>
      <c r="AA368" s="211"/>
      <c r="AB368" s="38"/>
      <c r="AC368" s="39"/>
      <c r="AD368" s="37"/>
      <c r="AE368" s="37"/>
      <c r="AF368" s="37"/>
      <c r="AG368" s="37"/>
      <c r="AH368" s="93"/>
      <c r="AI368" s="73">
        <f>COUNTA($C368:$AG368)</f>
        <v>14</v>
      </c>
    </row>
    <row r="369" spans="1:35" ht="15.75" customHeight="1" outlineLevel="1">
      <c r="A369" s="221"/>
      <c r="B369" s="294"/>
      <c r="C369" s="94">
        <f t="shared" ref="C369:G369" si="1454">IF(ISERROR(VLOOKUP(C368,$K$394:$W$428,9,FALSE)),"",VLOOKUP(C368,$K$394:$W$428,9,FALSE))</f>
        <v>202629</v>
      </c>
      <c r="D369" s="94">
        <f t="shared" si="1454"/>
        <v>202629</v>
      </c>
      <c r="E369" s="94">
        <f t="shared" si="1454"/>
        <v>202629</v>
      </c>
      <c r="F369" s="94">
        <f t="shared" si="1454"/>
        <v>202629</v>
      </c>
      <c r="G369" s="191">
        <f t="shared" si="1454"/>
        <v>96379</v>
      </c>
      <c r="H369" s="96"/>
      <c r="I369" s="94">
        <f t="shared" ref="I369:L369" si="1455">IF(ISERROR(VLOOKUP(I368,$K$394:$W$428,9,FALSE)),"",VLOOKUP(I368,$K$394:$W$428,9,FALSE))</f>
        <v>202629</v>
      </c>
      <c r="J369" s="94">
        <f t="shared" si="1455"/>
        <v>202629</v>
      </c>
      <c r="K369" s="94">
        <f t="shared" si="1455"/>
        <v>202629</v>
      </c>
      <c r="L369" s="94">
        <f t="shared" si="1455"/>
        <v>202629</v>
      </c>
      <c r="M369" s="94" t="str">
        <f t="shared" ref="M369:N369" si="1456">IF(ISERROR(VLOOKUP(M368,$K$394:$W$428,9,FALSE)),"",VLOOKUP(M368,$K$394:$W$428,9,FALSE))</f>
        <v/>
      </c>
      <c r="N369" s="191">
        <f t="shared" si="1456"/>
        <v>96379</v>
      </c>
      <c r="O369" s="96"/>
      <c r="P369" s="94">
        <f t="shared" ref="P369:S369" si="1457">IF(ISERROR(VLOOKUP(P368,$K$394:$W$428,9,FALSE)),"",VLOOKUP(P368,$K$394:$W$428,9,FALSE))</f>
        <v>202629</v>
      </c>
      <c r="Q369" s="94">
        <f t="shared" si="1457"/>
        <v>202629</v>
      </c>
      <c r="R369" s="94">
        <f t="shared" si="1457"/>
        <v>202629</v>
      </c>
      <c r="S369" s="94" t="str">
        <f t="shared" si="1457"/>
        <v/>
      </c>
      <c r="T369" s="94" t="str">
        <f t="shared" ref="T369:U369" si="1458">IF(ISERROR(VLOOKUP(T368,$K$394:$W$428,9,FALSE)),"",VLOOKUP(T368,$K$394:$W$428,9,FALSE))</f>
        <v/>
      </c>
      <c r="U369" s="191">
        <f t="shared" si="1458"/>
        <v>96379</v>
      </c>
      <c r="V369" s="96"/>
      <c r="W369" s="94" t="str">
        <f t="shared" ref="W369:Y369" si="1459">IF(ISERROR(VLOOKUP(W368,$K$394:$W$428,9,FALSE)),"",VLOOKUP(W368,$K$394:$W$428,9,FALSE))</f>
        <v/>
      </c>
      <c r="X369" s="94" t="str">
        <f t="shared" si="1459"/>
        <v/>
      </c>
      <c r="Y369" s="94" t="str">
        <f t="shared" si="1459"/>
        <v/>
      </c>
      <c r="Z369" s="294"/>
      <c r="AA369" s="294"/>
      <c r="AB369" s="95" t="str">
        <f t="shared" ref="AB369" si="1460">IF(ISERROR(VLOOKUP(AB368,$K$394:$W$428,9,FALSE)),"",VLOOKUP(AB368,$K$394:$W$428,9,FALSE))</f>
        <v/>
      </c>
      <c r="AC369" s="96"/>
      <c r="AD369" s="94" t="str">
        <f t="shared" ref="AD369:AG369" si="1461">IF(ISERROR(VLOOKUP(AD368,$K$394:$W$428,9,FALSE)),"",VLOOKUP(AD368,$K$394:$W$428,9,FALSE))</f>
        <v/>
      </c>
      <c r="AE369" s="94" t="str">
        <f t="shared" si="1461"/>
        <v/>
      </c>
      <c r="AF369" s="94" t="str">
        <f t="shared" si="1461"/>
        <v/>
      </c>
      <c r="AG369" s="94" t="str">
        <f t="shared" si="1461"/>
        <v/>
      </c>
      <c r="AH369" s="97"/>
      <c r="AI369" s="73"/>
    </row>
    <row r="370" spans="1:35" ht="15" customHeight="1" outlineLevel="1">
      <c r="A370" s="221"/>
      <c r="B370" s="216" t="s">
        <v>23</v>
      </c>
      <c r="C370" s="37"/>
      <c r="D370" s="37"/>
      <c r="E370" s="37"/>
      <c r="F370" s="37"/>
      <c r="G370" s="38"/>
      <c r="H370" s="39"/>
      <c r="I370" s="37"/>
      <c r="J370" s="37"/>
      <c r="K370" s="37"/>
      <c r="L370" s="37"/>
      <c r="M370" s="37"/>
      <c r="N370" s="38"/>
      <c r="O370" s="39"/>
      <c r="P370" s="37"/>
      <c r="Q370" s="37"/>
      <c r="R370" s="37"/>
      <c r="S370" s="37"/>
      <c r="T370" s="37"/>
      <c r="U370" s="38"/>
      <c r="V370" s="39"/>
      <c r="W370" s="37"/>
      <c r="X370" s="37"/>
      <c r="Y370" s="37"/>
      <c r="Z370" s="211"/>
      <c r="AA370" s="211"/>
      <c r="AB370" s="38"/>
      <c r="AC370" s="39"/>
      <c r="AD370" s="37"/>
      <c r="AE370" s="37"/>
      <c r="AF370" s="37"/>
      <c r="AG370" s="37"/>
      <c r="AH370" s="93"/>
      <c r="AI370" s="73">
        <f>COUNTA($C370:$AG370)</f>
        <v>0</v>
      </c>
    </row>
    <row r="371" spans="1:35" ht="15.75" customHeight="1" outlineLevel="1">
      <c r="A371" s="223"/>
      <c r="B371" s="294"/>
      <c r="C371" s="40" t="str">
        <f t="shared" ref="C371:G371" si="1462">IF(ISERROR(VLOOKUP(C370,$K$394:$W$428,9,FALSE)),"",VLOOKUP(C370,$K$394:$W$428,9,FALSE))</f>
        <v/>
      </c>
      <c r="D371" s="40" t="str">
        <f t="shared" si="1462"/>
        <v/>
      </c>
      <c r="E371" s="40" t="str">
        <f t="shared" si="1462"/>
        <v/>
      </c>
      <c r="F371" s="40" t="str">
        <f t="shared" si="1462"/>
        <v/>
      </c>
      <c r="G371" s="41" t="str">
        <f t="shared" si="1462"/>
        <v/>
      </c>
      <c r="H371" s="42"/>
      <c r="I371" s="40" t="str">
        <f t="shared" ref="I371:M371" si="1463">IF(ISERROR(VLOOKUP(I370,$K$394:$W$428,9,FALSE)),"",VLOOKUP(I370,$K$394:$W$428,9,FALSE))</f>
        <v/>
      </c>
      <c r="J371" s="40" t="str">
        <f t="shared" si="1463"/>
        <v/>
      </c>
      <c r="K371" s="40" t="str">
        <f t="shared" si="1463"/>
        <v/>
      </c>
      <c r="L371" s="40" t="str">
        <f t="shared" si="1463"/>
        <v/>
      </c>
      <c r="M371" s="40" t="str">
        <f t="shared" si="1463"/>
        <v/>
      </c>
      <c r="N371" s="41" t="str">
        <f t="shared" ref="N371" si="1464">IF(ISERROR(VLOOKUP(N370,$K$394:$W$428,9,FALSE)),"",VLOOKUP(N370,$K$394:$W$428,9,FALSE))</f>
        <v/>
      </c>
      <c r="O371" s="42"/>
      <c r="P371" s="40" t="str">
        <f t="shared" ref="P371:U371" si="1465">IF(ISERROR(VLOOKUP(P370,$K$394:$W$428,9,FALSE)),"",VLOOKUP(P370,$K$394:$W$428,9,FALSE))</f>
        <v/>
      </c>
      <c r="Q371" s="40" t="str">
        <f t="shared" si="1465"/>
        <v/>
      </c>
      <c r="R371" s="40" t="str">
        <f t="shared" ref="R371" si="1466">IF(ISERROR(VLOOKUP(R370,$K$394:$W$428,9,FALSE)),"",VLOOKUP(R370,$K$394:$W$428,9,FALSE))</f>
        <v/>
      </c>
      <c r="S371" s="40" t="str">
        <f t="shared" si="1465"/>
        <v/>
      </c>
      <c r="T371" s="40" t="str">
        <f t="shared" si="1465"/>
        <v/>
      </c>
      <c r="U371" s="41" t="str">
        <f t="shared" si="1465"/>
        <v/>
      </c>
      <c r="V371" s="42"/>
      <c r="W371" s="40" t="str">
        <f t="shared" ref="W371:Y371" si="1467">IF(ISERROR(VLOOKUP(W370,$K$394:$W$428,9,FALSE)),"",VLOOKUP(W370,$K$394:$W$428,9,FALSE))</f>
        <v/>
      </c>
      <c r="X371" s="40" t="str">
        <f t="shared" si="1467"/>
        <v/>
      </c>
      <c r="Y371" s="40" t="str">
        <f t="shared" si="1467"/>
        <v/>
      </c>
      <c r="Z371" s="294"/>
      <c r="AA371" s="294"/>
      <c r="AB371" s="41" t="str">
        <f t="shared" ref="AB371" si="1468">IF(ISERROR(VLOOKUP(AB370,$K$394:$W$428,9,FALSE)),"",VLOOKUP(AB370,$K$394:$W$428,9,FALSE))</f>
        <v/>
      </c>
      <c r="AC371" s="42"/>
      <c r="AD371" s="40" t="str">
        <f t="shared" ref="AD371:AG371" si="1469">IF(ISERROR(VLOOKUP(AD370,$K$394:$W$428,9,FALSE)),"",VLOOKUP(AD370,$K$394:$W$428,9,FALSE))</f>
        <v/>
      </c>
      <c r="AE371" s="40" t="str">
        <f t="shared" si="1469"/>
        <v/>
      </c>
      <c r="AF371" s="40" t="str">
        <f t="shared" si="1469"/>
        <v/>
      </c>
      <c r="AG371" s="40" t="str">
        <f t="shared" si="1469"/>
        <v/>
      </c>
      <c r="AH371" s="97"/>
      <c r="AI371" s="73"/>
    </row>
    <row r="372" spans="1:35" ht="15" customHeight="1" outlineLevel="1">
      <c r="A372" s="221" t="s">
        <v>24</v>
      </c>
      <c r="B372" s="216" t="s">
        <v>19</v>
      </c>
      <c r="C372" s="37"/>
      <c r="D372" s="182"/>
      <c r="E372" s="182"/>
      <c r="F372" s="143"/>
      <c r="G372" s="38"/>
      <c r="H372" s="39"/>
      <c r="I372" s="37"/>
      <c r="J372" s="182"/>
      <c r="K372" s="182"/>
      <c r="L372" s="143"/>
      <c r="M372" s="143"/>
      <c r="N372" s="38"/>
      <c r="O372" s="39"/>
      <c r="P372" s="37"/>
      <c r="Q372" s="37"/>
      <c r="R372" s="37"/>
      <c r="S372" s="37"/>
      <c r="T372" s="37"/>
      <c r="U372" s="38"/>
      <c r="V372" s="39"/>
      <c r="W372" s="37"/>
      <c r="X372" s="37"/>
      <c r="Y372" s="37"/>
      <c r="Z372" s="211"/>
      <c r="AA372" s="211"/>
      <c r="AB372" s="38"/>
      <c r="AC372" s="39"/>
      <c r="AD372" s="37"/>
      <c r="AE372" s="37"/>
      <c r="AF372" s="37"/>
      <c r="AG372" s="37"/>
      <c r="AH372" s="93"/>
      <c r="AI372" s="73">
        <f>COUNTA($C372:$AG372)</f>
        <v>0</v>
      </c>
    </row>
    <row r="373" spans="1:35" ht="15.75" customHeight="1" outlineLevel="1">
      <c r="A373" s="221"/>
      <c r="B373" s="293"/>
      <c r="C373" s="94" t="str">
        <f t="shared" ref="C373:G373" si="1470">IF(ISERROR(VLOOKUP(C372,$K$394:$W$428,9,FALSE)),"",VLOOKUP(C372,$K$394:$W$428,9,FALSE))</f>
        <v/>
      </c>
      <c r="D373" s="94" t="str">
        <f t="shared" si="1470"/>
        <v/>
      </c>
      <c r="E373" s="94" t="str">
        <f t="shared" si="1470"/>
        <v/>
      </c>
      <c r="F373" s="94" t="str">
        <f t="shared" si="1470"/>
        <v/>
      </c>
      <c r="G373" s="95" t="str">
        <f t="shared" si="1470"/>
        <v/>
      </c>
      <c r="H373" s="96"/>
      <c r="I373" s="94" t="str">
        <f t="shared" ref="I373:M373" si="1471">IF(ISERROR(VLOOKUP(I372,$K$394:$W$428,9,FALSE)),"",VLOOKUP(I372,$K$394:$W$428,9,FALSE))</f>
        <v/>
      </c>
      <c r="J373" s="94" t="str">
        <f t="shared" si="1471"/>
        <v/>
      </c>
      <c r="K373" s="94" t="str">
        <f t="shared" si="1471"/>
        <v/>
      </c>
      <c r="L373" s="94" t="str">
        <f t="shared" si="1471"/>
        <v/>
      </c>
      <c r="M373" s="94" t="str">
        <f t="shared" si="1471"/>
        <v/>
      </c>
      <c r="N373" s="95" t="str">
        <f t="shared" ref="N373" si="1472">IF(ISERROR(VLOOKUP(N372,$K$394:$W$428,9,FALSE)),"",VLOOKUP(N372,$K$394:$W$428,9,FALSE))</f>
        <v/>
      </c>
      <c r="O373" s="96"/>
      <c r="P373" s="94" t="str">
        <f t="shared" ref="P373:U373" si="1473">IF(ISERROR(VLOOKUP(P372,$K$394:$W$428,9,FALSE)),"",VLOOKUP(P372,$K$394:$W$428,9,FALSE))</f>
        <v/>
      </c>
      <c r="Q373" s="94" t="str">
        <f t="shared" si="1473"/>
        <v/>
      </c>
      <c r="R373" s="94" t="str">
        <f t="shared" ref="R373" si="1474">IF(ISERROR(VLOOKUP(R372,$K$394:$W$428,9,FALSE)),"",VLOOKUP(R372,$K$394:$W$428,9,FALSE))</f>
        <v/>
      </c>
      <c r="S373" s="94" t="str">
        <f t="shared" si="1473"/>
        <v/>
      </c>
      <c r="T373" s="94" t="str">
        <f t="shared" si="1473"/>
        <v/>
      </c>
      <c r="U373" s="95" t="str">
        <f t="shared" si="1473"/>
        <v/>
      </c>
      <c r="V373" s="96"/>
      <c r="W373" s="94" t="str">
        <f t="shared" ref="W373:Y373" si="1475">IF(ISERROR(VLOOKUP(W372,$K$394:$W$428,9,FALSE)),"",VLOOKUP(W372,$K$394:$W$428,9,FALSE))</f>
        <v/>
      </c>
      <c r="X373" s="94" t="str">
        <f t="shared" si="1475"/>
        <v/>
      </c>
      <c r="Y373" s="94" t="str">
        <f t="shared" si="1475"/>
        <v/>
      </c>
      <c r="Z373" s="294"/>
      <c r="AA373" s="294"/>
      <c r="AB373" s="95" t="str">
        <f t="shared" ref="AB373" si="1476">IF(ISERROR(VLOOKUP(AB372,$K$394:$W$428,9,FALSE)),"",VLOOKUP(AB372,$K$394:$W$428,9,FALSE))</f>
        <v/>
      </c>
      <c r="AC373" s="96"/>
      <c r="AD373" s="94" t="str">
        <f t="shared" ref="AD373:AG373" si="1477">IF(ISERROR(VLOOKUP(AD372,$K$394:$W$428,9,FALSE)),"",VLOOKUP(AD372,$K$394:$W$428,9,FALSE))</f>
        <v/>
      </c>
      <c r="AE373" s="94" t="str">
        <f t="shared" si="1477"/>
        <v/>
      </c>
      <c r="AF373" s="94" t="str">
        <f t="shared" si="1477"/>
        <v/>
      </c>
      <c r="AG373" s="94" t="str">
        <f t="shared" si="1477"/>
        <v/>
      </c>
      <c r="AH373" s="97"/>
      <c r="AI373" s="73"/>
    </row>
    <row r="374" spans="1:35" ht="15" customHeight="1" outlineLevel="1">
      <c r="A374" s="221"/>
      <c r="B374" s="216" t="s">
        <v>20</v>
      </c>
      <c r="C374" s="37"/>
      <c r="D374" s="182"/>
      <c r="E374" s="182"/>
      <c r="F374" s="143"/>
      <c r="G374" s="38"/>
      <c r="H374" s="39"/>
      <c r="I374" s="37"/>
      <c r="J374" s="182"/>
      <c r="K374" s="182"/>
      <c r="L374" s="143"/>
      <c r="M374" s="143"/>
      <c r="N374" s="38"/>
      <c r="O374" s="39"/>
      <c r="P374" s="37"/>
      <c r="Q374" s="37"/>
      <c r="R374" s="37"/>
      <c r="S374" s="37"/>
      <c r="T374" s="37"/>
      <c r="U374" s="38"/>
      <c r="V374" s="39"/>
      <c r="W374" s="37"/>
      <c r="X374" s="37"/>
      <c r="Y374" s="37"/>
      <c r="Z374" s="211"/>
      <c r="AA374" s="211"/>
      <c r="AB374" s="38"/>
      <c r="AC374" s="39"/>
      <c r="AD374" s="37"/>
      <c r="AE374" s="37"/>
      <c r="AF374" s="37"/>
      <c r="AG374" s="37"/>
      <c r="AH374" s="93"/>
      <c r="AI374" s="73">
        <f>COUNTA($C374:$AG374)</f>
        <v>0</v>
      </c>
    </row>
    <row r="375" spans="1:35" ht="15.75" customHeight="1" outlineLevel="1">
      <c r="A375" s="221"/>
      <c r="B375" s="294"/>
      <c r="C375" s="40" t="str">
        <f t="shared" ref="C375:G375" si="1478">IF(ISERROR(VLOOKUP(C374,$K$394:$W$428,9,FALSE)),"",VLOOKUP(C374,$K$394:$W$428,9,FALSE))</f>
        <v/>
      </c>
      <c r="D375" s="40" t="str">
        <f t="shared" si="1478"/>
        <v/>
      </c>
      <c r="E375" s="40" t="str">
        <f t="shared" si="1478"/>
        <v/>
      </c>
      <c r="F375" s="40" t="str">
        <f t="shared" si="1478"/>
        <v/>
      </c>
      <c r="G375" s="41" t="str">
        <f t="shared" si="1478"/>
        <v/>
      </c>
      <c r="H375" s="42"/>
      <c r="I375" s="40" t="str">
        <f t="shared" ref="I375:M375" si="1479">IF(ISERROR(VLOOKUP(I374,$K$394:$W$428,9,FALSE)),"",VLOOKUP(I374,$K$394:$W$428,9,FALSE))</f>
        <v/>
      </c>
      <c r="J375" s="40" t="str">
        <f t="shared" si="1479"/>
        <v/>
      </c>
      <c r="K375" s="40" t="str">
        <f t="shared" si="1479"/>
        <v/>
      </c>
      <c r="L375" s="40" t="str">
        <f t="shared" si="1479"/>
        <v/>
      </c>
      <c r="M375" s="40" t="str">
        <f t="shared" si="1479"/>
        <v/>
      </c>
      <c r="N375" s="41" t="str">
        <f t="shared" ref="N375" si="1480">IF(ISERROR(VLOOKUP(N374,$K$394:$W$428,9,FALSE)),"",VLOOKUP(N374,$K$394:$W$428,9,FALSE))</f>
        <v/>
      </c>
      <c r="O375" s="42"/>
      <c r="P375" s="40" t="str">
        <f t="shared" ref="P375:U375" si="1481">IF(ISERROR(VLOOKUP(P374,$K$394:$W$428,9,FALSE)),"",VLOOKUP(P374,$K$394:$W$428,9,FALSE))</f>
        <v/>
      </c>
      <c r="Q375" s="40" t="str">
        <f t="shared" si="1481"/>
        <v/>
      </c>
      <c r="R375" s="40" t="str">
        <f t="shared" ref="R375" si="1482">IF(ISERROR(VLOOKUP(R374,$K$394:$W$428,9,FALSE)),"",VLOOKUP(R374,$K$394:$W$428,9,FALSE))</f>
        <v/>
      </c>
      <c r="S375" s="40" t="str">
        <f t="shared" si="1481"/>
        <v/>
      </c>
      <c r="T375" s="40" t="str">
        <f t="shared" si="1481"/>
        <v/>
      </c>
      <c r="U375" s="41" t="str">
        <f t="shared" si="1481"/>
        <v/>
      </c>
      <c r="V375" s="42"/>
      <c r="W375" s="40" t="str">
        <f t="shared" ref="W375:Y375" si="1483">IF(ISERROR(VLOOKUP(W374,$K$394:$W$428,9,FALSE)),"",VLOOKUP(W374,$K$394:$W$428,9,FALSE))</f>
        <v/>
      </c>
      <c r="X375" s="40" t="str">
        <f t="shared" si="1483"/>
        <v/>
      </c>
      <c r="Y375" s="40" t="str">
        <f t="shared" si="1483"/>
        <v/>
      </c>
      <c r="Z375" s="294"/>
      <c r="AA375" s="294"/>
      <c r="AB375" s="41" t="str">
        <f t="shared" ref="AB375" si="1484">IF(ISERROR(VLOOKUP(AB374,$K$394:$W$428,9,FALSE)),"",VLOOKUP(AB374,$K$394:$W$428,9,FALSE))</f>
        <v/>
      </c>
      <c r="AC375" s="42"/>
      <c r="AD375" s="40" t="str">
        <f t="shared" ref="AD375:AG375" si="1485">IF(ISERROR(VLOOKUP(AD374,$K$394:$W$428,9,FALSE)),"",VLOOKUP(AD374,$K$394:$W$428,9,FALSE))</f>
        <v/>
      </c>
      <c r="AE375" s="40" t="str">
        <f t="shared" si="1485"/>
        <v/>
      </c>
      <c r="AF375" s="40" t="str">
        <f t="shared" si="1485"/>
        <v/>
      </c>
      <c r="AG375" s="40" t="str">
        <f t="shared" si="1485"/>
        <v/>
      </c>
      <c r="AH375" s="97"/>
      <c r="AI375" s="73"/>
    </row>
    <row r="376" spans="1:35" ht="15" customHeight="1" outlineLevel="1">
      <c r="A376" s="221"/>
      <c r="B376" s="216" t="s">
        <v>21</v>
      </c>
      <c r="C376" s="37"/>
      <c r="D376" s="182"/>
      <c r="E376" s="182"/>
      <c r="F376" s="143"/>
      <c r="G376" s="38"/>
      <c r="H376" s="39"/>
      <c r="I376" s="37"/>
      <c r="J376" s="182"/>
      <c r="K376" s="182"/>
      <c r="L376" s="143"/>
      <c r="M376" s="143"/>
      <c r="N376" s="38"/>
      <c r="O376" s="39"/>
      <c r="P376" s="37"/>
      <c r="Q376" s="37"/>
      <c r="R376" s="37"/>
      <c r="S376" s="37"/>
      <c r="T376" s="37"/>
      <c r="U376" s="38"/>
      <c r="V376" s="39"/>
      <c r="W376" s="37"/>
      <c r="X376" s="37"/>
      <c r="Y376" s="37"/>
      <c r="Z376" s="211"/>
      <c r="AA376" s="211"/>
      <c r="AB376" s="38"/>
      <c r="AC376" s="39"/>
      <c r="AD376" s="37"/>
      <c r="AE376" s="37"/>
      <c r="AF376" s="37"/>
      <c r="AG376" s="37"/>
      <c r="AH376" s="93"/>
      <c r="AI376" s="73">
        <f>COUNTA($C376:$AG376)</f>
        <v>0</v>
      </c>
    </row>
    <row r="377" spans="1:35" ht="15.75" customHeight="1" outlineLevel="1">
      <c r="A377" s="221"/>
      <c r="B377" s="294"/>
      <c r="C377" s="94" t="str">
        <f t="shared" ref="C377:G377" si="1486">IF(ISERROR(VLOOKUP(C376,$K$394:$W$428,9,FALSE)),"",VLOOKUP(C376,$K$394:$W$428,9,FALSE))</f>
        <v/>
      </c>
      <c r="D377" s="94" t="str">
        <f t="shared" si="1486"/>
        <v/>
      </c>
      <c r="E377" s="94" t="str">
        <f t="shared" si="1486"/>
        <v/>
      </c>
      <c r="F377" s="94" t="str">
        <f t="shared" si="1486"/>
        <v/>
      </c>
      <c r="G377" s="95" t="str">
        <f t="shared" si="1486"/>
        <v/>
      </c>
      <c r="H377" s="96"/>
      <c r="I377" s="94" t="str">
        <f t="shared" ref="I377:M377" si="1487">IF(ISERROR(VLOOKUP(I376,$K$394:$W$428,9,FALSE)),"",VLOOKUP(I376,$K$394:$W$428,9,FALSE))</f>
        <v/>
      </c>
      <c r="J377" s="94" t="str">
        <f t="shared" si="1487"/>
        <v/>
      </c>
      <c r="K377" s="94" t="str">
        <f t="shared" si="1487"/>
        <v/>
      </c>
      <c r="L377" s="94" t="str">
        <f t="shared" si="1487"/>
        <v/>
      </c>
      <c r="M377" s="94" t="str">
        <f t="shared" si="1487"/>
        <v/>
      </c>
      <c r="N377" s="95" t="str">
        <f t="shared" ref="N377" si="1488">IF(ISERROR(VLOOKUP(N376,$K$394:$W$428,9,FALSE)),"",VLOOKUP(N376,$K$394:$W$428,9,FALSE))</f>
        <v/>
      </c>
      <c r="O377" s="96"/>
      <c r="P377" s="94" t="str">
        <f t="shared" ref="P377:U377" si="1489">IF(ISERROR(VLOOKUP(P376,$K$394:$W$428,9,FALSE)),"",VLOOKUP(P376,$K$394:$W$428,9,FALSE))</f>
        <v/>
      </c>
      <c r="Q377" s="94" t="str">
        <f t="shared" si="1489"/>
        <v/>
      </c>
      <c r="R377" s="94" t="str">
        <f t="shared" ref="R377" si="1490">IF(ISERROR(VLOOKUP(R376,$K$394:$W$428,9,FALSE)),"",VLOOKUP(R376,$K$394:$W$428,9,FALSE))</f>
        <v/>
      </c>
      <c r="S377" s="94" t="str">
        <f t="shared" si="1489"/>
        <v/>
      </c>
      <c r="T377" s="94" t="str">
        <f t="shared" si="1489"/>
        <v/>
      </c>
      <c r="U377" s="95" t="str">
        <f t="shared" si="1489"/>
        <v/>
      </c>
      <c r="V377" s="96"/>
      <c r="W377" s="94" t="str">
        <f t="shared" ref="W377:Y377" si="1491">IF(ISERROR(VLOOKUP(W376,$K$394:$W$428,9,FALSE)),"",VLOOKUP(W376,$K$394:$W$428,9,FALSE))</f>
        <v/>
      </c>
      <c r="X377" s="94" t="str">
        <f t="shared" si="1491"/>
        <v/>
      </c>
      <c r="Y377" s="94" t="str">
        <f t="shared" si="1491"/>
        <v/>
      </c>
      <c r="Z377" s="294"/>
      <c r="AA377" s="294"/>
      <c r="AB377" s="95" t="str">
        <f t="shared" ref="AB377" si="1492">IF(ISERROR(VLOOKUP(AB376,$K$394:$W$428,9,FALSE)),"",VLOOKUP(AB376,$K$394:$W$428,9,FALSE))</f>
        <v/>
      </c>
      <c r="AC377" s="96"/>
      <c r="AD377" s="94" t="str">
        <f t="shared" ref="AD377:AG377" si="1493">IF(ISERROR(VLOOKUP(AD376,$K$394:$W$428,9,FALSE)),"",VLOOKUP(AD376,$K$394:$W$428,9,FALSE))</f>
        <v/>
      </c>
      <c r="AE377" s="94" t="str">
        <f t="shared" si="1493"/>
        <v/>
      </c>
      <c r="AF377" s="94" t="str">
        <f t="shared" si="1493"/>
        <v/>
      </c>
      <c r="AG377" s="94" t="str">
        <f t="shared" si="1493"/>
        <v/>
      </c>
      <c r="AH377" s="97"/>
      <c r="AI377" s="73"/>
    </row>
    <row r="378" spans="1:35" ht="15" customHeight="1" outlineLevel="1">
      <c r="A378" s="221"/>
      <c r="B378" s="216" t="s">
        <v>22</v>
      </c>
      <c r="C378" s="37"/>
      <c r="D378" s="182"/>
      <c r="E378" s="182"/>
      <c r="F378" s="143"/>
      <c r="G378" s="38"/>
      <c r="H378" s="39"/>
      <c r="I378" s="37"/>
      <c r="J378" s="182"/>
      <c r="K378" s="182"/>
      <c r="L378" s="143"/>
      <c r="M378" s="143"/>
      <c r="N378" s="38"/>
      <c r="O378" s="39"/>
      <c r="P378" s="37"/>
      <c r="Q378" s="37"/>
      <c r="R378" s="37"/>
      <c r="S378" s="37"/>
      <c r="T378" s="37"/>
      <c r="U378" s="38"/>
      <c r="V378" s="39"/>
      <c r="W378" s="37"/>
      <c r="X378" s="37"/>
      <c r="Y378" s="37"/>
      <c r="Z378" s="211"/>
      <c r="AA378" s="211"/>
      <c r="AB378" s="38"/>
      <c r="AC378" s="39"/>
      <c r="AD378" s="37"/>
      <c r="AE378" s="37"/>
      <c r="AF378" s="37"/>
      <c r="AG378" s="37"/>
      <c r="AH378" s="93"/>
      <c r="AI378" s="73">
        <f>COUNTA($C378:$AG378)</f>
        <v>0</v>
      </c>
    </row>
    <row r="379" spans="1:35" ht="15.75" customHeight="1" outlineLevel="1">
      <c r="A379" s="221"/>
      <c r="B379" s="294"/>
      <c r="C379" s="94" t="str">
        <f t="shared" ref="C379:G379" si="1494">IF(ISERROR(VLOOKUP(C378,$K$394:$W$428,9,FALSE)),"",VLOOKUP(C378,$K$394:$W$428,9,FALSE))</f>
        <v/>
      </c>
      <c r="D379" s="94" t="str">
        <f t="shared" si="1494"/>
        <v/>
      </c>
      <c r="E379" s="94" t="str">
        <f t="shared" si="1494"/>
        <v/>
      </c>
      <c r="F379" s="94" t="str">
        <f t="shared" si="1494"/>
        <v/>
      </c>
      <c r="G379" s="95" t="str">
        <f t="shared" si="1494"/>
        <v/>
      </c>
      <c r="H379" s="96"/>
      <c r="I379" s="94" t="str">
        <f t="shared" ref="I379:M379" si="1495">IF(ISERROR(VLOOKUP(I378,$K$394:$W$428,9,FALSE)),"",VLOOKUP(I378,$K$394:$W$428,9,FALSE))</f>
        <v/>
      </c>
      <c r="J379" s="94" t="str">
        <f t="shared" si="1495"/>
        <v/>
      </c>
      <c r="K379" s="94" t="str">
        <f t="shared" si="1495"/>
        <v/>
      </c>
      <c r="L379" s="94" t="str">
        <f t="shared" si="1495"/>
        <v/>
      </c>
      <c r="M379" s="94" t="str">
        <f t="shared" si="1495"/>
        <v/>
      </c>
      <c r="N379" s="95" t="str">
        <f t="shared" ref="N379" si="1496">IF(ISERROR(VLOOKUP(N378,$K$394:$W$428,9,FALSE)),"",VLOOKUP(N378,$K$394:$W$428,9,FALSE))</f>
        <v/>
      </c>
      <c r="O379" s="96"/>
      <c r="P379" s="94" t="str">
        <f t="shared" ref="P379:U379" si="1497">IF(ISERROR(VLOOKUP(P378,$K$394:$W$428,9,FALSE)),"",VLOOKUP(P378,$K$394:$W$428,9,FALSE))</f>
        <v/>
      </c>
      <c r="Q379" s="94" t="str">
        <f t="shared" si="1497"/>
        <v/>
      </c>
      <c r="R379" s="94" t="str">
        <f t="shared" ref="R379" si="1498">IF(ISERROR(VLOOKUP(R378,$K$394:$W$428,9,FALSE)),"",VLOOKUP(R378,$K$394:$W$428,9,FALSE))</f>
        <v/>
      </c>
      <c r="S379" s="94" t="str">
        <f t="shared" si="1497"/>
        <v/>
      </c>
      <c r="T379" s="94" t="str">
        <f t="shared" si="1497"/>
        <v/>
      </c>
      <c r="U379" s="95" t="str">
        <f t="shared" si="1497"/>
        <v/>
      </c>
      <c r="V379" s="96"/>
      <c r="W379" s="94" t="str">
        <f t="shared" ref="W379:Y379" si="1499">IF(ISERROR(VLOOKUP(W378,$K$394:$W$428,9,FALSE)),"",VLOOKUP(W378,$K$394:$W$428,9,FALSE))</f>
        <v/>
      </c>
      <c r="X379" s="94" t="str">
        <f t="shared" si="1499"/>
        <v/>
      </c>
      <c r="Y379" s="94" t="str">
        <f t="shared" si="1499"/>
        <v/>
      </c>
      <c r="Z379" s="294"/>
      <c r="AA379" s="294"/>
      <c r="AB379" s="95" t="str">
        <f t="shared" ref="AB379" si="1500">IF(ISERROR(VLOOKUP(AB378,$K$394:$W$428,9,FALSE)),"",VLOOKUP(AB378,$K$394:$W$428,9,FALSE))</f>
        <v/>
      </c>
      <c r="AC379" s="96"/>
      <c r="AD379" s="94" t="str">
        <f t="shared" ref="AD379:AG379" si="1501">IF(ISERROR(VLOOKUP(AD378,$K$394:$W$428,9,FALSE)),"",VLOOKUP(AD378,$K$394:$W$428,9,FALSE))</f>
        <v/>
      </c>
      <c r="AE379" s="94" t="str">
        <f t="shared" si="1501"/>
        <v/>
      </c>
      <c r="AF379" s="94" t="str">
        <f t="shared" si="1501"/>
        <v/>
      </c>
      <c r="AG379" s="94" t="str">
        <f t="shared" si="1501"/>
        <v/>
      </c>
      <c r="AH379" s="97"/>
      <c r="AI379" s="73"/>
    </row>
    <row r="380" spans="1:35" ht="15" customHeight="1" outlineLevel="1">
      <c r="A380" s="221"/>
      <c r="B380" s="216" t="s">
        <v>23</v>
      </c>
      <c r="C380" s="37"/>
      <c r="D380" s="37"/>
      <c r="E380" s="37"/>
      <c r="F380" s="37"/>
      <c r="G380" s="38"/>
      <c r="H380" s="39"/>
      <c r="I380" s="37"/>
      <c r="J380" s="37"/>
      <c r="K380" s="37"/>
      <c r="L380" s="37"/>
      <c r="M380" s="37"/>
      <c r="N380" s="38"/>
      <c r="O380" s="39"/>
      <c r="P380" s="37"/>
      <c r="Q380" s="37"/>
      <c r="R380" s="37"/>
      <c r="S380" s="37"/>
      <c r="T380" s="37"/>
      <c r="U380" s="38"/>
      <c r="V380" s="39"/>
      <c r="W380" s="37"/>
      <c r="X380" s="37"/>
      <c r="Y380" s="37"/>
      <c r="Z380" s="211"/>
      <c r="AA380" s="211"/>
      <c r="AB380" s="38"/>
      <c r="AC380" s="39"/>
      <c r="AD380" s="37"/>
      <c r="AE380" s="37"/>
      <c r="AF380" s="37"/>
      <c r="AG380" s="37"/>
      <c r="AH380" s="93"/>
      <c r="AI380" s="73">
        <f>COUNTA($C380:$AG380)</f>
        <v>0</v>
      </c>
    </row>
    <row r="381" spans="1:35" ht="15.75" customHeight="1" outlineLevel="1">
      <c r="A381" s="223"/>
      <c r="B381" s="294"/>
      <c r="C381" s="40" t="str">
        <f t="shared" ref="C381:G381" si="1502">IF(ISERROR(VLOOKUP(C380,$K$394:$W$428,9,FALSE)),"",VLOOKUP(C380,$K$394:$W$428,9,FALSE))</f>
        <v/>
      </c>
      <c r="D381" s="40" t="str">
        <f t="shared" si="1502"/>
        <v/>
      </c>
      <c r="E381" s="40" t="str">
        <f t="shared" si="1502"/>
        <v/>
      </c>
      <c r="F381" s="40" t="str">
        <f t="shared" si="1502"/>
        <v/>
      </c>
      <c r="G381" s="41" t="str">
        <f t="shared" si="1502"/>
        <v/>
      </c>
      <c r="H381" s="42"/>
      <c r="I381" s="40" t="str">
        <f t="shared" ref="I381:M381" si="1503">IF(ISERROR(VLOOKUP(I380,$K$394:$W$428,9,FALSE)),"",VLOOKUP(I380,$K$394:$W$428,9,FALSE))</f>
        <v/>
      </c>
      <c r="J381" s="40" t="str">
        <f t="shared" si="1503"/>
        <v/>
      </c>
      <c r="K381" s="40" t="str">
        <f t="shared" si="1503"/>
        <v/>
      </c>
      <c r="L381" s="40" t="str">
        <f t="shared" si="1503"/>
        <v/>
      </c>
      <c r="M381" s="40" t="str">
        <f t="shared" si="1503"/>
        <v/>
      </c>
      <c r="N381" s="41" t="str">
        <f t="shared" ref="N381" si="1504">IF(ISERROR(VLOOKUP(N380,$K$394:$W$428,9,FALSE)),"",VLOOKUP(N380,$K$394:$W$428,9,FALSE))</f>
        <v/>
      </c>
      <c r="O381" s="42"/>
      <c r="P381" s="40" t="str">
        <f t="shared" ref="P381:U381" si="1505">IF(ISERROR(VLOOKUP(P380,$K$394:$W$428,9,FALSE)),"",VLOOKUP(P380,$K$394:$W$428,9,FALSE))</f>
        <v/>
      </c>
      <c r="Q381" s="40" t="str">
        <f t="shared" si="1505"/>
        <v/>
      </c>
      <c r="R381" s="40" t="str">
        <f t="shared" ref="R381" si="1506">IF(ISERROR(VLOOKUP(R380,$K$394:$W$428,9,FALSE)),"",VLOOKUP(R380,$K$394:$W$428,9,FALSE))</f>
        <v/>
      </c>
      <c r="S381" s="40" t="str">
        <f t="shared" si="1505"/>
        <v/>
      </c>
      <c r="T381" s="40" t="str">
        <f t="shared" si="1505"/>
        <v/>
      </c>
      <c r="U381" s="41" t="str">
        <f t="shared" si="1505"/>
        <v/>
      </c>
      <c r="V381" s="42"/>
      <c r="W381" s="40" t="str">
        <f t="shared" ref="W381:Y381" si="1507">IF(ISERROR(VLOOKUP(W380,$K$394:$W$428,9,FALSE)),"",VLOOKUP(W380,$K$394:$W$428,9,FALSE))</f>
        <v/>
      </c>
      <c r="X381" s="40" t="str">
        <f t="shared" si="1507"/>
        <v/>
      </c>
      <c r="Y381" s="40" t="str">
        <f t="shared" si="1507"/>
        <v/>
      </c>
      <c r="Z381" s="294"/>
      <c r="AA381" s="294"/>
      <c r="AB381" s="41" t="str">
        <f t="shared" ref="AB381" si="1508">IF(ISERROR(VLOOKUP(AB380,$K$394:$W$428,9,FALSE)),"",VLOOKUP(AB380,$K$394:$W$428,9,FALSE))</f>
        <v/>
      </c>
      <c r="AC381" s="42"/>
      <c r="AD381" s="40" t="str">
        <f t="shared" ref="AD381:AG381" si="1509">IF(ISERROR(VLOOKUP(AD380,$K$394:$W$428,9,FALSE)),"",VLOOKUP(AD380,$K$394:$W$428,9,FALSE))</f>
        <v/>
      </c>
      <c r="AE381" s="40" t="str">
        <f t="shared" si="1509"/>
        <v/>
      </c>
      <c r="AF381" s="40" t="str">
        <f t="shared" si="1509"/>
        <v/>
      </c>
      <c r="AG381" s="40" t="str">
        <f t="shared" si="1509"/>
        <v/>
      </c>
      <c r="AH381" s="97"/>
      <c r="AI381" s="73"/>
    </row>
    <row r="382" spans="1:35" ht="15" customHeight="1" outlineLevel="1">
      <c r="A382" s="221" t="s">
        <v>25</v>
      </c>
      <c r="B382" s="215" t="s">
        <v>19</v>
      </c>
      <c r="C382" s="37"/>
      <c r="D382" s="37"/>
      <c r="E382" s="37"/>
      <c r="F382" s="37"/>
      <c r="G382" s="38"/>
      <c r="H382" s="39"/>
      <c r="I382" s="37"/>
      <c r="J382" s="37"/>
      <c r="K382" s="37"/>
      <c r="L382" s="37"/>
      <c r="M382" s="198" t="s">
        <v>51</v>
      </c>
      <c r="N382" s="38"/>
      <c r="O382" s="39"/>
      <c r="P382" s="37"/>
      <c r="Q382" s="37"/>
      <c r="R382" s="37"/>
      <c r="S382" s="37"/>
      <c r="T382" s="198" t="s">
        <v>51</v>
      </c>
      <c r="U382" s="38"/>
      <c r="V382" s="39"/>
      <c r="W382" s="37" t="s">
        <v>50</v>
      </c>
      <c r="X382" s="37" t="s">
        <v>50</v>
      </c>
      <c r="Y382" s="198" t="s">
        <v>51</v>
      </c>
      <c r="Z382" s="211"/>
      <c r="AA382" s="211"/>
      <c r="AB382" s="38"/>
      <c r="AC382" s="39"/>
      <c r="AD382" s="37"/>
      <c r="AE382" s="37"/>
      <c r="AF382" s="37"/>
      <c r="AG382" s="37"/>
      <c r="AH382" s="93"/>
      <c r="AI382" s="73">
        <f>COUNTA($C382:$AG382)</f>
        <v>5</v>
      </c>
    </row>
    <row r="383" spans="1:35" ht="15.75" customHeight="1" outlineLevel="1">
      <c r="A383" s="293"/>
      <c r="B383" s="293"/>
      <c r="C383" s="40" t="str">
        <f t="shared" ref="C383:G383" si="1510">IF(ISERROR(VLOOKUP(C382,$K$394:$W$428,9,FALSE)),"",VLOOKUP(C382,$K$394:$W$428,9,FALSE))</f>
        <v/>
      </c>
      <c r="D383" s="40" t="str">
        <f t="shared" si="1510"/>
        <v/>
      </c>
      <c r="E383" s="40" t="str">
        <f t="shared" si="1510"/>
        <v/>
      </c>
      <c r="F383" s="40" t="str">
        <f t="shared" si="1510"/>
        <v/>
      </c>
      <c r="G383" s="41" t="str">
        <f t="shared" si="1510"/>
        <v/>
      </c>
      <c r="H383" s="42"/>
      <c r="I383" s="40" t="str">
        <f t="shared" ref="I383:M383" si="1511">IF(ISERROR(VLOOKUP(I382,$K$394:$W$428,9,FALSE)),"",VLOOKUP(I382,$K$394:$W$428,9,FALSE))</f>
        <v/>
      </c>
      <c r="J383" s="40" t="str">
        <f t="shared" si="1511"/>
        <v/>
      </c>
      <c r="K383" s="40" t="str">
        <f t="shared" si="1511"/>
        <v/>
      </c>
      <c r="L383" s="40" t="str">
        <f t="shared" si="1511"/>
        <v/>
      </c>
      <c r="M383" s="40">
        <f t="shared" si="1511"/>
        <v>96379</v>
      </c>
      <c r="N383" s="41" t="str">
        <f t="shared" ref="N383" si="1512">IF(ISERROR(VLOOKUP(N382,$K$394:$W$428,9,FALSE)),"",VLOOKUP(N382,$K$394:$W$428,9,FALSE))</f>
        <v/>
      </c>
      <c r="O383" s="42"/>
      <c r="P383" s="40" t="str">
        <f t="shared" ref="P383:U383" si="1513">IF(ISERROR(VLOOKUP(P382,$K$394:$W$428,9,FALSE)),"",VLOOKUP(P382,$K$394:$W$428,9,FALSE))</f>
        <v/>
      </c>
      <c r="Q383" s="40" t="str">
        <f t="shared" si="1513"/>
        <v/>
      </c>
      <c r="R383" s="40" t="str">
        <f t="shared" ref="R383" si="1514">IF(ISERROR(VLOOKUP(R382,$K$394:$W$428,9,FALSE)),"",VLOOKUP(R382,$K$394:$W$428,9,FALSE))</f>
        <v/>
      </c>
      <c r="S383" s="40" t="str">
        <f t="shared" si="1513"/>
        <v/>
      </c>
      <c r="T383" s="40">
        <f t="shared" si="1513"/>
        <v>96379</v>
      </c>
      <c r="U383" s="41" t="str">
        <f t="shared" si="1513"/>
        <v/>
      </c>
      <c r="V383" s="42"/>
      <c r="W383" s="40">
        <f t="shared" ref="W383:Y383" si="1515">IF(ISERROR(VLOOKUP(W382,$K$394:$W$428,9,FALSE)),"",VLOOKUP(W382,$K$394:$W$428,9,FALSE))</f>
        <v>96379</v>
      </c>
      <c r="X383" s="40">
        <f t="shared" si="1515"/>
        <v>96379</v>
      </c>
      <c r="Y383" s="40">
        <f t="shared" si="1515"/>
        <v>96379</v>
      </c>
      <c r="Z383" s="294"/>
      <c r="AA383" s="294"/>
      <c r="AB383" s="41" t="str">
        <f t="shared" ref="AB383" si="1516">IF(ISERROR(VLOOKUP(AB382,$K$394:$W$428,9,FALSE)),"",VLOOKUP(AB382,$K$394:$W$428,9,FALSE))</f>
        <v/>
      </c>
      <c r="AC383" s="42"/>
      <c r="AD383" s="40" t="str">
        <f t="shared" ref="AD383:AG383" si="1517">IF(ISERROR(VLOOKUP(AD382,$K$394:$W$428,9,FALSE)),"",VLOOKUP(AD382,$K$394:$W$428,9,FALSE))</f>
        <v/>
      </c>
      <c r="AE383" s="40" t="str">
        <f t="shared" si="1517"/>
        <v/>
      </c>
      <c r="AF383" s="40" t="str">
        <f t="shared" si="1517"/>
        <v/>
      </c>
      <c r="AG383" s="40" t="str">
        <f t="shared" si="1517"/>
        <v/>
      </c>
      <c r="AH383" s="97"/>
      <c r="AI383" s="73"/>
    </row>
    <row r="384" spans="1:35" ht="15" customHeight="1" outlineLevel="1">
      <c r="A384" s="293"/>
      <c r="B384" s="216" t="s">
        <v>20</v>
      </c>
      <c r="C384" s="37"/>
      <c r="D384" s="37"/>
      <c r="E384" s="37"/>
      <c r="F384" s="37"/>
      <c r="G384" s="38"/>
      <c r="H384" s="39"/>
      <c r="I384" s="37"/>
      <c r="J384" s="37"/>
      <c r="K384" s="37"/>
      <c r="L384" s="37"/>
      <c r="M384" s="198" t="s">
        <v>51</v>
      </c>
      <c r="N384" s="38"/>
      <c r="O384" s="39"/>
      <c r="P384" s="37"/>
      <c r="Q384" s="37"/>
      <c r="R384" s="37"/>
      <c r="S384" s="37"/>
      <c r="T384" s="198" t="s">
        <v>51</v>
      </c>
      <c r="U384" s="38"/>
      <c r="V384" s="39"/>
      <c r="W384" s="37" t="s">
        <v>50</v>
      </c>
      <c r="X384" s="37" t="s">
        <v>50</v>
      </c>
      <c r="Y384" s="198" t="s">
        <v>51</v>
      </c>
      <c r="Z384" s="211"/>
      <c r="AA384" s="211"/>
      <c r="AB384" s="38"/>
      <c r="AC384" s="39"/>
      <c r="AD384" s="37"/>
      <c r="AE384" s="37"/>
      <c r="AF384" s="37"/>
      <c r="AG384" s="37"/>
      <c r="AH384" s="93"/>
      <c r="AI384" s="73">
        <f>COUNTA($C384:$AG384)</f>
        <v>5</v>
      </c>
    </row>
    <row r="385" spans="1:371" ht="15.75" customHeight="1" outlineLevel="1">
      <c r="A385" s="293"/>
      <c r="B385" s="294"/>
      <c r="C385" s="94" t="str">
        <f t="shared" ref="C385:G385" si="1518">IF(ISERROR(VLOOKUP(C384,$K$394:$W$428,9,FALSE)),"",VLOOKUP(C384,$K$394:$W$428,9,FALSE))</f>
        <v/>
      </c>
      <c r="D385" s="94" t="str">
        <f t="shared" si="1518"/>
        <v/>
      </c>
      <c r="E385" s="94" t="str">
        <f t="shared" si="1518"/>
        <v/>
      </c>
      <c r="F385" s="94" t="str">
        <f t="shared" si="1518"/>
        <v/>
      </c>
      <c r="G385" s="95" t="str">
        <f t="shared" si="1518"/>
        <v/>
      </c>
      <c r="H385" s="96"/>
      <c r="I385" s="94" t="str">
        <f t="shared" ref="I385:M385" si="1519">IF(ISERROR(VLOOKUP(I384,$K$394:$W$428,9,FALSE)),"",VLOOKUP(I384,$K$394:$W$428,9,FALSE))</f>
        <v/>
      </c>
      <c r="J385" s="94" t="str">
        <f t="shared" si="1519"/>
        <v/>
      </c>
      <c r="K385" s="94" t="str">
        <f t="shared" si="1519"/>
        <v/>
      </c>
      <c r="L385" s="94" t="str">
        <f t="shared" si="1519"/>
        <v/>
      </c>
      <c r="M385" s="94">
        <f t="shared" si="1519"/>
        <v>96379</v>
      </c>
      <c r="N385" s="95" t="str">
        <f t="shared" ref="N385" si="1520">IF(ISERROR(VLOOKUP(N384,$K$394:$W$428,9,FALSE)),"",VLOOKUP(N384,$K$394:$W$428,9,FALSE))</f>
        <v/>
      </c>
      <c r="O385" s="96"/>
      <c r="P385" s="94" t="str">
        <f t="shared" ref="P385:U385" si="1521">IF(ISERROR(VLOOKUP(P384,$K$394:$W$428,9,FALSE)),"",VLOOKUP(P384,$K$394:$W$428,9,FALSE))</f>
        <v/>
      </c>
      <c r="Q385" s="94" t="str">
        <f t="shared" si="1521"/>
        <v/>
      </c>
      <c r="R385" s="94" t="str">
        <f t="shared" ref="R385" si="1522">IF(ISERROR(VLOOKUP(R384,$K$394:$W$428,9,FALSE)),"",VLOOKUP(R384,$K$394:$W$428,9,FALSE))</f>
        <v/>
      </c>
      <c r="S385" s="94" t="str">
        <f t="shared" si="1521"/>
        <v/>
      </c>
      <c r="T385" s="94">
        <f t="shared" si="1521"/>
        <v>96379</v>
      </c>
      <c r="U385" s="95" t="str">
        <f t="shared" si="1521"/>
        <v/>
      </c>
      <c r="V385" s="96"/>
      <c r="W385" s="94">
        <f t="shared" ref="W385:Y385" si="1523">IF(ISERROR(VLOOKUP(W384,$K$394:$W$428,9,FALSE)),"",VLOOKUP(W384,$K$394:$W$428,9,FALSE))</f>
        <v>96379</v>
      </c>
      <c r="X385" s="94">
        <f t="shared" si="1523"/>
        <v>96379</v>
      </c>
      <c r="Y385" s="94">
        <f t="shared" si="1523"/>
        <v>96379</v>
      </c>
      <c r="Z385" s="294"/>
      <c r="AA385" s="294"/>
      <c r="AB385" s="95" t="str">
        <f t="shared" ref="AB385" si="1524">IF(ISERROR(VLOOKUP(AB384,$K$394:$W$428,9,FALSE)),"",VLOOKUP(AB384,$K$394:$W$428,9,FALSE))</f>
        <v/>
      </c>
      <c r="AC385" s="96"/>
      <c r="AD385" s="94" t="str">
        <f t="shared" ref="AD385:AG385" si="1525">IF(ISERROR(VLOOKUP(AD384,$K$394:$W$428,9,FALSE)),"",VLOOKUP(AD384,$K$394:$W$428,9,FALSE))</f>
        <v/>
      </c>
      <c r="AE385" s="94" t="str">
        <f t="shared" si="1525"/>
        <v/>
      </c>
      <c r="AF385" s="94" t="str">
        <f t="shared" si="1525"/>
        <v/>
      </c>
      <c r="AG385" s="94" t="str">
        <f t="shared" si="1525"/>
        <v/>
      </c>
      <c r="AH385" s="97"/>
      <c r="AI385" s="73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N385" s="1"/>
      <c r="LO385" s="1"/>
      <c r="LP385" s="1"/>
      <c r="LQ385" s="1"/>
      <c r="LR385" s="1"/>
      <c r="LS385" s="1"/>
      <c r="LT385" s="1"/>
      <c r="LU385" s="1"/>
      <c r="LV385" s="1"/>
      <c r="LW385" s="1"/>
      <c r="LX385" s="1"/>
      <c r="LY385" s="1"/>
      <c r="LZ385" s="1"/>
      <c r="MA385" s="1"/>
      <c r="MB385" s="1"/>
      <c r="MC385" s="1"/>
      <c r="MD385" s="1"/>
      <c r="ME385" s="1"/>
      <c r="MF385" s="1"/>
      <c r="MG385" s="1"/>
      <c r="MH385" s="1"/>
      <c r="MI385" s="1"/>
      <c r="MJ385" s="1"/>
      <c r="MK385" s="1"/>
      <c r="ML385" s="1"/>
      <c r="MM385" s="1"/>
      <c r="MN385" s="1"/>
      <c r="MO385" s="1"/>
      <c r="MP385" s="1"/>
      <c r="MQ385" s="1"/>
      <c r="MR385" s="1"/>
      <c r="MS385" s="1"/>
      <c r="MT385" s="1"/>
      <c r="MU385" s="1"/>
      <c r="MV385" s="1"/>
      <c r="MW385" s="1"/>
      <c r="MX385" s="1"/>
      <c r="MY385" s="1"/>
      <c r="MZ385" s="1"/>
      <c r="NA385" s="1"/>
      <c r="NB385" s="1"/>
      <c r="NC385" s="1"/>
      <c r="ND385" s="1"/>
      <c r="NE385" s="1"/>
      <c r="NF385" s="1"/>
      <c r="NG385" s="1"/>
    </row>
    <row r="386" spans="1:371" ht="15" customHeight="1" outlineLevel="1">
      <c r="A386" s="293"/>
      <c r="B386" s="216" t="s">
        <v>21</v>
      </c>
      <c r="C386" s="37"/>
      <c r="D386" s="37"/>
      <c r="E386" s="37"/>
      <c r="F386" s="37"/>
      <c r="G386" s="38"/>
      <c r="H386" s="39"/>
      <c r="I386" s="37"/>
      <c r="J386" s="37"/>
      <c r="K386" s="37"/>
      <c r="L386" s="37"/>
      <c r="M386" s="198" t="s">
        <v>51</v>
      </c>
      <c r="N386" s="38"/>
      <c r="O386" s="39"/>
      <c r="P386" s="37"/>
      <c r="Q386" s="37"/>
      <c r="R386" s="37"/>
      <c r="S386" s="37"/>
      <c r="T386" s="198" t="s">
        <v>51</v>
      </c>
      <c r="U386" s="38"/>
      <c r="V386" s="39"/>
      <c r="W386" s="37" t="s">
        <v>50</v>
      </c>
      <c r="X386" s="37" t="s">
        <v>50</v>
      </c>
      <c r="Y386" s="198" t="s">
        <v>51</v>
      </c>
      <c r="Z386" s="211"/>
      <c r="AA386" s="211"/>
      <c r="AB386" s="38"/>
      <c r="AC386" s="39"/>
      <c r="AD386" s="37"/>
      <c r="AE386" s="37"/>
      <c r="AF386" s="37"/>
      <c r="AG386" s="37"/>
      <c r="AH386" s="93"/>
      <c r="AI386" s="73">
        <f>COUNTA($C386:$AG386)</f>
        <v>5</v>
      </c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N386" s="1"/>
      <c r="LO386" s="1"/>
      <c r="LP386" s="1"/>
      <c r="LQ386" s="1"/>
      <c r="LR386" s="1"/>
      <c r="LS386" s="1"/>
      <c r="LT386" s="1"/>
      <c r="LU386" s="1"/>
      <c r="LV386" s="1"/>
      <c r="LW386" s="1"/>
      <c r="LX386" s="1"/>
      <c r="LY386" s="1"/>
      <c r="LZ386" s="1"/>
      <c r="MA386" s="1"/>
      <c r="MB386" s="1"/>
      <c r="MC386" s="1"/>
      <c r="MD386" s="1"/>
      <c r="ME386" s="1"/>
      <c r="MF386" s="1"/>
      <c r="MG386" s="1"/>
      <c r="MH386" s="1"/>
      <c r="MI386" s="1"/>
      <c r="MJ386" s="1"/>
      <c r="MK386" s="1"/>
      <c r="ML386" s="1"/>
      <c r="MM386" s="1"/>
      <c r="MN386" s="1"/>
      <c r="MO386" s="1"/>
      <c r="MP386" s="1"/>
      <c r="MQ386" s="1"/>
      <c r="MR386" s="1"/>
      <c r="MS386" s="1"/>
      <c r="MT386" s="1"/>
      <c r="MU386" s="1"/>
      <c r="MV386" s="1"/>
      <c r="MW386" s="1"/>
      <c r="MX386" s="1"/>
      <c r="MY386" s="1"/>
      <c r="MZ386" s="1"/>
      <c r="NA386" s="1"/>
      <c r="NB386" s="1"/>
      <c r="NC386" s="1"/>
      <c r="ND386" s="1"/>
      <c r="NE386" s="1"/>
      <c r="NF386" s="1"/>
      <c r="NG386" s="1"/>
    </row>
    <row r="387" spans="1:371" ht="15.75" customHeight="1" outlineLevel="1">
      <c r="A387" s="293"/>
      <c r="B387" s="294"/>
      <c r="C387" s="40" t="str">
        <f t="shared" ref="C387:G387" si="1526">IF(ISERROR(VLOOKUP(C386,$K$394:$W$428,9,FALSE)),"",VLOOKUP(C386,$K$394:$W$428,9,FALSE))</f>
        <v/>
      </c>
      <c r="D387" s="40" t="str">
        <f t="shared" si="1526"/>
        <v/>
      </c>
      <c r="E387" s="40" t="str">
        <f t="shared" si="1526"/>
        <v/>
      </c>
      <c r="F387" s="40" t="str">
        <f t="shared" si="1526"/>
        <v/>
      </c>
      <c r="G387" s="41" t="str">
        <f t="shared" si="1526"/>
        <v/>
      </c>
      <c r="H387" s="42"/>
      <c r="I387" s="40" t="str">
        <f t="shared" ref="I387:M387" si="1527">IF(ISERROR(VLOOKUP(I386,$K$394:$W$428,9,FALSE)),"",VLOOKUP(I386,$K$394:$W$428,9,FALSE))</f>
        <v/>
      </c>
      <c r="J387" s="40" t="str">
        <f t="shared" si="1527"/>
        <v/>
      </c>
      <c r="K387" s="40" t="str">
        <f t="shared" si="1527"/>
        <v/>
      </c>
      <c r="L387" s="40" t="str">
        <f t="shared" si="1527"/>
        <v/>
      </c>
      <c r="M387" s="40">
        <f t="shared" si="1527"/>
        <v>96379</v>
      </c>
      <c r="N387" s="41" t="str">
        <f t="shared" ref="N387" si="1528">IF(ISERROR(VLOOKUP(N386,$K$394:$W$428,9,FALSE)),"",VLOOKUP(N386,$K$394:$W$428,9,FALSE))</f>
        <v/>
      </c>
      <c r="O387" s="42"/>
      <c r="P387" s="40" t="str">
        <f t="shared" ref="P387:U387" si="1529">IF(ISERROR(VLOOKUP(P386,$K$394:$W$428,9,FALSE)),"",VLOOKUP(P386,$K$394:$W$428,9,FALSE))</f>
        <v/>
      </c>
      <c r="Q387" s="40" t="str">
        <f t="shared" si="1529"/>
        <v/>
      </c>
      <c r="R387" s="40" t="str">
        <f t="shared" ref="R387" si="1530">IF(ISERROR(VLOOKUP(R386,$K$394:$W$428,9,FALSE)),"",VLOOKUP(R386,$K$394:$W$428,9,FALSE))</f>
        <v/>
      </c>
      <c r="S387" s="40" t="str">
        <f t="shared" si="1529"/>
        <v/>
      </c>
      <c r="T387" s="40">
        <f t="shared" si="1529"/>
        <v>96379</v>
      </c>
      <c r="U387" s="41" t="str">
        <f t="shared" si="1529"/>
        <v/>
      </c>
      <c r="V387" s="42"/>
      <c r="W387" s="40">
        <f t="shared" ref="W387:Y387" si="1531">IF(ISERROR(VLOOKUP(W386,$K$394:$W$428,9,FALSE)),"",VLOOKUP(W386,$K$394:$W$428,9,FALSE))</f>
        <v>96379</v>
      </c>
      <c r="X387" s="40">
        <f t="shared" si="1531"/>
        <v>96379</v>
      </c>
      <c r="Y387" s="40">
        <f t="shared" si="1531"/>
        <v>96379</v>
      </c>
      <c r="Z387" s="294"/>
      <c r="AA387" s="294"/>
      <c r="AB387" s="41" t="str">
        <f t="shared" ref="AB387" si="1532">IF(ISERROR(VLOOKUP(AB386,$K$394:$W$428,9,FALSE)),"",VLOOKUP(AB386,$K$394:$W$428,9,FALSE))</f>
        <v/>
      </c>
      <c r="AC387" s="42"/>
      <c r="AD387" s="40" t="str">
        <f t="shared" ref="AD387:AG387" si="1533">IF(ISERROR(VLOOKUP(AD386,$K$394:$W$428,9,FALSE)),"",VLOOKUP(AD386,$K$394:$W$428,9,FALSE))</f>
        <v/>
      </c>
      <c r="AE387" s="40" t="str">
        <f t="shared" si="1533"/>
        <v/>
      </c>
      <c r="AF387" s="40" t="str">
        <f t="shared" si="1533"/>
        <v/>
      </c>
      <c r="AG387" s="40" t="str">
        <f t="shared" si="1533"/>
        <v/>
      </c>
      <c r="AH387" s="97"/>
      <c r="AI387" s="73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N387" s="1"/>
      <c r="LO387" s="1"/>
      <c r="LP387" s="1"/>
      <c r="LQ387" s="1"/>
      <c r="LR387" s="1"/>
      <c r="LS387" s="1"/>
      <c r="LT387" s="1"/>
      <c r="LU387" s="1"/>
      <c r="LV387" s="1"/>
      <c r="LW387" s="1"/>
      <c r="LX387" s="1"/>
      <c r="LY387" s="1"/>
      <c r="LZ387" s="1"/>
      <c r="MA387" s="1"/>
      <c r="MB387" s="1"/>
      <c r="MC387" s="1"/>
      <c r="MD387" s="1"/>
      <c r="ME387" s="1"/>
      <c r="MF387" s="1"/>
      <c r="MG387" s="1"/>
      <c r="MH387" s="1"/>
      <c r="MI387" s="1"/>
      <c r="MJ387" s="1"/>
      <c r="MK387" s="1"/>
      <c r="ML387" s="1"/>
      <c r="MM387" s="1"/>
      <c r="MN387" s="1"/>
      <c r="MO387" s="1"/>
      <c r="MP387" s="1"/>
      <c r="MQ387" s="1"/>
      <c r="MR387" s="1"/>
      <c r="MS387" s="1"/>
      <c r="MT387" s="1"/>
      <c r="MU387" s="1"/>
      <c r="MV387" s="1"/>
      <c r="MW387" s="1"/>
      <c r="MX387" s="1"/>
      <c r="MY387" s="1"/>
      <c r="MZ387" s="1"/>
      <c r="NA387" s="1"/>
      <c r="NB387" s="1"/>
      <c r="NC387" s="1"/>
      <c r="ND387" s="1"/>
      <c r="NE387" s="1"/>
      <c r="NF387" s="1"/>
      <c r="NG387" s="1"/>
    </row>
    <row r="388" spans="1:371" ht="15" customHeight="1" outlineLevel="1">
      <c r="A388" s="293"/>
      <c r="B388" s="215" t="s">
        <v>22</v>
      </c>
      <c r="C388" s="98"/>
      <c r="D388" s="98"/>
      <c r="E388" s="98"/>
      <c r="F388" s="98"/>
      <c r="G388" s="99"/>
      <c r="H388" s="100"/>
      <c r="I388" s="98"/>
      <c r="J388" s="98"/>
      <c r="K388" s="98"/>
      <c r="L388" s="98"/>
      <c r="M388" s="98"/>
      <c r="N388" s="99"/>
      <c r="O388" s="100"/>
      <c r="P388" s="98"/>
      <c r="Q388" s="98"/>
      <c r="R388" s="98"/>
      <c r="S388" s="98"/>
      <c r="T388" s="98"/>
      <c r="U388" s="99"/>
      <c r="V388" s="100"/>
      <c r="W388" s="98"/>
      <c r="X388" s="98"/>
      <c r="Y388" s="98"/>
      <c r="Z388" s="211"/>
      <c r="AA388" s="211"/>
      <c r="AB388" s="99"/>
      <c r="AC388" s="100"/>
      <c r="AD388" s="98"/>
      <c r="AE388" s="98"/>
      <c r="AF388" s="98"/>
      <c r="AG388" s="98"/>
      <c r="AH388" s="93"/>
      <c r="AI388" s="73">
        <f>COUNTA($C388:$AG388)</f>
        <v>0</v>
      </c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N388" s="1"/>
      <c r="LO388" s="1"/>
      <c r="LP388" s="1"/>
      <c r="LQ388" s="1"/>
      <c r="LR388" s="1"/>
      <c r="LS388" s="1"/>
      <c r="LT388" s="1"/>
      <c r="LU388" s="1"/>
      <c r="LV388" s="1"/>
      <c r="LW388" s="1"/>
      <c r="LX388" s="1"/>
      <c r="LY388" s="1"/>
      <c r="LZ388" s="1"/>
      <c r="MA388" s="1"/>
      <c r="MB388" s="1"/>
      <c r="MC388" s="1"/>
      <c r="MD388" s="1"/>
      <c r="ME388" s="1"/>
      <c r="MF388" s="1"/>
      <c r="MG388" s="1"/>
      <c r="MH388" s="1"/>
      <c r="MI388" s="1"/>
      <c r="MJ388" s="1"/>
      <c r="MK388" s="1"/>
      <c r="ML388" s="1"/>
      <c r="MM388" s="1"/>
      <c r="MN388" s="1"/>
      <c r="MO388" s="1"/>
      <c r="MP388" s="1"/>
      <c r="MQ388" s="1"/>
      <c r="MR388" s="1"/>
      <c r="MS388" s="1"/>
      <c r="MT388" s="1"/>
      <c r="MU388" s="1"/>
      <c r="MV388" s="1"/>
      <c r="MW388" s="1"/>
      <c r="MX388" s="1"/>
      <c r="MY388" s="1"/>
      <c r="MZ388" s="1"/>
      <c r="NA388" s="1"/>
      <c r="NB388" s="1"/>
      <c r="NC388" s="1"/>
      <c r="ND388" s="1"/>
      <c r="NE388" s="1"/>
      <c r="NF388" s="1"/>
      <c r="NG388" s="1"/>
    </row>
    <row r="389" spans="1:371" ht="15.75" customHeight="1" outlineLevel="1">
      <c r="A389" s="295"/>
      <c r="B389" s="295"/>
      <c r="C389" s="43" t="str">
        <f t="shared" ref="C389:G389" si="1534">IF(ISERROR(VLOOKUP(C388,$K$394:$W$428,9,FALSE)),"",VLOOKUP(C388,$K$394:$W$428,9,FALSE))</f>
        <v/>
      </c>
      <c r="D389" s="43" t="str">
        <f t="shared" si="1534"/>
        <v/>
      </c>
      <c r="E389" s="43" t="str">
        <f t="shared" si="1534"/>
        <v/>
      </c>
      <c r="F389" s="43" t="str">
        <f t="shared" si="1534"/>
        <v/>
      </c>
      <c r="G389" s="44" t="str">
        <f t="shared" si="1534"/>
        <v/>
      </c>
      <c r="H389" s="45"/>
      <c r="I389" s="43" t="str">
        <f t="shared" ref="I389:M389" si="1535">IF(ISERROR(VLOOKUP(I388,$K$394:$W$428,9,FALSE)),"",VLOOKUP(I388,$K$394:$W$428,9,FALSE))</f>
        <v/>
      </c>
      <c r="J389" s="43" t="str">
        <f t="shared" si="1535"/>
        <v/>
      </c>
      <c r="K389" s="43" t="str">
        <f t="shared" si="1535"/>
        <v/>
      </c>
      <c r="L389" s="43" t="str">
        <f t="shared" si="1535"/>
        <v/>
      </c>
      <c r="M389" s="43" t="str">
        <f t="shared" si="1535"/>
        <v/>
      </c>
      <c r="N389" s="44" t="str">
        <f t="shared" ref="N389" si="1536">IF(ISERROR(VLOOKUP(N388,$K$394:$W$428,9,FALSE)),"",VLOOKUP(N388,$K$394:$W$428,9,FALSE))</f>
        <v/>
      </c>
      <c r="O389" s="45"/>
      <c r="P389" s="43" t="str">
        <f t="shared" ref="P389:U389" si="1537">IF(ISERROR(VLOOKUP(P388,$K$394:$W$428,9,FALSE)),"",VLOOKUP(P388,$K$394:$W$428,9,FALSE))</f>
        <v/>
      </c>
      <c r="Q389" s="43" t="str">
        <f t="shared" si="1537"/>
        <v/>
      </c>
      <c r="R389" s="43" t="str">
        <f t="shared" ref="R389" si="1538">IF(ISERROR(VLOOKUP(R388,$K$394:$W$428,9,FALSE)),"",VLOOKUP(R388,$K$394:$W$428,9,FALSE))</f>
        <v/>
      </c>
      <c r="S389" s="43" t="str">
        <f t="shared" si="1537"/>
        <v/>
      </c>
      <c r="T389" s="43" t="str">
        <f t="shared" si="1537"/>
        <v/>
      </c>
      <c r="U389" s="44" t="str">
        <f t="shared" si="1537"/>
        <v/>
      </c>
      <c r="V389" s="45"/>
      <c r="W389" s="43" t="str">
        <f t="shared" ref="W389:Y389" si="1539">IF(ISERROR(VLOOKUP(W388,$K$394:$W$428,9,FALSE)),"",VLOOKUP(W388,$K$394:$W$428,9,FALSE))</f>
        <v/>
      </c>
      <c r="X389" s="43" t="str">
        <f t="shared" si="1539"/>
        <v/>
      </c>
      <c r="Y389" s="43" t="str">
        <f t="shared" si="1539"/>
        <v/>
      </c>
      <c r="Z389" s="295"/>
      <c r="AA389" s="295"/>
      <c r="AB389" s="44" t="str">
        <f t="shared" ref="AB389" si="1540">IF(ISERROR(VLOOKUP(AB388,$K$394:$W$428,9,FALSE)),"",VLOOKUP(AB388,$K$394:$W$428,9,FALSE))</f>
        <v/>
      </c>
      <c r="AC389" s="45"/>
      <c r="AD389" s="43" t="str">
        <f t="shared" ref="AD389:AG389" si="1541">IF(ISERROR(VLOOKUP(AD388,$K$394:$W$428,9,FALSE)),"",VLOOKUP(AD388,$K$394:$W$428,9,FALSE))</f>
        <v/>
      </c>
      <c r="AE389" s="43" t="str">
        <f t="shared" si="1541"/>
        <v/>
      </c>
      <c r="AF389" s="43" t="str">
        <f t="shared" si="1541"/>
        <v/>
      </c>
      <c r="AG389" s="43" t="str">
        <f t="shared" si="1541"/>
        <v/>
      </c>
      <c r="AH389" s="97"/>
      <c r="AI389" s="73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N389" s="1"/>
      <c r="LO389" s="1"/>
      <c r="LP389" s="1"/>
      <c r="LQ389" s="1"/>
      <c r="LR389" s="1"/>
      <c r="LS389" s="1"/>
      <c r="LT389" s="1"/>
      <c r="LU389" s="1"/>
      <c r="LV389" s="1"/>
      <c r="LW389" s="1"/>
      <c r="LX389" s="1"/>
      <c r="LY389" s="1"/>
      <c r="LZ389" s="1"/>
      <c r="MA389" s="1"/>
      <c r="MB389" s="1"/>
      <c r="MC389" s="1"/>
      <c r="MD389" s="1"/>
      <c r="ME389" s="1"/>
      <c r="MF389" s="1"/>
      <c r="MG389" s="1"/>
      <c r="MH389" s="1"/>
      <c r="MI389" s="1"/>
      <c r="MJ389" s="1"/>
      <c r="MK389" s="1"/>
      <c r="ML389" s="1"/>
      <c r="MM389" s="1"/>
      <c r="MN389" s="1"/>
      <c r="MO389" s="1"/>
      <c r="MP389" s="1"/>
      <c r="MQ389" s="1"/>
      <c r="MR389" s="1"/>
      <c r="MS389" s="1"/>
      <c r="MT389" s="1"/>
      <c r="MU389" s="1"/>
      <c r="MV389" s="1"/>
      <c r="MW389" s="1"/>
      <c r="MX389" s="1"/>
      <c r="MY389" s="1"/>
      <c r="MZ389" s="1"/>
      <c r="NA389" s="1"/>
      <c r="NB389" s="1"/>
      <c r="NC389" s="1"/>
      <c r="ND389" s="1"/>
      <c r="NE389" s="1"/>
      <c r="NF389" s="1"/>
      <c r="NG389" s="1"/>
    </row>
    <row r="390" spans="1:371" ht="15.75" customHeight="1">
      <c r="A390" s="49"/>
      <c r="B390" s="50"/>
      <c r="C390" s="31"/>
      <c r="D390" s="31"/>
      <c r="E390" s="31"/>
      <c r="F390" s="31"/>
      <c r="G390" s="31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59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N390" s="1"/>
      <c r="LO390" s="1"/>
      <c r="LP390" s="1"/>
      <c r="LQ390" s="1"/>
      <c r="LR390" s="1"/>
      <c r="LS390" s="1"/>
      <c r="LT390" s="1"/>
      <c r="LU390" s="1"/>
      <c r="LV390" s="1"/>
      <c r="LW390" s="1"/>
      <c r="LX390" s="1"/>
      <c r="LY390" s="1"/>
      <c r="LZ390" s="1"/>
      <c r="MA390" s="1"/>
      <c r="MB390" s="1"/>
      <c r="MC390" s="1"/>
      <c r="MD390" s="1"/>
      <c r="ME390" s="1"/>
      <c r="MF390" s="1"/>
      <c r="MG390" s="1"/>
      <c r="MH390" s="1"/>
      <c r="MI390" s="1"/>
      <c r="MJ390" s="1"/>
      <c r="MK390" s="1"/>
      <c r="ML390" s="1"/>
      <c r="MM390" s="1"/>
      <c r="MN390" s="1"/>
      <c r="MO390" s="1"/>
      <c r="MP390" s="1"/>
      <c r="MQ390" s="1"/>
      <c r="MR390" s="1"/>
      <c r="MS390" s="1"/>
      <c r="MT390" s="1"/>
      <c r="MU390" s="1"/>
      <c r="MV390" s="1"/>
      <c r="MW390" s="1"/>
      <c r="MX390" s="1"/>
      <c r="MY390" s="1"/>
      <c r="MZ390" s="1"/>
      <c r="NA390" s="1"/>
      <c r="NB390" s="1"/>
      <c r="NC390" s="1"/>
      <c r="ND390" s="1"/>
      <c r="NE390" s="1"/>
      <c r="NF390" s="1"/>
      <c r="NG390" s="1"/>
    </row>
    <row r="391" spans="1:371" ht="16.5" customHeight="1">
      <c r="A391" s="273" t="s">
        <v>59</v>
      </c>
      <c r="B391" s="301"/>
      <c r="C391" s="301"/>
      <c r="D391" s="301"/>
      <c r="E391" s="301"/>
      <c r="F391" s="301"/>
      <c r="G391" s="301"/>
      <c r="H391" s="301"/>
      <c r="I391" s="301"/>
      <c r="J391" s="302"/>
      <c r="K391" s="243" t="s">
        <v>60</v>
      </c>
      <c r="L391" s="302"/>
      <c r="M391" s="282" t="s">
        <v>61</v>
      </c>
      <c r="N391" s="243" t="s">
        <v>62</v>
      </c>
      <c r="O391" s="301"/>
      <c r="P391" s="301"/>
      <c r="Q391" s="301"/>
      <c r="R391" s="302"/>
      <c r="S391" s="273" t="s">
        <v>63</v>
      </c>
      <c r="T391" s="301"/>
      <c r="U391" s="302"/>
      <c r="V391" s="243" t="s">
        <v>64</v>
      </c>
      <c r="W391" s="302"/>
      <c r="X391" s="280" t="s">
        <v>65</v>
      </c>
      <c r="Y391" s="303"/>
      <c r="Z391" s="243" t="s">
        <v>66</v>
      </c>
      <c r="AA391" s="301"/>
      <c r="AB391" s="302"/>
      <c r="AC391" s="244" t="s">
        <v>67</v>
      </c>
      <c r="AD391" s="304"/>
      <c r="AE391" s="304"/>
      <c r="AF391" s="303"/>
      <c r="AG391" s="1"/>
      <c r="AH391" s="51"/>
      <c r="AI391" s="74"/>
      <c r="AJ391" s="52">
        <v>9</v>
      </c>
      <c r="AK391" s="52">
        <f t="shared" ref="AK391:AU391" si="1542">AJ391</f>
        <v>9</v>
      </c>
      <c r="AL391" s="52">
        <f t="shared" si="1542"/>
        <v>9</v>
      </c>
      <c r="AM391" s="52">
        <f t="shared" si="1542"/>
        <v>9</v>
      </c>
      <c r="AN391" s="52">
        <f t="shared" si="1542"/>
        <v>9</v>
      </c>
      <c r="AO391" s="52">
        <f t="shared" si="1542"/>
        <v>9</v>
      </c>
      <c r="AP391" s="52">
        <f t="shared" si="1542"/>
        <v>9</v>
      </c>
      <c r="AQ391" s="52">
        <f t="shared" si="1542"/>
        <v>9</v>
      </c>
      <c r="AR391" s="52">
        <f t="shared" si="1542"/>
        <v>9</v>
      </c>
      <c r="AS391" s="52">
        <f t="shared" si="1542"/>
        <v>9</v>
      </c>
      <c r="AT391" s="52">
        <f>AS391</f>
        <v>9</v>
      </c>
      <c r="AU391" s="52">
        <f t="shared" si="1542"/>
        <v>9</v>
      </c>
      <c r="AV391" s="52">
        <f>AU391</f>
        <v>9</v>
      </c>
      <c r="AW391" s="52">
        <f t="shared" ref="AW391" si="1543">AV391</f>
        <v>9</v>
      </c>
      <c r="AX391" s="52">
        <v>41</v>
      </c>
      <c r="AY391" s="28">
        <f t="shared" ref="AY391:BI391" si="1544">AX391</f>
        <v>41</v>
      </c>
      <c r="AZ391" s="28">
        <f t="shared" si="1544"/>
        <v>41</v>
      </c>
      <c r="BA391" s="28">
        <f t="shared" si="1544"/>
        <v>41</v>
      </c>
      <c r="BB391" s="28">
        <f t="shared" si="1544"/>
        <v>41</v>
      </c>
      <c r="BC391" s="28">
        <f t="shared" si="1544"/>
        <v>41</v>
      </c>
      <c r="BD391" s="28">
        <f t="shared" si="1544"/>
        <v>41</v>
      </c>
      <c r="BE391" s="28">
        <f t="shared" si="1544"/>
        <v>41</v>
      </c>
      <c r="BF391" s="28">
        <f t="shared" si="1544"/>
        <v>41</v>
      </c>
      <c r="BG391" s="28">
        <f t="shared" si="1544"/>
        <v>41</v>
      </c>
      <c r="BH391" s="28">
        <f t="shared" si="1544"/>
        <v>41</v>
      </c>
      <c r="BI391" s="28">
        <f t="shared" si="1544"/>
        <v>41</v>
      </c>
      <c r="BJ391" s="28">
        <f t="shared" ref="BJ391" si="1545">BI391</f>
        <v>41</v>
      </c>
      <c r="BK391" s="28">
        <f t="shared" ref="BK391" si="1546">BJ391</f>
        <v>41</v>
      </c>
      <c r="BL391" s="52">
        <v>73</v>
      </c>
      <c r="BM391" s="28">
        <f t="shared" ref="BM391:BW391" si="1547">BL391</f>
        <v>73</v>
      </c>
      <c r="BN391" s="28">
        <f t="shared" si="1547"/>
        <v>73</v>
      </c>
      <c r="BO391" s="28">
        <f t="shared" si="1547"/>
        <v>73</v>
      </c>
      <c r="BP391" s="28">
        <f t="shared" si="1547"/>
        <v>73</v>
      </c>
      <c r="BQ391" s="28">
        <f t="shared" si="1547"/>
        <v>73</v>
      </c>
      <c r="BR391" s="28">
        <f t="shared" si="1547"/>
        <v>73</v>
      </c>
      <c r="BS391" s="28">
        <f t="shared" si="1547"/>
        <v>73</v>
      </c>
      <c r="BT391" s="28">
        <f t="shared" si="1547"/>
        <v>73</v>
      </c>
      <c r="BU391" s="28">
        <f t="shared" si="1547"/>
        <v>73</v>
      </c>
      <c r="BV391" s="28">
        <f t="shared" si="1547"/>
        <v>73</v>
      </c>
      <c r="BW391" s="28">
        <f t="shared" si="1547"/>
        <v>73</v>
      </c>
      <c r="BX391" s="28">
        <f t="shared" ref="BX391" si="1548">BW391</f>
        <v>73</v>
      </c>
      <c r="BY391" s="28">
        <f t="shared" ref="BY391" si="1549">BX391</f>
        <v>73</v>
      </c>
      <c r="BZ391" s="52">
        <v>105</v>
      </c>
      <c r="CA391" s="28">
        <f t="shared" ref="CA391:CK391" si="1550">BZ391</f>
        <v>105</v>
      </c>
      <c r="CB391" s="28">
        <f t="shared" si="1550"/>
        <v>105</v>
      </c>
      <c r="CC391" s="28">
        <f t="shared" si="1550"/>
        <v>105</v>
      </c>
      <c r="CD391" s="28">
        <f t="shared" si="1550"/>
        <v>105</v>
      </c>
      <c r="CE391" s="28">
        <f t="shared" si="1550"/>
        <v>105</v>
      </c>
      <c r="CF391" s="28">
        <f t="shared" si="1550"/>
        <v>105</v>
      </c>
      <c r="CG391" s="28">
        <f t="shared" si="1550"/>
        <v>105</v>
      </c>
      <c r="CH391" s="28">
        <f t="shared" si="1550"/>
        <v>105</v>
      </c>
      <c r="CI391" s="28">
        <f t="shared" si="1550"/>
        <v>105</v>
      </c>
      <c r="CJ391" s="28">
        <f t="shared" si="1550"/>
        <v>105</v>
      </c>
      <c r="CK391" s="28">
        <f t="shared" si="1550"/>
        <v>105</v>
      </c>
      <c r="CL391" s="28">
        <f t="shared" ref="CL391" si="1551">CK391</f>
        <v>105</v>
      </c>
      <c r="CM391" s="28">
        <f t="shared" ref="CM391" si="1552">CL391</f>
        <v>105</v>
      </c>
      <c r="CN391" s="52">
        <v>137</v>
      </c>
      <c r="CO391" s="28">
        <f t="shared" ref="CO391:CY391" si="1553">CN391</f>
        <v>137</v>
      </c>
      <c r="CP391" s="28">
        <f t="shared" si="1553"/>
        <v>137</v>
      </c>
      <c r="CQ391" s="28">
        <f t="shared" si="1553"/>
        <v>137</v>
      </c>
      <c r="CR391" s="28">
        <f t="shared" si="1553"/>
        <v>137</v>
      </c>
      <c r="CS391" s="28">
        <f t="shared" si="1553"/>
        <v>137</v>
      </c>
      <c r="CT391" s="28">
        <f t="shared" si="1553"/>
        <v>137</v>
      </c>
      <c r="CU391" s="28">
        <f t="shared" si="1553"/>
        <v>137</v>
      </c>
      <c r="CV391" s="28">
        <f t="shared" si="1553"/>
        <v>137</v>
      </c>
      <c r="CW391" s="28">
        <f t="shared" si="1553"/>
        <v>137</v>
      </c>
      <c r="CX391" s="28">
        <f t="shared" si="1553"/>
        <v>137</v>
      </c>
      <c r="CY391" s="28">
        <f t="shared" si="1553"/>
        <v>137</v>
      </c>
      <c r="CZ391" s="28">
        <f t="shared" ref="CZ391" si="1554">CY391</f>
        <v>137</v>
      </c>
      <c r="DA391" s="28">
        <f t="shared" ref="DA391" si="1555">CZ391</f>
        <v>137</v>
      </c>
      <c r="DB391" s="52">
        <v>169</v>
      </c>
      <c r="DC391" s="28">
        <f t="shared" ref="DC391:DM391" si="1556">DB391</f>
        <v>169</v>
      </c>
      <c r="DD391" s="28">
        <f t="shared" si="1556"/>
        <v>169</v>
      </c>
      <c r="DE391" s="28">
        <f t="shared" si="1556"/>
        <v>169</v>
      </c>
      <c r="DF391" s="28">
        <f t="shared" si="1556"/>
        <v>169</v>
      </c>
      <c r="DG391" s="28">
        <f t="shared" si="1556"/>
        <v>169</v>
      </c>
      <c r="DH391" s="28">
        <f t="shared" si="1556"/>
        <v>169</v>
      </c>
      <c r="DI391" s="28">
        <f t="shared" si="1556"/>
        <v>169</v>
      </c>
      <c r="DJ391" s="28">
        <f t="shared" si="1556"/>
        <v>169</v>
      </c>
      <c r="DK391" s="28">
        <f t="shared" si="1556"/>
        <v>169</v>
      </c>
      <c r="DL391" s="28">
        <f t="shared" si="1556"/>
        <v>169</v>
      </c>
      <c r="DM391" s="28">
        <f t="shared" si="1556"/>
        <v>169</v>
      </c>
      <c r="DN391" s="28">
        <f t="shared" ref="DN391" si="1557">DM391</f>
        <v>169</v>
      </c>
      <c r="DO391" s="28">
        <f t="shared" ref="DO391" si="1558">DN391</f>
        <v>169</v>
      </c>
      <c r="DP391" s="52">
        <v>201</v>
      </c>
      <c r="DQ391" s="28">
        <f t="shared" ref="DQ391:EA391" si="1559">DP391</f>
        <v>201</v>
      </c>
      <c r="DR391" s="28">
        <f t="shared" si="1559"/>
        <v>201</v>
      </c>
      <c r="DS391" s="28">
        <f t="shared" si="1559"/>
        <v>201</v>
      </c>
      <c r="DT391" s="28">
        <f t="shared" si="1559"/>
        <v>201</v>
      </c>
      <c r="DU391" s="28">
        <f t="shared" si="1559"/>
        <v>201</v>
      </c>
      <c r="DV391" s="28">
        <f t="shared" si="1559"/>
        <v>201</v>
      </c>
      <c r="DW391" s="28">
        <f t="shared" si="1559"/>
        <v>201</v>
      </c>
      <c r="DX391" s="28">
        <f t="shared" si="1559"/>
        <v>201</v>
      </c>
      <c r="DY391" s="28">
        <f t="shared" si="1559"/>
        <v>201</v>
      </c>
      <c r="DZ391" s="28">
        <f t="shared" si="1559"/>
        <v>201</v>
      </c>
      <c r="EA391" s="28">
        <f t="shared" si="1559"/>
        <v>201</v>
      </c>
      <c r="EB391" s="28">
        <f t="shared" ref="EB391" si="1560">EA391</f>
        <v>201</v>
      </c>
      <c r="EC391" s="28">
        <f t="shared" ref="EC391" si="1561">EB391</f>
        <v>201</v>
      </c>
      <c r="ED391" s="52">
        <v>233</v>
      </c>
      <c r="EE391" s="28">
        <f t="shared" ref="EE391:EO391" si="1562">ED391</f>
        <v>233</v>
      </c>
      <c r="EF391" s="28">
        <f t="shared" si="1562"/>
        <v>233</v>
      </c>
      <c r="EG391" s="28">
        <f t="shared" si="1562"/>
        <v>233</v>
      </c>
      <c r="EH391" s="28">
        <f t="shared" si="1562"/>
        <v>233</v>
      </c>
      <c r="EI391" s="28">
        <f t="shared" si="1562"/>
        <v>233</v>
      </c>
      <c r="EJ391" s="28">
        <f t="shared" si="1562"/>
        <v>233</v>
      </c>
      <c r="EK391" s="28">
        <f t="shared" si="1562"/>
        <v>233</v>
      </c>
      <c r="EL391" s="28">
        <f t="shared" si="1562"/>
        <v>233</v>
      </c>
      <c r="EM391" s="28">
        <f t="shared" si="1562"/>
        <v>233</v>
      </c>
      <c r="EN391" s="28">
        <f t="shared" si="1562"/>
        <v>233</v>
      </c>
      <c r="EO391" s="28">
        <f t="shared" si="1562"/>
        <v>233</v>
      </c>
      <c r="EP391" s="28">
        <f t="shared" ref="EP391" si="1563">EO391</f>
        <v>233</v>
      </c>
      <c r="EQ391" s="28">
        <f t="shared" ref="EQ391" si="1564">EP391</f>
        <v>233</v>
      </c>
      <c r="ER391" s="52">
        <v>265</v>
      </c>
      <c r="ES391" s="28">
        <f t="shared" ref="ES391:FC391" si="1565">ER391</f>
        <v>265</v>
      </c>
      <c r="ET391" s="28">
        <f t="shared" si="1565"/>
        <v>265</v>
      </c>
      <c r="EU391" s="28">
        <f t="shared" si="1565"/>
        <v>265</v>
      </c>
      <c r="EV391" s="28">
        <f t="shared" si="1565"/>
        <v>265</v>
      </c>
      <c r="EW391" s="28">
        <f t="shared" si="1565"/>
        <v>265</v>
      </c>
      <c r="EX391" s="28">
        <f t="shared" si="1565"/>
        <v>265</v>
      </c>
      <c r="EY391" s="28">
        <f t="shared" si="1565"/>
        <v>265</v>
      </c>
      <c r="EZ391" s="28">
        <f t="shared" si="1565"/>
        <v>265</v>
      </c>
      <c r="FA391" s="28">
        <f t="shared" si="1565"/>
        <v>265</v>
      </c>
      <c r="FB391" s="28">
        <f t="shared" si="1565"/>
        <v>265</v>
      </c>
      <c r="FC391" s="28">
        <f t="shared" si="1565"/>
        <v>265</v>
      </c>
      <c r="FD391" s="28">
        <f t="shared" ref="FD391" si="1566">FC391</f>
        <v>265</v>
      </c>
      <c r="FE391" s="28">
        <f t="shared" ref="FE391" si="1567">FD391</f>
        <v>265</v>
      </c>
      <c r="FF391" s="52">
        <v>297</v>
      </c>
      <c r="FG391" s="28">
        <f t="shared" ref="FG391:FQ391" si="1568">FF391</f>
        <v>297</v>
      </c>
      <c r="FH391" s="28">
        <f t="shared" si="1568"/>
        <v>297</v>
      </c>
      <c r="FI391" s="28">
        <f t="shared" si="1568"/>
        <v>297</v>
      </c>
      <c r="FJ391" s="28">
        <f t="shared" si="1568"/>
        <v>297</v>
      </c>
      <c r="FK391" s="28">
        <f t="shared" si="1568"/>
        <v>297</v>
      </c>
      <c r="FL391" s="28">
        <f t="shared" si="1568"/>
        <v>297</v>
      </c>
      <c r="FM391" s="28">
        <f t="shared" si="1568"/>
        <v>297</v>
      </c>
      <c r="FN391" s="28">
        <f t="shared" si="1568"/>
        <v>297</v>
      </c>
      <c r="FO391" s="28">
        <f t="shared" si="1568"/>
        <v>297</v>
      </c>
      <c r="FP391" s="28">
        <f t="shared" si="1568"/>
        <v>297</v>
      </c>
      <c r="FQ391" s="28">
        <f t="shared" si="1568"/>
        <v>297</v>
      </c>
      <c r="FR391" s="28">
        <f t="shared" ref="FR391" si="1569">FQ391</f>
        <v>297</v>
      </c>
      <c r="FS391" s="28">
        <f t="shared" ref="FS391" si="1570">FR391</f>
        <v>297</v>
      </c>
      <c r="FT391" s="52">
        <v>329</v>
      </c>
      <c r="FU391" s="28">
        <f t="shared" ref="FU391:GE391" si="1571">FT391</f>
        <v>329</v>
      </c>
      <c r="FV391" s="28">
        <f t="shared" si="1571"/>
        <v>329</v>
      </c>
      <c r="FW391" s="28">
        <f t="shared" si="1571"/>
        <v>329</v>
      </c>
      <c r="FX391" s="28">
        <f t="shared" si="1571"/>
        <v>329</v>
      </c>
      <c r="FY391" s="28">
        <f t="shared" si="1571"/>
        <v>329</v>
      </c>
      <c r="FZ391" s="28">
        <f t="shared" si="1571"/>
        <v>329</v>
      </c>
      <c r="GA391" s="28">
        <f t="shared" si="1571"/>
        <v>329</v>
      </c>
      <c r="GB391" s="28">
        <f t="shared" si="1571"/>
        <v>329</v>
      </c>
      <c r="GC391" s="28">
        <f t="shared" si="1571"/>
        <v>329</v>
      </c>
      <c r="GD391" s="28">
        <f t="shared" si="1571"/>
        <v>329</v>
      </c>
      <c r="GE391" s="28">
        <f t="shared" si="1571"/>
        <v>329</v>
      </c>
      <c r="GF391" s="28">
        <f t="shared" ref="GF391" si="1572">GE391</f>
        <v>329</v>
      </c>
      <c r="GG391" s="28">
        <f t="shared" ref="GG391" si="1573">GF391</f>
        <v>329</v>
      </c>
      <c r="GH391" s="52">
        <v>361</v>
      </c>
      <c r="GI391" s="28">
        <f t="shared" ref="GI391:GS391" si="1574">GH391</f>
        <v>361</v>
      </c>
      <c r="GJ391" s="28">
        <f t="shared" si="1574"/>
        <v>361</v>
      </c>
      <c r="GK391" s="28">
        <f t="shared" si="1574"/>
        <v>361</v>
      </c>
      <c r="GL391" s="28">
        <f t="shared" si="1574"/>
        <v>361</v>
      </c>
      <c r="GM391" s="28">
        <f t="shared" si="1574"/>
        <v>361</v>
      </c>
      <c r="GN391" s="28">
        <f t="shared" si="1574"/>
        <v>361</v>
      </c>
      <c r="GO391" s="28">
        <f t="shared" si="1574"/>
        <v>361</v>
      </c>
      <c r="GP391" s="28">
        <f t="shared" si="1574"/>
        <v>361</v>
      </c>
      <c r="GQ391" s="28">
        <f t="shared" si="1574"/>
        <v>361</v>
      </c>
      <c r="GR391" s="28">
        <f t="shared" si="1574"/>
        <v>361</v>
      </c>
      <c r="GS391" s="77">
        <f t="shared" si="1574"/>
        <v>361</v>
      </c>
      <c r="GT391" s="28">
        <f t="shared" ref="GT391" si="1575">GS391</f>
        <v>361</v>
      </c>
      <c r="GU391" s="77">
        <f t="shared" ref="GU391" si="1576">GT391</f>
        <v>361</v>
      </c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N391" s="1"/>
      <c r="LO391" s="1"/>
      <c r="LP391" s="1"/>
      <c r="LQ391" s="1"/>
      <c r="LR391" s="1"/>
      <c r="LS391" s="1"/>
      <c r="LT391" s="1"/>
      <c r="LU391" s="1"/>
      <c r="LV391" s="1"/>
      <c r="LW391" s="1"/>
      <c r="LX391" s="1"/>
      <c r="LY391" s="1"/>
      <c r="LZ391" s="1"/>
      <c r="MA391" s="1"/>
      <c r="MB391" s="1"/>
      <c r="MC391" s="1"/>
      <c r="MD391" s="1"/>
      <c r="ME391" s="1"/>
      <c r="MF391" s="1"/>
      <c r="MG391" s="1"/>
      <c r="MH391" s="1"/>
      <c r="MI391" s="1"/>
      <c r="MJ391" s="1"/>
      <c r="MK391" s="1"/>
      <c r="ML391" s="1"/>
      <c r="MM391" s="1"/>
      <c r="MN391" s="1"/>
      <c r="MO391" s="1"/>
      <c r="MP391" s="1"/>
      <c r="MQ391" s="1"/>
      <c r="MR391" s="1"/>
      <c r="MS391" s="1"/>
      <c r="MT391" s="1"/>
      <c r="MU391" s="1"/>
      <c r="MV391" s="1"/>
      <c r="MW391" s="1"/>
      <c r="MX391" s="1"/>
      <c r="MY391" s="1"/>
      <c r="MZ391" s="1"/>
      <c r="NA391" s="1"/>
      <c r="NB391" s="1"/>
      <c r="NC391" s="1"/>
      <c r="ND391" s="1"/>
      <c r="NE391" s="1"/>
      <c r="NF391" s="1"/>
      <c r="NG391" s="1"/>
    </row>
    <row r="392" spans="1:371" ht="16.5" customHeight="1">
      <c r="A392" s="305"/>
      <c r="B392" s="298"/>
      <c r="C392" s="298"/>
      <c r="D392" s="298"/>
      <c r="E392" s="298"/>
      <c r="F392" s="298"/>
      <c r="G392" s="298"/>
      <c r="H392" s="298"/>
      <c r="I392" s="298"/>
      <c r="J392" s="306"/>
      <c r="K392" s="305"/>
      <c r="L392" s="306"/>
      <c r="M392" s="307"/>
      <c r="N392" s="305"/>
      <c r="O392" s="298"/>
      <c r="P392" s="298"/>
      <c r="Q392" s="298"/>
      <c r="R392" s="306"/>
      <c r="S392" s="305"/>
      <c r="T392" s="298"/>
      <c r="U392" s="306"/>
      <c r="V392" s="305"/>
      <c r="W392" s="306"/>
      <c r="X392" s="281" t="s">
        <v>68</v>
      </c>
      <c r="Y392" s="281" t="s">
        <v>69</v>
      </c>
      <c r="Z392" s="305"/>
      <c r="AA392" s="298"/>
      <c r="AB392" s="306"/>
      <c r="AC392" s="244" t="s">
        <v>70</v>
      </c>
      <c r="AD392" s="303"/>
      <c r="AE392" s="244" t="s">
        <v>71</v>
      </c>
      <c r="AF392" s="303"/>
      <c r="AG392" s="53"/>
      <c r="AH392" s="51"/>
      <c r="AI392" s="74"/>
      <c r="AJ392" s="52">
        <v>10</v>
      </c>
      <c r="AK392" s="52">
        <f t="shared" ref="AK392:AU392" si="1577">AJ392+2</f>
        <v>12</v>
      </c>
      <c r="AL392" s="52">
        <f t="shared" si="1577"/>
        <v>14</v>
      </c>
      <c r="AM392" s="52">
        <f t="shared" si="1577"/>
        <v>16</v>
      </c>
      <c r="AN392" s="52">
        <f t="shared" si="1577"/>
        <v>18</v>
      </c>
      <c r="AO392" s="52">
        <f t="shared" si="1577"/>
        <v>20</v>
      </c>
      <c r="AP392" s="52">
        <f t="shared" si="1577"/>
        <v>22</v>
      </c>
      <c r="AQ392" s="52">
        <f t="shared" si="1577"/>
        <v>24</v>
      </c>
      <c r="AR392" s="52">
        <f t="shared" si="1577"/>
        <v>26</v>
      </c>
      <c r="AS392" s="52">
        <f t="shared" si="1577"/>
        <v>28</v>
      </c>
      <c r="AT392" s="52">
        <f>AS392+2</f>
        <v>30</v>
      </c>
      <c r="AU392" s="52">
        <f t="shared" si="1577"/>
        <v>32</v>
      </c>
      <c r="AV392" s="52">
        <f>AU392+2</f>
        <v>34</v>
      </c>
      <c r="AW392" s="52">
        <f t="shared" ref="AW392" si="1578">AV392+2</f>
        <v>36</v>
      </c>
      <c r="AX392" s="52">
        <v>42</v>
      </c>
      <c r="AY392" s="52">
        <f t="shared" ref="AY392:BI392" si="1579">AX392+2</f>
        <v>44</v>
      </c>
      <c r="AZ392" s="52">
        <f t="shared" si="1579"/>
        <v>46</v>
      </c>
      <c r="BA392" s="52">
        <f t="shared" si="1579"/>
        <v>48</v>
      </c>
      <c r="BB392" s="52">
        <f t="shared" si="1579"/>
        <v>50</v>
      </c>
      <c r="BC392" s="52">
        <f t="shared" si="1579"/>
        <v>52</v>
      </c>
      <c r="BD392" s="52">
        <f t="shared" si="1579"/>
        <v>54</v>
      </c>
      <c r="BE392" s="52">
        <f t="shared" si="1579"/>
        <v>56</v>
      </c>
      <c r="BF392" s="52">
        <f t="shared" si="1579"/>
        <v>58</v>
      </c>
      <c r="BG392" s="52">
        <f t="shared" si="1579"/>
        <v>60</v>
      </c>
      <c r="BH392" s="52">
        <f t="shared" si="1579"/>
        <v>62</v>
      </c>
      <c r="BI392" s="52">
        <f t="shared" si="1579"/>
        <v>64</v>
      </c>
      <c r="BJ392" s="52">
        <f t="shared" ref="BJ392" si="1580">BI392+2</f>
        <v>66</v>
      </c>
      <c r="BK392" s="52">
        <f t="shared" ref="BK392" si="1581">BJ392+2</f>
        <v>68</v>
      </c>
      <c r="BL392" s="52">
        <v>74</v>
      </c>
      <c r="BM392" s="52">
        <f t="shared" ref="BM392:BW392" si="1582">BL392+2</f>
        <v>76</v>
      </c>
      <c r="BN392" s="52">
        <f t="shared" si="1582"/>
        <v>78</v>
      </c>
      <c r="BO392" s="52">
        <f t="shared" si="1582"/>
        <v>80</v>
      </c>
      <c r="BP392" s="52">
        <f t="shared" si="1582"/>
        <v>82</v>
      </c>
      <c r="BQ392" s="52">
        <f t="shared" si="1582"/>
        <v>84</v>
      </c>
      <c r="BR392" s="52">
        <f t="shared" si="1582"/>
        <v>86</v>
      </c>
      <c r="BS392" s="52">
        <f t="shared" si="1582"/>
        <v>88</v>
      </c>
      <c r="BT392" s="52">
        <f t="shared" si="1582"/>
        <v>90</v>
      </c>
      <c r="BU392" s="52">
        <f t="shared" si="1582"/>
        <v>92</v>
      </c>
      <c r="BV392" s="52">
        <f t="shared" si="1582"/>
        <v>94</v>
      </c>
      <c r="BW392" s="52">
        <f t="shared" si="1582"/>
        <v>96</v>
      </c>
      <c r="BX392" s="52">
        <f t="shared" ref="BX392" si="1583">BW392+2</f>
        <v>98</v>
      </c>
      <c r="BY392" s="52">
        <f t="shared" ref="BY392" si="1584">BX392+2</f>
        <v>100</v>
      </c>
      <c r="BZ392" s="52">
        <v>106</v>
      </c>
      <c r="CA392" s="52">
        <f t="shared" ref="CA392:CK392" si="1585">BZ392+2</f>
        <v>108</v>
      </c>
      <c r="CB392" s="52">
        <f t="shared" si="1585"/>
        <v>110</v>
      </c>
      <c r="CC392" s="52">
        <f t="shared" si="1585"/>
        <v>112</v>
      </c>
      <c r="CD392" s="52">
        <f t="shared" si="1585"/>
        <v>114</v>
      </c>
      <c r="CE392" s="52">
        <f t="shared" si="1585"/>
        <v>116</v>
      </c>
      <c r="CF392" s="52">
        <f t="shared" si="1585"/>
        <v>118</v>
      </c>
      <c r="CG392" s="52">
        <f t="shared" si="1585"/>
        <v>120</v>
      </c>
      <c r="CH392" s="52">
        <f t="shared" si="1585"/>
        <v>122</v>
      </c>
      <c r="CI392" s="52">
        <f t="shared" si="1585"/>
        <v>124</v>
      </c>
      <c r="CJ392" s="52">
        <f t="shared" si="1585"/>
        <v>126</v>
      </c>
      <c r="CK392" s="52">
        <f t="shared" si="1585"/>
        <v>128</v>
      </c>
      <c r="CL392" s="52">
        <f t="shared" ref="CL392" si="1586">CK392+2</f>
        <v>130</v>
      </c>
      <c r="CM392" s="52">
        <f t="shared" ref="CM392" si="1587">CL392+2</f>
        <v>132</v>
      </c>
      <c r="CN392" s="52">
        <v>138</v>
      </c>
      <c r="CO392" s="52">
        <f t="shared" ref="CO392:CY392" si="1588">CN392+2</f>
        <v>140</v>
      </c>
      <c r="CP392" s="52">
        <f t="shared" si="1588"/>
        <v>142</v>
      </c>
      <c r="CQ392" s="52">
        <f t="shared" si="1588"/>
        <v>144</v>
      </c>
      <c r="CR392" s="52">
        <f t="shared" si="1588"/>
        <v>146</v>
      </c>
      <c r="CS392" s="52">
        <f t="shared" si="1588"/>
        <v>148</v>
      </c>
      <c r="CT392" s="52">
        <f t="shared" si="1588"/>
        <v>150</v>
      </c>
      <c r="CU392" s="52">
        <f t="shared" si="1588"/>
        <v>152</v>
      </c>
      <c r="CV392" s="52">
        <f t="shared" si="1588"/>
        <v>154</v>
      </c>
      <c r="CW392" s="52">
        <f t="shared" si="1588"/>
        <v>156</v>
      </c>
      <c r="CX392" s="52">
        <f t="shared" si="1588"/>
        <v>158</v>
      </c>
      <c r="CY392" s="52">
        <f t="shared" si="1588"/>
        <v>160</v>
      </c>
      <c r="CZ392" s="52">
        <f t="shared" ref="CZ392" si="1589">CY392+2</f>
        <v>162</v>
      </c>
      <c r="DA392" s="52">
        <f t="shared" ref="DA392" si="1590">CZ392+2</f>
        <v>164</v>
      </c>
      <c r="DB392" s="52">
        <v>170</v>
      </c>
      <c r="DC392" s="52">
        <f t="shared" ref="DC392:DM392" si="1591">DB392+2</f>
        <v>172</v>
      </c>
      <c r="DD392" s="52">
        <f t="shared" si="1591"/>
        <v>174</v>
      </c>
      <c r="DE392" s="52">
        <f t="shared" si="1591"/>
        <v>176</v>
      </c>
      <c r="DF392" s="52">
        <f t="shared" si="1591"/>
        <v>178</v>
      </c>
      <c r="DG392" s="52">
        <f t="shared" si="1591"/>
        <v>180</v>
      </c>
      <c r="DH392" s="52">
        <f t="shared" si="1591"/>
        <v>182</v>
      </c>
      <c r="DI392" s="52">
        <f t="shared" si="1591"/>
        <v>184</v>
      </c>
      <c r="DJ392" s="52">
        <f t="shared" si="1591"/>
        <v>186</v>
      </c>
      <c r="DK392" s="52">
        <f t="shared" si="1591"/>
        <v>188</v>
      </c>
      <c r="DL392" s="52">
        <f t="shared" si="1591"/>
        <v>190</v>
      </c>
      <c r="DM392" s="52">
        <f t="shared" si="1591"/>
        <v>192</v>
      </c>
      <c r="DN392" s="52">
        <f t="shared" ref="DN392" si="1592">DM392+2</f>
        <v>194</v>
      </c>
      <c r="DO392" s="52">
        <f t="shared" ref="DO392" si="1593">DN392+2</f>
        <v>196</v>
      </c>
      <c r="DP392" s="52">
        <v>202</v>
      </c>
      <c r="DQ392" s="52">
        <f t="shared" ref="DQ392:EA392" si="1594">DP392+2</f>
        <v>204</v>
      </c>
      <c r="DR392" s="52">
        <f t="shared" si="1594"/>
        <v>206</v>
      </c>
      <c r="DS392" s="52">
        <f t="shared" si="1594"/>
        <v>208</v>
      </c>
      <c r="DT392" s="52">
        <f t="shared" si="1594"/>
        <v>210</v>
      </c>
      <c r="DU392" s="52">
        <f t="shared" si="1594"/>
        <v>212</v>
      </c>
      <c r="DV392" s="52">
        <f t="shared" si="1594"/>
        <v>214</v>
      </c>
      <c r="DW392" s="52">
        <f t="shared" si="1594"/>
        <v>216</v>
      </c>
      <c r="DX392" s="52">
        <f t="shared" si="1594"/>
        <v>218</v>
      </c>
      <c r="DY392" s="52">
        <f t="shared" si="1594"/>
        <v>220</v>
      </c>
      <c r="DZ392" s="52">
        <f t="shared" si="1594"/>
        <v>222</v>
      </c>
      <c r="EA392" s="52">
        <f t="shared" si="1594"/>
        <v>224</v>
      </c>
      <c r="EB392" s="52">
        <f t="shared" ref="EB392" si="1595">EA392+2</f>
        <v>226</v>
      </c>
      <c r="EC392" s="52">
        <f t="shared" ref="EC392" si="1596">EB392+2</f>
        <v>228</v>
      </c>
      <c r="ED392" s="52">
        <v>234</v>
      </c>
      <c r="EE392" s="52">
        <f t="shared" ref="EE392:EO392" si="1597">ED392+2</f>
        <v>236</v>
      </c>
      <c r="EF392" s="52">
        <f t="shared" si="1597"/>
        <v>238</v>
      </c>
      <c r="EG392" s="52">
        <f t="shared" si="1597"/>
        <v>240</v>
      </c>
      <c r="EH392" s="52">
        <f t="shared" si="1597"/>
        <v>242</v>
      </c>
      <c r="EI392" s="52">
        <f t="shared" si="1597"/>
        <v>244</v>
      </c>
      <c r="EJ392" s="52">
        <f t="shared" si="1597"/>
        <v>246</v>
      </c>
      <c r="EK392" s="52">
        <f t="shared" si="1597"/>
        <v>248</v>
      </c>
      <c r="EL392" s="52">
        <f t="shared" si="1597"/>
        <v>250</v>
      </c>
      <c r="EM392" s="52">
        <f t="shared" si="1597"/>
        <v>252</v>
      </c>
      <c r="EN392" s="52">
        <f t="shared" si="1597"/>
        <v>254</v>
      </c>
      <c r="EO392" s="52">
        <f t="shared" si="1597"/>
        <v>256</v>
      </c>
      <c r="EP392" s="52">
        <f t="shared" ref="EP392" si="1598">EO392+2</f>
        <v>258</v>
      </c>
      <c r="EQ392" s="52">
        <f t="shared" ref="EQ392" si="1599">EP392+2</f>
        <v>260</v>
      </c>
      <c r="ER392" s="52">
        <v>266</v>
      </c>
      <c r="ES392" s="52">
        <f t="shared" ref="ES392:FC392" si="1600">ER392+2</f>
        <v>268</v>
      </c>
      <c r="ET392" s="52">
        <f t="shared" si="1600"/>
        <v>270</v>
      </c>
      <c r="EU392" s="52">
        <f t="shared" si="1600"/>
        <v>272</v>
      </c>
      <c r="EV392" s="52">
        <f t="shared" si="1600"/>
        <v>274</v>
      </c>
      <c r="EW392" s="52">
        <f t="shared" si="1600"/>
        <v>276</v>
      </c>
      <c r="EX392" s="52">
        <f t="shared" si="1600"/>
        <v>278</v>
      </c>
      <c r="EY392" s="52">
        <f t="shared" si="1600"/>
        <v>280</v>
      </c>
      <c r="EZ392" s="52">
        <f t="shared" si="1600"/>
        <v>282</v>
      </c>
      <c r="FA392" s="52">
        <f t="shared" si="1600"/>
        <v>284</v>
      </c>
      <c r="FB392" s="52">
        <f t="shared" si="1600"/>
        <v>286</v>
      </c>
      <c r="FC392" s="52">
        <f t="shared" si="1600"/>
        <v>288</v>
      </c>
      <c r="FD392" s="52">
        <f t="shared" ref="FD392" si="1601">FC392+2</f>
        <v>290</v>
      </c>
      <c r="FE392" s="52">
        <f t="shared" ref="FE392" si="1602">FD392+2</f>
        <v>292</v>
      </c>
      <c r="FF392" s="52">
        <v>298</v>
      </c>
      <c r="FG392" s="52">
        <f t="shared" ref="FG392:FQ392" si="1603">FF392+2</f>
        <v>300</v>
      </c>
      <c r="FH392" s="52">
        <f t="shared" si="1603"/>
        <v>302</v>
      </c>
      <c r="FI392" s="52">
        <f t="shared" si="1603"/>
        <v>304</v>
      </c>
      <c r="FJ392" s="52">
        <f t="shared" si="1603"/>
        <v>306</v>
      </c>
      <c r="FK392" s="52">
        <f t="shared" si="1603"/>
        <v>308</v>
      </c>
      <c r="FL392" s="52">
        <f t="shared" si="1603"/>
        <v>310</v>
      </c>
      <c r="FM392" s="52">
        <f t="shared" si="1603"/>
        <v>312</v>
      </c>
      <c r="FN392" s="52">
        <f t="shared" si="1603"/>
        <v>314</v>
      </c>
      <c r="FO392" s="52">
        <f t="shared" si="1603"/>
        <v>316</v>
      </c>
      <c r="FP392" s="52">
        <f t="shared" si="1603"/>
        <v>318</v>
      </c>
      <c r="FQ392" s="52">
        <f t="shared" si="1603"/>
        <v>320</v>
      </c>
      <c r="FR392" s="52">
        <f t="shared" ref="FR392" si="1604">FQ392+2</f>
        <v>322</v>
      </c>
      <c r="FS392" s="52">
        <f t="shared" ref="FS392" si="1605">FR392+2</f>
        <v>324</v>
      </c>
      <c r="FT392" s="52">
        <v>330</v>
      </c>
      <c r="FU392" s="52">
        <f t="shared" ref="FU392:GE392" si="1606">FT392+2</f>
        <v>332</v>
      </c>
      <c r="FV392" s="52">
        <f t="shared" si="1606"/>
        <v>334</v>
      </c>
      <c r="FW392" s="52">
        <f t="shared" si="1606"/>
        <v>336</v>
      </c>
      <c r="FX392" s="52">
        <f t="shared" si="1606"/>
        <v>338</v>
      </c>
      <c r="FY392" s="52">
        <f t="shared" si="1606"/>
        <v>340</v>
      </c>
      <c r="FZ392" s="52">
        <f t="shared" si="1606"/>
        <v>342</v>
      </c>
      <c r="GA392" s="52">
        <f t="shared" si="1606"/>
        <v>344</v>
      </c>
      <c r="GB392" s="52">
        <f t="shared" si="1606"/>
        <v>346</v>
      </c>
      <c r="GC392" s="52">
        <f t="shared" si="1606"/>
        <v>348</v>
      </c>
      <c r="GD392" s="52">
        <f t="shared" si="1606"/>
        <v>350</v>
      </c>
      <c r="GE392" s="52">
        <f t="shared" si="1606"/>
        <v>352</v>
      </c>
      <c r="GF392" s="52">
        <f t="shared" ref="GF392" si="1607">GE392+2</f>
        <v>354</v>
      </c>
      <c r="GG392" s="52">
        <f t="shared" ref="GG392" si="1608">GF392+2</f>
        <v>356</v>
      </c>
      <c r="GH392" s="52">
        <v>362</v>
      </c>
      <c r="GI392" s="52">
        <f t="shared" ref="GI392:GS392" si="1609">GH392+2</f>
        <v>364</v>
      </c>
      <c r="GJ392" s="52">
        <f t="shared" si="1609"/>
        <v>366</v>
      </c>
      <c r="GK392" s="52">
        <f t="shared" si="1609"/>
        <v>368</v>
      </c>
      <c r="GL392" s="52">
        <f t="shared" si="1609"/>
        <v>370</v>
      </c>
      <c r="GM392" s="52">
        <f t="shared" si="1609"/>
        <v>372</v>
      </c>
      <c r="GN392" s="52">
        <f t="shared" si="1609"/>
        <v>374</v>
      </c>
      <c r="GO392" s="52">
        <f t="shared" si="1609"/>
        <v>376</v>
      </c>
      <c r="GP392" s="52">
        <f t="shared" si="1609"/>
        <v>378</v>
      </c>
      <c r="GQ392" s="52">
        <f t="shared" si="1609"/>
        <v>380</v>
      </c>
      <c r="GR392" s="52">
        <f t="shared" si="1609"/>
        <v>382</v>
      </c>
      <c r="GS392" s="78">
        <f t="shared" si="1609"/>
        <v>384</v>
      </c>
      <c r="GT392" s="52">
        <f t="shared" ref="GT392" si="1610">GS392+2</f>
        <v>386</v>
      </c>
      <c r="GU392" s="78">
        <f t="shared" ref="GU392" si="1611">GT392+2</f>
        <v>388</v>
      </c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N392" s="1"/>
      <c r="LO392" s="1"/>
      <c r="LP392" s="1"/>
      <c r="LQ392" s="1"/>
      <c r="LR392" s="1"/>
      <c r="LS392" s="1"/>
      <c r="LT392" s="1"/>
      <c r="LU392" s="1"/>
      <c r="LV392" s="1"/>
      <c r="LW392" s="1"/>
      <c r="LX392" s="1"/>
      <c r="LY392" s="1"/>
      <c r="LZ392" s="1"/>
      <c r="MA392" s="1"/>
      <c r="MB392" s="1"/>
      <c r="MC392" s="1"/>
      <c r="MD392" s="1"/>
      <c r="ME392" s="1"/>
      <c r="MF392" s="1"/>
      <c r="MG392" s="1"/>
      <c r="MH392" s="1"/>
      <c r="MI392" s="1"/>
      <c r="MJ392" s="1"/>
      <c r="MK392" s="1"/>
      <c r="ML392" s="1"/>
      <c r="MM392" s="1"/>
      <c r="MN392" s="1"/>
      <c r="MO392" s="1"/>
      <c r="MP392" s="1"/>
      <c r="MQ392" s="1"/>
      <c r="MR392" s="1"/>
      <c r="MS392" s="1"/>
      <c r="MT392" s="1"/>
      <c r="MU392" s="1"/>
      <c r="MV392" s="1"/>
      <c r="MW392" s="1"/>
      <c r="MX392" s="1"/>
      <c r="MY392" s="1"/>
      <c r="MZ392" s="1"/>
      <c r="NA392" s="1"/>
      <c r="NB392" s="1"/>
      <c r="NC392" s="1"/>
      <c r="ND392" s="1"/>
      <c r="NE392" s="1"/>
      <c r="NF392" s="1"/>
      <c r="NG392" s="1"/>
    </row>
    <row r="393" spans="1:371" ht="17.25" customHeight="1">
      <c r="A393" s="308"/>
      <c r="B393" s="309"/>
      <c r="C393" s="309"/>
      <c r="D393" s="309"/>
      <c r="E393" s="309"/>
      <c r="F393" s="309"/>
      <c r="G393" s="309"/>
      <c r="H393" s="309"/>
      <c r="I393" s="309"/>
      <c r="J393" s="310"/>
      <c r="K393" s="308"/>
      <c r="L393" s="310"/>
      <c r="M393" s="61">
        <f>SUM(M394:M428)</f>
        <v>1377</v>
      </c>
      <c r="N393" s="308"/>
      <c r="O393" s="309"/>
      <c r="P393" s="309"/>
      <c r="Q393" s="309"/>
      <c r="R393" s="310"/>
      <c r="S393" s="308"/>
      <c r="T393" s="309"/>
      <c r="U393" s="310"/>
      <c r="V393" s="308"/>
      <c r="W393" s="310"/>
      <c r="X393" s="307"/>
      <c r="Y393" s="307"/>
      <c r="Z393" s="308"/>
      <c r="AA393" s="309"/>
      <c r="AB393" s="310"/>
      <c r="AC393" s="242">
        <f>SUM(AC394:AC428)</f>
        <v>1285</v>
      </c>
      <c r="AD393" s="311"/>
      <c r="AE393" s="242">
        <f>SUM(AE394:AE428)</f>
        <v>92</v>
      </c>
      <c r="AF393" s="311"/>
      <c r="AG393" s="54"/>
      <c r="AH393" s="51"/>
      <c r="AI393" s="71"/>
      <c r="AJ393" s="31" t="s">
        <v>72</v>
      </c>
      <c r="AK393" s="31" t="s">
        <v>72</v>
      </c>
      <c r="AL393" s="31" t="s">
        <v>72</v>
      </c>
      <c r="AM393" s="31" t="s">
        <v>72</v>
      </c>
      <c r="AN393" s="31" t="s">
        <v>72</v>
      </c>
      <c r="AO393" s="31" t="s">
        <v>72</v>
      </c>
      <c r="AP393" s="31" t="s">
        <v>72</v>
      </c>
      <c r="AQ393" s="31" t="s">
        <v>72</v>
      </c>
      <c r="AR393" s="31" t="s">
        <v>72</v>
      </c>
      <c r="AS393" s="31" t="s">
        <v>72</v>
      </c>
      <c r="AT393" s="31" t="s">
        <v>72</v>
      </c>
      <c r="AU393" s="31" t="s">
        <v>72</v>
      </c>
      <c r="AV393" s="31" t="s">
        <v>72</v>
      </c>
      <c r="AW393" s="31" t="s">
        <v>72</v>
      </c>
      <c r="AX393" s="31" t="s">
        <v>73</v>
      </c>
      <c r="AY393" s="31" t="s">
        <v>73</v>
      </c>
      <c r="AZ393" s="31" t="s">
        <v>73</v>
      </c>
      <c r="BA393" s="31" t="s">
        <v>73</v>
      </c>
      <c r="BB393" s="31" t="s">
        <v>73</v>
      </c>
      <c r="BC393" s="31" t="s">
        <v>73</v>
      </c>
      <c r="BD393" s="31" t="s">
        <v>73</v>
      </c>
      <c r="BE393" s="31" t="s">
        <v>73</v>
      </c>
      <c r="BF393" s="31" t="s">
        <v>73</v>
      </c>
      <c r="BG393" s="31" t="s">
        <v>73</v>
      </c>
      <c r="BH393" s="31" t="s">
        <v>73</v>
      </c>
      <c r="BI393" s="31" t="s">
        <v>73</v>
      </c>
      <c r="BJ393" s="31" t="s">
        <v>73</v>
      </c>
      <c r="BK393" s="31" t="s">
        <v>73</v>
      </c>
      <c r="BL393" s="31" t="s">
        <v>74</v>
      </c>
      <c r="BM393" s="31" t="s">
        <v>74</v>
      </c>
      <c r="BN393" s="31" t="s">
        <v>74</v>
      </c>
      <c r="BO393" s="31" t="s">
        <v>74</v>
      </c>
      <c r="BP393" s="31" t="s">
        <v>74</v>
      </c>
      <c r="BQ393" s="31" t="s">
        <v>74</v>
      </c>
      <c r="BR393" s="31" t="s">
        <v>74</v>
      </c>
      <c r="BS393" s="31" t="s">
        <v>74</v>
      </c>
      <c r="BT393" s="31" t="s">
        <v>74</v>
      </c>
      <c r="BU393" s="31" t="s">
        <v>74</v>
      </c>
      <c r="BV393" s="31" t="s">
        <v>74</v>
      </c>
      <c r="BW393" s="31" t="s">
        <v>74</v>
      </c>
      <c r="BX393" s="31" t="s">
        <v>74</v>
      </c>
      <c r="BY393" s="31" t="s">
        <v>74</v>
      </c>
      <c r="BZ393" s="31" t="s">
        <v>75</v>
      </c>
      <c r="CA393" s="31" t="s">
        <v>75</v>
      </c>
      <c r="CB393" s="31" t="s">
        <v>75</v>
      </c>
      <c r="CC393" s="31" t="s">
        <v>75</v>
      </c>
      <c r="CD393" s="31" t="s">
        <v>75</v>
      </c>
      <c r="CE393" s="31" t="s">
        <v>75</v>
      </c>
      <c r="CF393" s="31" t="s">
        <v>75</v>
      </c>
      <c r="CG393" s="31" t="s">
        <v>75</v>
      </c>
      <c r="CH393" s="31" t="s">
        <v>75</v>
      </c>
      <c r="CI393" s="31" t="s">
        <v>75</v>
      </c>
      <c r="CJ393" s="31" t="s">
        <v>75</v>
      </c>
      <c r="CK393" s="31" t="s">
        <v>75</v>
      </c>
      <c r="CL393" s="31" t="s">
        <v>75</v>
      </c>
      <c r="CM393" s="31" t="s">
        <v>75</v>
      </c>
      <c r="CN393" s="31" t="s">
        <v>76</v>
      </c>
      <c r="CO393" s="31" t="s">
        <v>76</v>
      </c>
      <c r="CP393" s="31" t="s">
        <v>76</v>
      </c>
      <c r="CQ393" s="31" t="s">
        <v>76</v>
      </c>
      <c r="CR393" s="31" t="s">
        <v>76</v>
      </c>
      <c r="CS393" s="31" t="s">
        <v>76</v>
      </c>
      <c r="CT393" s="31" t="s">
        <v>76</v>
      </c>
      <c r="CU393" s="31" t="s">
        <v>76</v>
      </c>
      <c r="CV393" s="31" t="s">
        <v>76</v>
      </c>
      <c r="CW393" s="31" t="s">
        <v>76</v>
      </c>
      <c r="CX393" s="31" t="s">
        <v>76</v>
      </c>
      <c r="CY393" s="31" t="s">
        <v>76</v>
      </c>
      <c r="CZ393" s="31" t="s">
        <v>76</v>
      </c>
      <c r="DA393" s="31" t="s">
        <v>76</v>
      </c>
      <c r="DB393" s="31" t="s">
        <v>77</v>
      </c>
      <c r="DC393" s="31" t="s">
        <v>77</v>
      </c>
      <c r="DD393" s="31" t="s">
        <v>77</v>
      </c>
      <c r="DE393" s="31" t="s">
        <v>77</v>
      </c>
      <c r="DF393" s="31" t="s">
        <v>77</v>
      </c>
      <c r="DG393" s="31" t="s">
        <v>77</v>
      </c>
      <c r="DH393" s="31" t="s">
        <v>77</v>
      </c>
      <c r="DI393" s="31" t="s">
        <v>77</v>
      </c>
      <c r="DJ393" s="31" t="s">
        <v>77</v>
      </c>
      <c r="DK393" s="31" t="s">
        <v>77</v>
      </c>
      <c r="DL393" s="31" t="s">
        <v>77</v>
      </c>
      <c r="DM393" s="31" t="s">
        <v>77</v>
      </c>
      <c r="DN393" s="31" t="s">
        <v>77</v>
      </c>
      <c r="DO393" s="31" t="s">
        <v>77</v>
      </c>
      <c r="DP393" s="31" t="s">
        <v>78</v>
      </c>
      <c r="DQ393" s="31" t="s">
        <v>78</v>
      </c>
      <c r="DR393" s="31" t="s">
        <v>78</v>
      </c>
      <c r="DS393" s="31" t="s">
        <v>78</v>
      </c>
      <c r="DT393" s="31" t="s">
        <v>78</v>
      </c>
      <c r="DU393" s="31" t="s">
        <v>78</v>
      </c>
      <c r="DV393" s="31" t="s">
        <v>78</v>
      </c>
      <c r="DW393" s="31" t="s">
        <v>78</v>
      </c>
      <c r="DX393" s="31" t="s">
        <v>78</v>
      </c>
      <c r="DY393" s="31" t="s">
        <v>78</v>
      </c>
      <c r="DZ393" s="31" t="s">
        <v>78</v>
      </c>
      <c r="EA393" s="31" t="s">
        <v>78</v>
      </c>
      <c r="EB393" s="31" t="s">
        <v>78</v>
      </c>
      <c r="EC393" s="31" t="s">
        <v>78</v>
      </c>
      <c r="ED393" s="31" t="s">
        <v>79</v>
      </c>
      <c r="EE393" s="31" t="s">
        <v>79</v>
      </c>
      <c r="EF393" s="31" t="s">
        <v>79</v>
      </c>
      <c r="EG393" s="31" t="s">
        <v>79</v>
      </c>
      <c r="EH393" s="31" t="s">
        <v>79</v>
      </c>
      <c r="EI393" s="31" t="s">
        <v>79</v>
      </c>
      <c r="EJ393" s="31" t="s">
        <v>79</v>
      </c>
      <c r="EK393" s="31" t="s">
        <v>79</v>
      </c>
      <c r="EL393" s="31" t="s">
        <v>79</v>
      </c>
      <c r="EM393" s="31" t="s">
        <v>79</v>
      </c>
      <c r="EN393" s="31" t="s">
        <v>79</v>
      </c>
      <c r="EO393" s="31" t="s">
        <v>79</v>
      </c>
      <c r="EP393" s="31" t="s">
        <v>79</v>
      </c>
      <c r="EQ393" s="31" t="s">
        <v>79</v>
      </c>
      <c r="ER393" s="31" t="s">
        <v>80</v>
      </c>
      <c r="ES393" s="31" t="s">
        <v>80</v>
      </c>
      <c r="ET393" s="31" t="s">
        <v>80</v>
      </c>
      <c r="EU393" s="31" t="s">
        <v>80</v>
      </c>
      <c r="EV393" s="31" t="s">
        <v>80</v>
      </c>
      <c r="EW393" s="31" t="s">
        <v>80</v>
      </c>
      <c r="EX393" s="31" t="s">
        <v>80</v>
      </c>
      <c r="EY393" s="31" t="s">
        <v>80</v>
      </c>
      <c r="EZ393" s="31" t="s">
        <v>80</v>
      </c>
      <c r="FA393" s="31" t="s">
        <v>80</v>
      </c>
      <c r="FB393" s="31" t="s">
        <v>80</v>
      </c>
      <c r="FC393" s="31" t="s">
        <v>80</v>
      </c>
      <c r="FD393" s="31" t="s">
        <v>80</v>
      </c>
      <c r="FE393" s="31" t="s">
        <v>80</v>
      </c>
      <c r="FF393" s="31" t="s">
        <v>81</v>
      </c>
      <c r="FG393" s="31" t="s">
        <v>81</v>
      </c>
      <c r="FH393" s="31" t="s">
        <v>81</v>
      </c>
      <c r="FI393" s="31" t="s">
        <v>81</v>
      </c>
      <c r="FJ393" s="31" t="s">
        <v>81</v>
      </c>
      <c r="FK393" s="31" t="s">
        <v>81</v>
      </c>
      <c r="FL393" s="31" t="s">
        <v>81</v>
      </c>
      <c r="FM393" s="31" t="s">
        <v>81</v>
      </c>
      <c r="FN393" s="31" t="s">
        <v>81</v>
      </c>
      <c r="FO393" s="31" t="s">
        <v>81</v>
      </c>
      <c r="FP393" s="31" t="s">
        <v>81</v>
      </c>
      <c r="FQ393" s="31" t="s">
        <v>81</v>
      </c>
      <c r="FR393" s="31" t="s">
        <v>81</v>
      </c>
      <c r="FS393" s="31" t="s">
        <v>81</v>
      </c>
      <c r="FT393" s="31" t="s">
        <v>82</v>
      </c>
      <c r="FU393" s="31" t="s">
        <v>82</v>
      </c>
      <c r="FV393" s="31" t="s">
        <v>82</v>
      </c>
      <c r="FW393" s="31" t="s">
        <v>82</v>
      </c>
      <c r="FX393" s="31" t="s">
        <v>82</v>
      </c>
      <c r="FY393" s="31" t="s">
        <v>82</v>
      </c>
      <c r="FZ393" s="31" t="s">
        <v>82</v>
      </c>
      <c r="GA393" s="31" t="s">
        <v>82</v>
      </c>
      <c r="GB393" s="31" t="s">
        <v>82</v>
      </c>
      <c r="GC393" s="31" t="s">
        <v>82</v>
      </c>
      <c r="GD393" s="31" t="s">
        <v>82</v>
      </c>
      <c r="GE393" s="31" t="s">
        <v>82</v>
      </c>
      <c r="GF393" s="31" t="s">
        <v>82</v>
      </c>
      <c r="GG393" s="31" t="s">
        <v>82</v>
      </c>
      <c r="GH393" s="31" t="s">
        <v>83</v>
      </c>
      <c r="GI393" s="31" t="s">
        <v>83</v>
      </c>
      <c r="GJ393" s="31" t="s">
        <v>83</v>
      </c>
      <c r="GK393" s="31" t="s">
        <v>83</v>
      </c>
      <c r="GL393" s="31" t="s">
        <v>83</v>
      </c>
      <c r="GM393" s="31" t="s">
        <v>83</v>
      </c>
      <c r="GN393" s="31" t="s">
        <v>83</v>
      </c>
      <c r="GO393" s="31" t="s">
        <v>83</v>
      </c>
      <c r="GP393" s="31" t="s">
        <v>83</v>
      </c>
      <c r="GQ393" s="31" t="s">
        <v>83</v>
      </c>
      <c r="GR393" s="31" t="s">
        <v>83</v>
      </c>
      <c r="GS393" s="79" t="s">
        <v>83</v>
      </c>
      <c r="GT393" s="31" t="s">
        <v>83</v>
      </c>
      <c r="GU393" s="81" t="s">
        <v>83</v>
      </c>
      <c r="GV393" s="31" t="s">
        <v>72</v>
      </c>
      <c r="GW393" s="31" t="s">
        <v>72</v>
      </c>
      <c r="GX393" s="31" t="s">
        <v>72</v>
      </c>
      <c r="GY393" s="31" t="s">
        <v>72</v>
      </c>
      <c r="GZ393" s="31" t="s">
        <v>72</v>
      </c>
      <c r="HA393" s="31" t="s">
        <v>72</v>
      </c>
      <c r="HB393" s="31" t="s">
        <v>72</v>
      </c>
      <c r="HC393" s="31" t="s">
        <v>72</v>
      </c>
      <c r="HD393" s="31" t="s">
        <v>72</v>
      </c>
      <c r="HE393" s="31" t="s">
        <v>72</v>
      </c>
      <c r="HF393" s="31" t="s">
        <v>72</v>
      </c>
      <c r="HG393" s="31" t="s">
        <v>72</v>
      </c>
      <c r="HH393" s="31" t="s">
        <v>72</v>
      </c>
      <c r="HI393" s="31" t="s">
        <v>72</v>
      </c>
      <c r="HJ393" s="31" t="s">
        <v>73</v>
      </c>
      <c r="HK393" s="31" t="s">
        <v>73</v>
      </c>
      <c r="HL393" s="31" t="s">
        <v>73</v>
      </c>
      <c r="HM393" s="31" t="s">
        <v>73</v>
      </c>
      <c r="HN393" s="31" t="s">
        <v>73</v>
      </c>
      <c r="HO393" s="31" t="s">
        <v>73</v>
      </c>
      <c r="HP393" s="31" t="s">
        <v>73</v>
      </c>
      <c r="HQ393" s="31" t="s">
        <v>73</v>
      </c>
      <c r="HR393" s="31" t="s">
        <v>73</v>
      </c>
      <c r="HS393" s="31" t="s">
        <v>73</v>
      </c>
      <c r="HT393" s="31" t="s">
        <v>73</v>
      </c>
      <c r="HU393" s="31" t="s">
        <v>73</v>
      </c>
      <c r="HV393" s="31" t="s">
        <v>73</v>
      </c>
      <c r="HW393" s="31" t="s">
        <v>73</v>
      </c>
      <c r="HX393" s="31" t="s">
        <v>74</v>
      </c>
      <c r="HY393" s="31" t="s">
        <v>74</v>
      </c>
      <c r="HZ393" s="31" t="s">
        <v>74</v>
      </c>
      <c r="IA393" s="31" t="s">
        <v>74</v>
      </c>
      <c r="IB393" s="31" t="s">
        <v>74</v>
      </c>
      <c r="IC393" s="31" t="s">
        <v>74</v>
      </c>
      <c r="ID393" s="31" t="s">
        <v>74</v>
      </c>
      <c r="IE393" s="31" t="s">
        <v>74</v>
      </c>
      <c r="IF393" s="31" t="s">
        <v>74</v>
      </c>
      <c r="IG393" s="31" t="s">
        <v>74</v>
      </c>
      <c r="IH393" s="31" t="s">
        <v>74</v>
      </c>
      <c r="II393" s="31" t="s">
        <v>74</v>
      </c>
      <c r="IJ393" s="31" t="s">
        <v>74</v>
      </c>
      <c r="IK393" s="31" t="s">
        <v>74</v>
      </c>
      <c r="IL393" s="31" t="s">
        <v>75</v>
      </c>
      <c r="IM393" s="31" t="s">
        <v>75</v>
      </c>
      <c r="IN393" s="31" t="s">
        <v>75</v>
      </c>
      <c r="IO393" s="31" t="s">
        <v>75</v>
      </c>
      <c r="IP393" s="31" t="s">
        <v>75</v>
      </c>
      <c r="IQ393" s="31" t="s">
        <v>75</v>
      </c>
      <c r="IR393" s="31" t="s">
        <v>75</v>
      </c>
      <c r="IS393" s="31" t="s">
        <v>75</v>
      </c>
      <c r="IT393" s="31" t="s">
        <v>75</v>
      </c>
      <c r="IU393" s="31" t="s">
        <v>75</v>
      </c>
      <c r="IV393" s="31" t="s">
        <v>75</v>
      </c>
      <c r="IW393" s="31" t="s">
        <v>75</v>
      </c>
      <c r="IX393" s="31" t="s">
        <v>75</v>
      </c>
      <c r="IY393" s="31" t="s">
        <v>75</v>
      </c>
      <c r="IZ393" s="31" t="s">
        <v>76</v>
      </c>
      <c r="JA393" s="31" t="s">
        <v>76</v>
      </c>
      <c r="JB393" s="31" t="s">
        <v>76</v>
      </c>
      <c r="JC393" s="31" t="s">
        <v>76</v>
      </c>
      <c r="JD393" s="31" t="s">
        <v>76</v>
      </c>
      <c r="JE393" s="31" t="s">
        <v>76</v>
      </c>
      <c r="JF393" s="31" t="s">
        <v>76</v>
      </c>
      <c r="JG393" s="31" t="s">
        <v>76</v>
      </c>
      <c r="JH393" s="31" t="s">
        <v>76</v>
      </c>
      <c r="JI393" s="31" t="s">
        <v>76</v>
      </c>
      <c r="JJ393" s="31" t="s">
        <v>76</v>
      </c>
      <c r="JK393" s="31" t="s">
        <v>76</v>
      </c>
      <c r="JL393" s="31" t="s">
        <v>76</v>
      </c>
      <c r="JM393" s="31" t="s">
        <v>76</v>
      </c>
      <c r="JN393" s="31" t="s">
        <v>77</v>
      </c>
      <c r="JO393" s="31" t="s">
        <v>77</v>
      </c>
      <c r="JP393" s="31" t="s">
        <v>77</v>
      </c>
      <c r="JQ393" s="31" t="s">
        <v>77</v>
      </c>
      <c r="JR393" s="31" t="s">
        <v>77</v>
      </c>
      <c r="JS393" s="31" t="s">
        <v>77</v>
      </c>
      <c r="JT393" s="31" t="s">
        <v>77</v>
      </c>
      <c r="JU393" s="31" t="s">
        <v>77</v>
      </c>
      <c r="JV393" s="31" t="s">
        <v>77</v>
      </c>
      <c r="JW393" s="31" t="s">
        <v>77</v>
      </c>
      <c r="JX393" s="31" t="s">
        <v>77</v>
      </c>
      <c r="JY393" s="31" t="s">
        <v>77</v>
      </c>
      <c r="JZ393" s="31" t="s">
        <v>77</v>
      </c>
      <c r="KA393" s="31" t="s">
        <v>77</v>
      </c>
      <c r="KB393" s="31" t="s">
        <v>78</v>
      </c>
      <c r="KC393" s="31" t="s">
        <v>78</v>
      </c>
      <c r="KD393" s="31" t="s">
        <v>78</v>
      </c>
      <c r="KE393" s="31" t="s">
        <v>78</v>
      </c>
      <c r="KF393" s="31" t="s">
        <v>78</v>
      </c>
      <c r="KG393" s="31" t="s">
        <v>78</v>
      </c>
      <c r="KH393" s="31" t="s">
        <v>78</v>
      </c>
      <c r="KI393" s="31" t="s">
        <v>78</v>
      </c>
      <c r="KJ393" s="31" t="s">
        <v>78</v>
      </c>
      <c r="KK393" s="31" t="s">
        <v>78</v>
      </c>
      <c r="KL393" s="31" t="s">
        <v>78</v>
      </c>
      <c r="KM393" s="31" t="s">
        <v>78</v>
      </c>
      <c r="KN393" s="31" t="s">
        <v>78</v>
      </c>
      <c r="KO393" s="31" t="s">
        <v>78</v>
      </c>
      <c r="KP393" s="31" t="s">
        <v>79</v>
      </c>
      <c r="KQ393" s="31" t="s">
        <v>79</v>
      </c>
      <c r="KR393" s="31" t="s">
        <v>79</v>
      </c>
      <c r="KS393" s="31" t="s">
        <v>79</v>
      </c>
      <c r="KT393" s="31" t="s">
        <v>79</v>
      </c>
      <c r="KU393" s="31" t="s">
        <v>79</v>
      </c>
      <c r="KV393" s="31" t="s">
        <v>79</v>
      </c>
      <c r="KW393" s="31" t="s">
        <v>79</v>
      </c>
      <c r="KX393" s="31" t="s">
        <v>79</v>
      </c>
      <c r="KY393" s="31" t="s">
        <v>79</v>
      </c>
      <c r="KZ393" s="31" t="s">
        <v>79</v>
      </c>
      <c r="LA393" s="31" t="s">
        <v>79</v>
      </c>
      <c r="LB393" s="31" t="s">
        <v>79</v>
      </c>
      <c r="LC393" s="31" t="s">
        <v>79</v>
      </c>
      <c r="LD393" s="31" t="s">
        <v>80</v>
      </c>
      <c r="LE393" s="31" t="s">
        <v>80</v>
      </c>
      <c r="LF393" s="31" t="s">
        <v>80</v>
      </c>
      <c r="LG393" s="31" t="s">
        <v>80</v>
      </c>
      <c r="LH393" s="31" t="s">
        <v>80</v>
      </c>
      <c r="LI393" s="31" t="s">
        <v>80</v>
      </c>
      <c r="LJ393" s="31" t="s">
        <v>80</v>
      </c>
      <c r="LK393" s="31" t="s">
        <v>80</v>
      </c>
      <c r="LL393" s="31" t="s">
        <v>80</v>
      </c>
      <c r="LM393" s="31" t="s">
        <v>80</v>
      </c>
      <c r="LN393" s="31" t="s">
        <v>80</v>
      </c>
      <c r="LO393" s="31" t="s">
        <v>80</v>
      </c>
      <c r="LP393" s="31" t="s">
        <v>80</v>
      </c>
      <c r="LQ393" s="31" t="s">
        <v>80</v>
      </c>
      <c r="LR393" s="31" t="s">
        <v>81</v>
      </c>
      <c r="LS393" s="31" t="s">
        <v>81</v>
      </c>
      <c r="LT393" s="31" t="s">
        <v>81</v>
      </c>
      <c r="LU393" s="31" t="s">
        <v>81</v>
      </c>
      <c r="LV393" s="31" t="s">
        <v>81</v>
      </c>
      <c r="LW393" s="31" t="s">
        <v>81</v>
      </c>
      <c r="LX393" s="31" t="s">
        <v>81</v>
      </c>
      <c r="LY393" s="31" t="s">
        <v>81</v>
      </c>
      <c r="LZ393" s="31" t="s">
        <v>81</v>
      </c>
      <c r="MA393" s="31" t="s">
        <v>81</v>
      </c>
      <c r="MB393" s="31" t="s">
        <v>81</v>
      </c>
      <c r="MC393" s="31" t="s">
        <v>81</v>
      </c>
      <c r="MD393" s="31" t="s">
        <v>81</v>
      </c>
      <c r="ME393" s="31" t="s">
        <v>81</v>
      </c>
      <c r="MF393" s="31" t="s">
        <v>82</v>
      </c>
      <c r="MG393" s="31" t="s">
        <v>82</v>
      </c>
      <c r="MH393" s="31" t="s">
        <v>82</v>
      </c>
      <c r="MI393" s="31" t="s">
        <v>82</v>
      </c>
      <c r="MJ393" s="31" t="s">
        <v>82</v>
      </c>
      <c r="MK393" s="31" t="s">
        <v>82</v>
      </c>
      <c r="ML393" s="31" t="s">
        <v>82</v>
      </c>
      <c r="MM393" s="31" t="s">
        <v>82</v>
      </c>
      <c r="MN393" s="31" t="s">
        <v>82</v>
      </c>
      <c r="MO393" s="31" t="s">
        <v>82</v>
      </c>
      <c r="MP393" s="31" t="s">
        <v>82</v>
      </c>
      <c r="MQ393" s="31" t="s">
        <v>82</v>
      </c>
      <c r="MR393" s="31" t="s">
        <v>82</v>
      </c>
      <c r="MS393" s="31" t="s">
        <v>82</v>
      </c>
      <c r="MT393" s="31" t="s">
        <v>83</v>
      </c>
      <c r="MU393" s="31" t="s">
        <v>83</v>
      </c>
      <c r="MV393" s="31" t="s">
        <v>83</v>
      </c>
      <c r="MW393" s="31" t="s">
        <v>83</v>
      </c>
      <c r="MX393" s="31" t="s">
        <v>83</v>
      </c>
      <c r="MY393" s="31" t="s">
        <v>83</v>
      </c>
      <c r="MZ393" s="31" t="s">
        <v>83</v>
      </c>
      <c r="NA393" s="31" t="s">
        <v>83</v>
      </c>
      <c r="NB393" s="31" t="s">
        <v>83</v>
      </c>
      <c r="NC393" s="31" t="s">
        <v>83</v>
      </c>
      <c r="ND393" s="31" t="s">
        <v>83</v>
      </c>
      <c r="NE393" s="31" t="s">
        <v>83</v>
      </c>
      <c r="NF393" s="31" t="s">
        <v>83</v>
      </c>
      <c r="NG393" s="31" t="s">
        <v>83</v>
      </c>
    </row>
    <row r="394" spans="1:371" ht="18" customHeight="1">
      <c r="A394" s="241"/>
      <c r="B394" s="304"/>
      <c r="C394" s="304"/>
      <c r="D394" s="304"/>
      <c r="E394" s="304"/>
      <c r="F394" s="304"/>
      <c r="G394" s="304"/>
      <c r="H394" s="304"/>
      <c r="I394" s="304"/>
      <c r="J394" s="303"/>
      <c r="K394" s="237" t="s">
        <v>84</v>
      </c>
      <c r="L394" s="303"/>
      <c r="M394" s="60"/>
      <c r="N394" s="225"/>
      <c r="O394" s="304"/>
      <c r="P394" s="304"/>
      <c r="Q394" s="304"/>
      <c r="R394" s="303"/>
      <c r="S394" s="226"/>
      <c r="T394" s="304"/>
      <c r="U394" s="303"/>
      <c r="V394" s="227"/>
      <c r="W394" s="303"/>
      <c r="X394" s="56" t="str">
        <f ca="1">IF(ISERR(SMALL(AJ394:GU394,1)),"-",SMALL(AJ394:GU394,1))</f>
        <v>-</v>
      </c>
      <c r="Y394" s="56" t="str">
        <f ca="1">IF(ISERR(LARGE(GV394:NG394,1)),"-",LARGE(GV394:NG394,1))</f>
        <v>-</v>
      </c>
      <c r="Z394" s="228" t="str">
        <f t="shared" ref="Z394:Z428" ca="1" si="1612">IF(X394="-","",IF(X394&gt;TODAY(),"PLANEJADA",IF(AND(X394&lt;=TODAY(),Y394&gt;=TODAY()),"EM ANDAMENTO",IF(TODAY()&gt;Y394,"CONCLUÍDA",""))))</f>
        <v/>
      </c>
      <c r="AA394" s="304"/>
      <c r="AB394" s="303"/>
      <c r="AC394" s="224">
        <f t="shared" ref="AC394" si="1613">COUNTIF($C$10:$AG$389,K394)</f>
        <v>0</v>
      </c>
      <c r="AD394" s="303"/>
      <c r="AE394" s="229">
        <f t="shared" ref="AE394" si="1614">M394-AC394</f>
        <v>0</v>
      </c>
      <c r="AF394" s="303"/>
      <c r="AG394" s="57" t="str">
        <f t="shared" ref="AG394:AG428" si="1615">IF(M394="","",IF(M394=AC394,"OK",""))</f>
        <v/>
      </c>
      <c r="AH394" s="51"/>
      <c r="AI394" s="75"/>
      <c r="AJ394" s="58" t="str">
        <f t="shared" ref="AJ394:GT394" ca="1" si="1616">IF($K394=INDIRECT(CONCATENATE("$C$"&amp;AJ$392)), INDIRECT(CONCATENATE("$C$"&amp;AJ$391)),
IF($K394=INDIRECT(CONCATENATE("$D$"&amp;AJ$392)), INDIRECT(CONCATENATE("$D$"&amp;AJ$391)),
IF($K394=INDIRECT(CONCATENATE("$E$"&amp;AJ$392)), INDIRECT(CONCATENATE("$E$"&amp;AJ$391)),
IF($K394=INDIRECT(CONCATENATE("$F$"&amp;AJ$392)), INDIRECT(CONCATENATE("$F$"&amp;AJ$391)),
IF($K394=INDIRECT(CONCATENATE("$G$"&amp;AJ$392)), INDIRECT(CONCATENATE("$G$"&amp;AJ$391)),
IF($K394=INDIRECT(CONCATENATE("$H$"&amp;AJ$392)), INDIRECT(CONCATENATE("$H$"&amp;AJ$391)),
IF($K394=INDIRECT(CONCATENATE("$I$"&amp;AJ$392)), INDIRECT(CONCATENATE("$I$"&amp;AJ$391)),
IF($K394=INDIRECT(CONCATENATE("$J$"&amp;AJ$392)), INDIRECT(CONCATENATE("$J$"&amp;AJ$391)),
IF($K394=INDIRECT(CONCATENATE("$K$"&amp;AJ$392)), INDIRECT(CONCATENATE("$K$"&amp;AJ$391)),
IF($K394=INDIRECT(CONCATENATE("$L$"&amp;AJ$392)), INDIRECT(CONCATENATE("$L$"&amp;AJ$391)),
IF($K394=INDIRECT(CONCATENATE("$M$"&amp;AJ$392)), INDIRECT(CONCATENATE("$M$"&amp;AJ$391)),
IF($K394=INDIRECT(CONCATENATE("$N$"&amp;AJ$392)), INDIRECT(CONCATENATE("$N$"&amp;AJ$391)),
IF($K394=INDIRECT(CONCATENATE("$O$"&amp;AJ$392)), INDIRECT(CONCATENATE("$O$"&amp;AJ$391)),
IF($K394=INDIRECT(CONCATENATE("$P$"&amp;AJ$392)), INDIRECT(CONCATENATE("$P$"&amp;AJ$391)),
IF($K394=INDIRECT(CONCATENATE("$Q$"&amp;AJ$392)), INDIRECT(CONCATENATE("$Q$"&amp;AJ$391)),
IF($K394=INDIRECT(CONCATENATE("$R$"&amp;AJ$392)), INDIRECT(CONCATENATE("$R$"&amp;AJ$391)),
IF($K394=INDIRECT(CONCATENATE("$S$"&amp;AJ$392)), INDIRECT(CONCATENATE("$S$"&amp;AJ$391)),
IF($K394=INDIRECT(CONCATENATE("$T$"&amp;AJ$392)), INDIRECT(CONCATENATE("$T$"&amp;AJ$391)),
IF($K394=INDIRECT(CONCATENATE("$U$"&amp;AJ$392)), INDIRECT(CONCATENATE("$U$"&amp;AJ$391)),
IF($K394=INDIRECT(CONCATENATE("$V$"&amp;AJ$392)), INDIRECT(CONCATENATE("$V$"&amp;AJ$391)),
IF($K394=INDIRECT(CONCATENATE("$W$"&amp;AJ$392)), INDIRECT(CONCATENATE("$W$"&amp;AJ$391)),
IF($K394=INDIRECT(CONCATENATE("$X$"&amp;AJ$392)), INDIRECT(CONCATENATE("$X$"&amp;AJ$391)),
IF($K394=INDIRECT(CONCATENATE("$Y$"&amp;AJ$392)), INDIRECT(CONCATENATE("$Y$"&amp;AJ$391)),
IF($K394=INDIRECT(CONCATENATE("$Z$"&amp;AJ$392)), INDIRECT(CONCATENATE("$Z$"&amp;AJ$391)),
IF($K394=INDIRECT(CONCATENATE("$AA$"&amp;AJ$392)), INDIRECT(CONCATENATE("$AA$"&amp;AJ$391)),
IF($K394=INDIRECT(CONCATENATE("$AB$"&amp;AJ$392)), INDIRECT(CONCATENATE("$AB$"&amp;AJ$391)),
IF($K394=INDIRECT(CONCATENATE("$AC$"&amp;AJ$392)), INDIRECT(CONCATENATE("$AC$"&amp;AJ$391)),
IF($K394=INDIRECT(CONCATENATE("$AD$"&amp;AJ$392)), INDIRECT(CONCATENATE("$AD$"&amp;AJ$391)),
IF($K394=INDIRECT(CONCATENATE("$AE$"&amp;AJ$392)), INDIRECT(CONCATENATE("$AE$"&amp;AJ$391)),
IF($K394=INDIRECT(CONCATENATE("$AF$"&amp;AJ$392)), INDIRECT(CONCATENATE("$AF$"&amp;AJ$391)),
IF($K394=INDIRECT(CONCATENATE("$AG$"&amp;AJ$392)), INDIRECT(CONCATENATE("$AG$"&amp;AJ$391)),"X")))))))))))))))))))))))))))))))</f>
        <v>X</v>
      </c>
      <c r="AK394" s="58" t="str">
        <f t="shared" ca="1" si="1616"/>
        <v>X</v>
      </c>
      <c r="AL394" s="58" t="str">
        <f t="shared" ca="1" si="1616"/>
        <v>X</v>
      </c>
      <c r="AM394" s="58" t="str">
        <f t="shared" ca="1" si="1616"/>
        <v>X</v>
      </c>
      <c r="AN394" s="58" t="str">
        <f t="shared" ca="1" si="1616"/>
        <v>X</v>
      </c>
      <c r="AO394" s="58" t="str">
        <f t="shared" ca="1" si="1616"/>
        <v>X</v>
      </c>
      <c r="AP394" s="58" t="str">
        <f t="shared" ca="1" si="1616"/>
        <v>X</v>
      </c>
      <c r="AQ394" s="58" t="str">
        <f t="shared" ca="1" si="1616"/>
        <v>X</v>
      </c>
      <c r="AR394" s="58" t="str">
        <f t="shared" ca="1" si="1616"/>
        <v>X</v>
      </c>
      <c r="AS394" s="58" t="str">
        <f t="shared" ca="1" si="1616"/>
        <v>X</v>
      </c>
      <c r="AT394" s="58" t="str">
        <f t="shared" ca="1" si="1616"/>
        <v>X</v>
      </c>
      <c r="AU394" s="58" t="str">
        <f t="shared" ca="1" si="1616"/>
        <v>X</v>
      </c>
      <c r="AV394" s="58" t="str">
        <f t="shared" ca="1" si="1616"/>
        <v>X</v>
      </c>
      <c r="AW394" s="58" t="str">
        <f t="shared" ca="1" si="1616"/>
        <v>X</v>
      </c>
      <c r="AX394" s="58" t="str">
        <f t="shared" ca="1" si="1616"/>
        <v>X</v>
      </c>
      <c r="AY394" s="58" t="str">
        <f t="shared" ca="1" si="1616"/>
        <v>X</v>
      </c>
      <c r="AZ394" s="58" t="str">
        <f t="shared" ca="1" si="1616"/>
        <v>X</v>
      </c>
      <c r="BA394" s="58" t="str">
        <f t="shared" ca="1" si="1616"/>
        <v>X</v>
      </c>
      <c r="BB394" s="58" t="str">
        <f t="shared" ca="1" si="1616"/>
        <v>X</v>
      </c>
      <c r="BC394" s="58" t="str">
        <f t="shared" ca="1" si="1616"/>
        <v>X</v>
      </c>
      <c r="BD394" s="58" t="str">
        <f t="shared" ca="1" si="1616"/>
        <v>X</v>
      </c>
      <c r="BE394" s="58" t="str">
        <f t="shared" ca="1" si="1616"/>
        <v>X</v>
      </c>
      <c r="BF394" s="58" t="str">
        <f t="shared" ca="1" si="1616"/>
        <v>X</v>
      </c>
      <c r="BG394" s="58" t="str">
        <f t="shared" ca="1" si="1616"/>
        <v>X</v>
      </c>
      <c r="BH394" s="58" t="str">
        <f t="shared" ca="1" si="1616"/>
        <v>X</v>
      </c>
      <c r="BI394" s="58" t="str">
        <f t="shared" ca="1" si="1616"/>
        <v>X</v>
      </c>
      <c r="BJ394" s="58" t="str">
        <f t="shared" ca="1" si="1616"/>
        <v>X</v>
      </c>
      <c r="BK394" s="58" t="str">
        <f t="shared" ca="1" si="1616"/>
        <v>X</v>
      </c>
      <c r="BL394" s="58" t="str">
        <f t="shared" ca="1" si="1616"/>
        <v>X</v>
      </c>
      <c r="BM394" s="58" t="str">
        <f t="shared" ca="1" si="1616"/>
        <v>X</v>
      </c>
      <c r="BN394" s="58" t="str">
        <f t="shared" ca="1" si="1616"/>
        <v>X</v>
      </c>
      <c r="BO394" s="58" t="str">
        <f t="shared" ca="1" si="1616"/>
        <v>X</v>
      </c>
      <c r="BP394" s="58" t="str">
        <f t="shared" ca="1" si="1616"/>
        <v>X</v>
      </c>
      <c r="BQ394" s="58" t="str">
        <f t="shared" ca="1" si="1616"/>
        <v>X</v>
      </c>
      <c r="BR394" s="58" t="str">
        <f t="shared" ca="1" si="1616"/>
        <v>X</v>
      </c>
      <c r="BS394" s="58" t="str">
        <f t="shared" ca="1" si="1616"/>
        <v>X</v>
      </c>
      <c r="BT394" s="58" t="str">
        <f t="shared" ca="1" si="1616"/>
        <v>X</v>
      </c>
      <c r="BU394" s="58" t="str">
        <f t="shared" ca="1" si="1616"/>
        <v>X</v>
      </c>
      <c r="BV394" s="58" t="str">
        <f t="shared" ca="1" si="1616"/>
        <v>X</v>
      </c>
      <c r="BW394" s="58" t="str">
        <f t="shared" ca="1" si="1616"/>
        <v>X</v>
      </c>
      <c r="BX394" s="58" t="str">
        <f t="shared" ca="1" si="1616"/>
        <v>X</v>
      </c>
      <c r="BY394" s="58" t="str">
        <f t="shared" ca="1" si="1616"/>
        <v>X</v>
      </c>
      <c r="BZ394" s="58" t="str">
        <f t="shared" ca="1" si="1616"/>
        <v>X</v>
      </c>
      <c r="CA394" s="58" t="str">
        <f t="shared" ca="1" si="1616"/>
        <v>X</v>
      </c>
      <c r="CB394" s="58" t="str">
        <f t="shared" ca="1" si="1616"/>
        <v>X</v>
      </c>
      <c r="CC394" s="58" t="str">
        <f t="shared" ca="1" si="1616"/>
        <v>X</v>
      </c>
      <c r="CD394" s="58" t="str">
        <f t="shared" ca="1" si="1616"/>
        <v>X</v>
      </c>
      <c r="CE394" s="58" t="str">
        <f t="shared" ca="1" si="1616"/>
        <v>X</v>
      </c>
      <c r="CF394" s="58" t="str">
        <f t="shared" ca="1" si="1616"/>
        <v>X</v>
      </c>
      <c r="CG394" s="58" t="str">
        <f t="shared" ca="1" si="1616"/>
        <v>X</v>
      </c>
      <c r="CH394" s="58" t="str">
        <f t="shared" ca="1" si="1616"/>
        <v>X</v>
      </c>
      <c r="CI394" s="58" t="str">
        <f t="shared" ca="1" si="1616"/>
        <v>X</v>
      </c>
      <c r="CJ394" s="58" t="str">
        <f t="shared" ca="1" si="1616"/>
        <v>X</v>
      </c>
      <c r="CK394" s="58" t="str">
        <f t="shared" ca="1" si="1616"/>
        <v>X</v>
      </c>
      <c r="CL394" s="58" t="str">
        <f t="shared" ca="1" si="1616"/>
        <v>X</v>
      </c>
      <c r="CM394" s="58" t="str">
        <f t="shared" ca="1" si="1616"/>
        <v>X</v>
      </c>
      <c r="CN394" s="58" t="str">
        <f t="shared" ca="1" si="1616"/>
        <v>X</v>
      </c>
      <c r="CO394" s="58" t="str">
        <f t="shared" ca="1" si="1616"/>
        <v>X</v>
      </c>
      <c r="CP394" s="58" t="str">
        <f t="shared" ca="1" si="1616"/>
        <v>X</v>
      </c>
      <c r="CQ394" s="58" t="str">
        <f t="shared" ca="1" si="1616"/>
        <v>X</v>
      </c>
      <c r="CR394" s="58" t="str">
        <f t="shared" ca="1" si="1616"/>
        <v>X</v>
      </c>
      <c r="CS394" s="58" t="str">
        <f t="shared" ca="1" si="1616"/>
        <v>X</v>
      </c>
      <c r="CT394" s="58" t="str">
        <f t="shared" ca="1" si="1616"/>
        <v>X</v>
      </c>
      <c r="CU394" s="58" t="str">
        <f t="shared" ca="1" si="1616"/>
        <v>X</v>
      </c>
      <c r="CV394" s="58" t="str">
        <f t="shared" ca="1" si="1616"/>
        <v>X</v>
      </c>
      <c r="CW394" s="58" t="str">
        <f t="shared" ca="1" si="1616"/>
        <v>X</v>
      </c>
      <c r="CX394" s="58" t="str">
        <f t="shared" ca="1" si="1616"/>
        <v>X</v>
      </c>
      <c r="CY394" s="58" t="str">
        <f t="shared" ca="1" si="1616"/>
        <v>X</v>
      </c>
      <c r="CZ394" s="58" t="str">
        <f t="shared" ca="1" si="1616"/>
        <v>X</v>
      </c>
      <c r="DA394" s="58" t="str">
        <f t="shared" ca="1" si="1616"/>
        <v>X</v>
      </c>
      <c r="DB394" s="58" t="str">
        <f t="shared" ca="1" si="1616"/>
        <v>X</v>
      </c>
      <c r="DC394" s="58" t="str">
        <f t="shared" ca="1" si="1616"/>
        <v>X</v>
      </c>
      <c r="DD394" s="58" t="str">
        <f t="shared" ca="1" si="1616"/>
        <v>X</v>
      </c>
      <c r="DE394" s="58" t="str">
        <f t="shared" ca="1" si="1616"/>
        <v>X</v>
      </c>
      <c r="DF394" s="58" t="str">
        <f t="shared" ca="1" si="1616"/>
        <v>X</v>
      </c>
      <c r="DG394" s="58" t="str">
        <f t="shared" ca="1" si="1616"/>
        <v>X</v>
      </c>
      <c r="DH394" s="58" t="str">
        <f t="shared" ca="1" si="1616"/>
        <v>X</v>
      </c>
      <c r="DI394" s="58" t="str">
        <f t="shared" ca="1" si="1616"/>
        <v>X</v>
      </c>
      <c r="DJ394" s="58" t="str">
        <f t="shared" ca="1" si="1616"/>
        <v>X</v>
      </c>
      <c r="DK394" s="58" t="str">
        <f t="shared" ca="1" si="1616"/>
        <v>X</v>
      </c>
      <c r="DL394" s="58" t="str">
        <f t="shared" ca="1" si="1616"/>
        <v>X</v>
      </c>
      <c r="DM394" s="58" t="str">
        <f t="shared" ca="1" si="1616"/>
        <v>X</v>
      </c>
      <c r="DN394" s="58" t="str">
        <f t="shared" ca="1" si="1616"/>
        <v>X</v>
      </c>
      <c r="DO394" s="58" t="str">
        <f t="shared" ca="1" si="1616"/>
        <v>X</v>
      </c>
      <c r="DP394" s="58" t="str">
        <f t="shared" ca="1" si="1616"/>
        <v>X</v>
      </c>
      <c r="DQ394" s="58" t="str">
        <f t="shared" ca="1" si="1616"/>
        <v>X</v>
      </c>
      <c r="DR394" s="58" t="str">
        <f t="shared" ca="1" si="1616"/>
        <v>X</v>
      </c>
      <c r="DS394" s="58" t="str">
        <f t="shared" ca="1" si="1616"/>
        <v>X</v>
      </c>
      <c r="DT394" s="58" t="str">
        <f t="shared" ca="1" si="1616"/>
        <v>X</v>
      </c>
      <c r="DU394" s="58" t="str">
        <f t="shared" ca="1" si="1616"/>
        <v>X</v>
      </c>
      <c r="DV394" s="58" t="str">
        <f t="shared" ca="1" si="1616"/>
        <v>X</v>
      </c>
      <c r="DW394" s="58" t="str">
        <f t="shared" ca="1" si="1616"/>
        <v>X</v>
      </c>
      <c r="DX394" s="58" t="str">
        <f t="shared" ca="1" si="1616"/>
        <v>X</v>
      </c>
      <c r="DY394" s="58" t="str">
        <f t="shared" ca="1" si="1616"/>
        <v>X</v>
      </c>
      <c r="DZ394" s="58" t="str">
        <f t="shared" ca="1" si="1616"/>
        <v>X</v>
      </c>
      <c r="EA394" s="58" t="str">
        <f t="shared" ca="1" si="1616"/>
        <v>X</v>
      </c>
      <c r="EB394" s="58" t="str">
        <f t="shared" ca="1" si="1616"/>
        <v>X</v>
      </c>
      <c r="EC394" s="58" t="str">
        <f t="shared" ca="1" si="1616"/>
        <v>X</v>
      </c>
      <c r="ED394" s="58" t="str">
        <f t="shared" ca="1" si="1616"/>
        <v>X</v>
      </c>
      <c r="EE394" s="58" t="str">
        <f t="shared" ca="1" si="1616"/>
        <v>X</v>
      </c>
      <c r="EF394" s="58" t="str">
        <f t="shared" ca="1" si="1616"/>
        <v>X</v>
      </c>
      <c r="EG394" s="58" t="str">
        <f t="shared" ca="1" si="1616"/>
        <v>X</v>
      </c>
      <c r="EH394" s="58" t="str">
        <f t="shared" ca="1" si="1616"/>
        <v>X</v>
      </c>
      <c r="EI394" s="58" t="str">
        <f t="shared" ca="1" si="1616"/>
        <v>X</v>
      </c>
      <c r="EJ394" s="58" t="str">
        <f t="shared" ca="1" si="1616"/>
        <v>X</v>
      </c>
      <c r="EK394" s="58" t="str">
        <f t="shared" ca="1" si="1616"/>
        <v>X</v>
      </c>
      <c r="EL394" s="58" t="str">
        <f t="shared" ca="1" si="1616"/>
        <v>X</v>
      </c>
      <c r="EM394" s="58" t="str">
        <f t="shared" ca="1" si="1616"/>
        <v>X</v>
      </c>
      <c r="EN394" s="58" t="str">
        <f t="shared" ca="1" si="1616"/>
        <v>X</v>
      </c>
      <c r="EO394" s="58" t="str">
        <f t="shared" ca="1" si="1616"/>
        <v>X</v>
      </c>
      <c r="EP394" s="58" t="str">
        <f t="shared" ca="1" si="1616"/>
        <v>X</v>
      </c>
      <c r="EQ394" s="58" t="str">
        <f t="shared" ca="1" si="1616"/>
        <v>X</v>
      </c>
      <c r="ER394" s="58" t="str">
        <f t="shared" ca="1" si="1616"/>
        <v>X</v>
      </c>
      <c r="ES394" s="58" t="str">
        <f t="shared" ca="1" si="1616"/>
        <v>X</v>
      </c>
      <c r="ET394" s="58" t="str">
        <f t="shared" ca="1" si="1616"/>
        <v>X</v>
      </c>
      <c r="EU394" s="58" t="str">
        <f t="shared" ca="1" si="1616"/>
        <v>X</v>
      </c>
      <c r="EV394" s="58" t="str">
        <f t="shared" ca="1" si="1616"/>
        <v>X</v>
      </c>
      <c r="EW394" s="58" t="str">
        <f t="shared" ca="1" si="1616"/>
        <v>X</v>
      </c>
      <c r="EX394" s="58" t="str">
        <f t="shared" ca="1" si="1616"/>
        <v>X</v>
      </c>
      <c r="EY394" s="58" t="str">
        <f t="shared" ca="1" si="1616"/>
        <v>X</v>
      </c>
      <c r="EZ394" s="58" t="str">
        <f t="shared" ca="1" si="1616"/>
        <v>X</v>
      </c>
      <c r="FA394" s="58" t="str">
        <f t="shared" ca="1" si="1616"/>
        <v>X</v>
      </c>
      <c r="FB394" s="58" t="str">
        <f t="shared" ca="1" si="1616"/>
        <v>X</v>
      </c>
      <c r="FC394" s="58" t="str">
        <f t="shared" ca="1" si="1616"/>
        <v>X</v>
      </c>
      <c r="FD394" s="58" t="str">
        <f t="shared" ca="1" si="1616"/>
        <v>X</v>
      </c>
      <c r="FE394" s="58" t="str">
        <f t="shared" ca="1" si="1616"/>
        <v>X</v>
      </c>
      <c r="FF394" s="58" t="str">
        <f t="shared" ca="1" si="1616"/>
        <v>X</v>
      </c>
      <c r="FG394" s="58" t="str">
        <f t="shared" ca="1" si="1616"/>
        <v>X</v>
      </c>
      <c r="FH394" s="58" t="str">
        <f t="shared" ca="1" si="1616"/>
        <v>X</v>
      </c>
      <c r="FI394" s="58" t="str">
        <f t="shared" ca="1" si="1616"/>
        <v>X</v>
      </c>
      <c r="FJ394" s="58" t="str">
        <f t="shared" ca="1" si="1616"/>
        <v>X</v>
      </c>
      <c r="FK394" s="58" t="str">
        <f t="shared" ca="1" si="1616"/>
        <v>X</v>
      </c>
      <c r="FL394" s="58" t="str">
        <f t="shared" ca="1" si="1616"/>
        <v>X</v>
      </c>
      <c r="FM394" s="58" t="str">
        <f t="shared" ca="1" si="1616"/>
        <v>X</v>
      </c>
      <c r="FN394" s="58" t="str">
        <f t="shared" ca="1" si="1616"/>
        <v>X</v>
      </c>
      <c r="FO394" s="58" t="str">
        <f t="shared" ca="1" si="1616"/>
        <v>X</v>
      </c>
      <c r="FP394" s="58" t="str">
        <f t="shared" ca="1" si="1616"/>
        <v>X</v>
      </c>
      <c r="FQ394" s="58" t="str">
        <f t="shared" ca="1" si="1616"/>
        <v>X</v>
      </c>
      <c r="FR394" s="58" t="str">
        <f t="shared" ca="1" si="1616"/>
        <v>X</v>
      </c>
      <c r="FS394" s="58" t="str">
        <f t="shared" ca="1" si="1616"/>
        <v>X</v>
      </c>
      <c r="FT394" s="58" t="str">
        <f t="shared" ca="1" si="1616"/>
        <v>X</v>
      </c>
      <c r="FU394" s="58" t="str">
        <f t="shared" ca="1" si="1616"/>
        <v>X</v>
      </c>
      <c r="FV394" s="58" t="str">
        <f t="shared" ca="1" si="1616"/>
        <v>X</v>
      </c>
      <c r="FW394" s="58" t="str">
        <f t="shared" ca="1" si="1616"/>
        <v>X</v>
      </c>
      <c r="FX394" s="58" t="str">
        <f t="shared" ca="1" si="1616"/>
        <v>X</v>
      </c>
      <c r="FY394" s="58" t="str">
        <f t="shared" ca="1" si="1616"/>
        <v>X</v>
      </c>
      <c r="FZ394" s="58" t="str">
        <f t="shared" ca="1" si="1616"/>
        <v>X</v>
      </c>
      <c r="GA394" s="58" t="str">
        <f t="shared" ca="1" si="1616"/>
        <v>X</v>
      </c>
      <c r="GB394" s="58" t="str">
        <f t="shared" ca="1" si="1616"/>
        <v>X</v>
      </c>
      <c r="GC394" s="58" t="str">
        <f t="shared" ca="1" si="1616"/>
        <v>X</v>
      </c>
      <c r="GD394" s="58" t="str">
        <f t="shared" ca="1" si="1616"/>
        <v>X</v>
      </c>
      <c r="GE394" s="58" t="str">
        <f t="shared" ca="1" si="1616"/>
        <v>X</v>
      </c>
      <c r="GF394" s="58" t="str">
        <f t="shared" ca="1" si="1616"/>
        <v>X</v>
      </c>
      <c r="GG394" s="58" t="str">
        <f t="shared" ca="1" si="1616"/>
        <v>X</v>
      </c>
      <c r="GH394" s="58" t="str">
        <f t="shared" ca="1" si="1616"/>
        <v>X</v>
      </c>
      <c r="GI394" s="58" t="str">
        <f t="shared" ca="1" si="1616"/>
        <v>X</v>
      </c>
      <c r="GJ394" s="58" t="str">
        <f t="shared" ca="1" si="1616"/>
        <v>X</v>
      </c>
      <c r="GK394" s="58" t="str">
        <f t="shared" ca="1" si="1616"/>
        <v>X</v>
      </c>
      <c r="GL394" s="58" t="str">
        <f t="shared" ca="1" si="1616"/>
        <v>X</v>
      </c>
      <c r="GM394" s="58" t="str">
        <f t="shared" ca="1" si="1616"/>
        <v>X</v>
      </c>
      <c r="GN394" s="58" t="str">
        <f t="shared" ca="1" si="1616"/>
        <v>X</v>
      </c>
      <c r="GO394" s="58" t="str">
        <f t="shared" ca="1" si="1616"/>
        <v>X</v>
      </c>
      <c r="GP394" s="58" t="str">
        <f t="shared" ca="1" si="1616"/>
        <v>X</v>
      </c>
      <c r="GQ394" s="58" t="str">
        <f t="shared" ca="1" si="1616"/>
        <v>X</v>
      </c>
      <c r="GR394" s="58" t="str">
        <f t="shared" ca="1" si="1616"/>
        <v>X</v>
      </c>
      <c r="GS394" s="80" t="str">
        <f t="shared" ca="1" si="1616"/>
        <v>X</v>
      </c>
      <c r="GT394" s="58" t="str">
        <f t="shared" ca="1" si="1616"/>
        <v>X</v>
      </c>
      <c r="GU394" s="82" t="str">
        <f t="shared" ref="GU394:GU428" ca="1" si="1617">IF($K394=INDIRECT(CONCATENATE("$C$"&amp;GU$392)), INDIRECT(CONCATENATE("$C$"&amp;GU$391)),
IF($K394=INDIRECT(CONCATENATE("$D$"&amp;GU$392)), INDIRECT(CONCATENATE("$D$"&amp;GU$391)),
IF($K394=INDIRECT(CONCATENATE("$E$"&amp;GU$392)), INDIRECT(CONCATENATE("$E$"&amp;GU$391)),
IF($K394=INDIRECT(CONCATENATE("$F$"&amp;GU$392)), INDIRECT(CONCATENATE("$F$"&amp;GU$391)),
IF($K394=INDIRECT(CONCATENATE("$G$"&amp;GU$392)), INDIRECT(CONCATENATE("$G$"&amp;GU$391)),
IF($K394=INDIRECT(CONCATENATE("$H$"&amp;GU$392)), INDIRECT(CONCATENATE("$H$"&amp;GU$391)),
IF($K394=INDIRECT(CONCATENATE("$I$"&amp;GU$392)), INDIRECT(CONCATENATE("$I$"&amp;GU$391)),
IF($K394=INDIRECT(CONCATENATE("$J$"&amp;GU$392)), INDIRECT(CONCATENATE("$J$"&amp;GU$391)),
IF($K394=INDIRECT(CONCATENATE("$K$"&amp;GU$392)), INDIRECT(CONCATENATE("$K$"&amp;GU$391)),
IF($K394=INDIRECT(CONCATENATE("$L$"&amp;GU$392)), INDIRECT(CONCATENATE("$L$"&amp;GU$391)),
IF($K394=INDIRECT(CONCATENATE("$M$"&amp;GU$392)), INDIRECT(CONCATENATE("$M$"&amp;GU$391)),
IF($K394=INDIRECT(CONCATENATE("$N$"&amp;GU$392)), INDIRECT(CONCATENATE("$N$"&amp;GU$391)),
IF($K394=INDIRECT(CONCATENATE("$O$"&amp;GU$392)), INDIRECT(CONCATENATE("$O$"&amp;GU$391)),
IF($K394=INDIRECT(CONCATENATE("$P$"&amp;GU$392)), INDIRECT(CONCATENATE("$P$"&amp;GU$391)),
IF($K394=INDIRECT(CONCATENATE("$Q$"&amp;GU$392)), INDIRECT(CONCATENATE("$Q$"&amp;GU$391)),
IF($K394=INDIRECT(CONCATENATE("$R$"&amp;GU$392)), INDIRECT(CONCATENATE("$R$"&amp;GU$391)),
IF($K394=INDIRECT(CONCATENATE("$S$"&amp;GU$392)), INDIRECT(CONCATENATE("$S$"&amp;GU$391)),
IF($K394=INDIRECT(CONCATENATE("$T$"&amp;GU$392)), INDIRECT(CONCATENATE("$T$"&amp;GU$391)),
IF($K394=INDIRECT(CONCATENATE("$U$"&amp;GU$392)), INDIRECT(CONCATENATE("$U$"&amp;GU$391)),
IF($K394=INDIRECT(CONCATENATE("$V$"&amp;GU$392)), INDIRECT(CONCATENATE("$V$"&amp;GU$391)),
IF($K394=INDIRECT(CONCATENATE("$W$"&amp;GU$392)), INDIRECT(CONCATENATE("$W$"&amp;GU$391)),
IF($K394=INDIRECT(CONCATENATE("$X$"&amp;GU$392)), INDIRECT(CONCATENATE("$X$"&amp;GU$391)),
IF($K394=INDIRECT(CONCATENATE("$Y$"&amp;GU$392)), INDIRECT(CONCATENATE("$Y$"&amp;GU$391)),
IF($K394=INDIRECT(CONCATENATE("$Z$"&amp;GU$392)), INDIRECT(CONCATENATE("$Z$"&amp;GU$391)),
IF($K394=INDIRECT(CONCATENATE("$AA$"&amp;GU$392)), INDIRECT(CONCATENATE("$AA$"&amp;GU$391)),
IF($K394=INDIRECT(CONCATENATE("$AB$"&amp;GU$392)), INDIRECT(CONCATENATE("$AB$"&amp;GU$391)),
IF($K394=INDIRECT(CONCATENATE("$AC$"&amp;GU$392)), INDIRECT(CONCATENATE("$AC$"&amp;GU$391)),
IF($K394=INDIRECT(CONCATENATE("$AD$"&amp;GU$392)), INDIRECT(CONCATENATE("$AD$"&amp;GU$391)),
IF($K394=INDIRECT(CONCATENATE("$AE$"&amp;GU$392)), INDIRECT(CONCATENATE("$AE$"&amp;GU$391)),
IF($K394=INDIRECT(CONCATENATE("$AF$"&amp;GU$392)), INDIRECT(CONCATENATE("$AF$"&amp;GU$391)),
IF($K394=INDIRECT(CONCATENATE("$AG$"&amp;GU$392)), INDIRECT(CONCATENATE("$AG$"&amp;GU$391)),"X")))))))))))))))))))))))))))))))</f>
        <v>X</v>
      </c>
      <c r="GV394" s="58" t="str">
        <f t="shared" ref="GV394:HK428" ca="1" si="1618">IF($K394=INDIRECT(CONCATENATE("$AG$"&amp;AJ$392)),INDIRECT(CONCATENATE("$AG$"&amp;AJ$391)),
IF($K394=INDIRECT(CONCATENATE("$AF$"&amp;AJ$392)),INDIRECT(CONCATENATE("$AF$"&amp;AJ$391)),
IF($K394=INDIRECT(CONCATENATE("$AE$"&amp;AJ$392)),INDIRECT(CONCATENATE("$AE$"&amp;AJ$391)),
IF($K394=INDIRECT(CONCATENATE("$AD$"&amp;AJ$392)),INDIRECT(CONCATENATE("$AD$"&amp;AJ$391)),
IF($K394=INDIRECT(CONCATENATE("$AC$"&amp;AJ$392)),INDIRECT(CONCATENATE("$AC$"&amp;AJ$391)),
IF($K394=INDIRECT(CONCATENATE("$AB$"&amp;AJ$392)),INDIRECT(CONCATENATE("$AB$"&amp;AJ$391)),
IF($K394=INDIRECT(CONCATENATE("$AA$"&amp;AJ$392)),INDIRECT(CONCATENATE("$AA$"&amp;AJ$391)),
IF($K394=INDIRECT(CONCATENATE("$Z$"&amp;AJ$392)),INDIRECT(CONCATENATE("$Z$"&amp;AJ$391)),
IF($K394=INDIRECT(CONCATENATE("$Y$"&amp;AJ$392)),INDIRECT(CONCATENATE("$Y$"&amp;AJ$391)),
IF($K394=INDIRECT(CONCATENATE("$X$"&amp;AJ$392)),INDIRECT(CONCATENATE("$X$"&amp;AJ$391)),
IF($K394=INDIRECT(CONCATENATE("$W$"&amp;AJ$392)),INDIRECT(CONCATENATE("$W$"&amp;AJ$391)),
IF($K394=INDIRECT(CONCATENATE("$V$"&amp;AJ$392)),INDIRECT(CONCATENATE("$V$"&amp;AJ$391)),
IF($K394=INDIRECT(CONCATENATE("$U$"&amp;AJ$392)),INDIRECT(CONCATENATE("$U$"&amp;AJ$391)),
IF($K394=INDIRECT(CONCATENATE("$T$"&amp;AJ$392)),INDIRECT(CONCATENATE("$T$"&amp;AJ$391)),
IF($K394=INDIRECT(CONCATENATE("$S$"&amp;AJ$392)),INDIRECT(CONCATENATE("$S$"&amp;AJ$391)),
IF($K394=INDIRECT(CONCATENATE("$R$"&amp;AJ$392)),INDIRECT(CONCATENATE("$R$"&amp;AJ$391)),
IF($K394=INDIRECT(CONCATENATE("$Q$"&amp;AJ$392)),INDIRECT(CONCATENATE("$Q$"&amp;AJ$391)),
IF($K394=INDIRECT(CONCATENATE("$P$"&amp;AJ$392)),INDIRECT(CONCATENATE("$P$"&amp;AJ$391)),
IF($K394=INDIRECT(CONCATENATE("$O$"&amp;AJ$392)),INDIRECT(CONCATENATE("$O$"&amp;AJ$391)),
IF($K394=INDIRECT(CONCATENATE("$N$"&amp;AJ$392)),INDIRECT(CONCATENATE("$N$"&amp;AJ$391)),
IF($K394=INDIRECT(CONCATENATE("$M$"&amp;AJ$392)),INDIRECT(CONCATENATE("$M$"&amp;AJ$391)),
IF($K394=INDIRECT(CONCATENATE("$L$"&amp;AJ$392)),INDIRECT(CONCATENATE("$L$"&amp;AJ$391)),
IF($K394=INDIRECT(CONCATENATE("$K$"&amp;AJ$392)),INDIRECT(CONCATENATE("$K$"&amp;AJ$391)),
IF($K394=INDIRECT(CONCATENATE("$J$"&amp;AJ$392)),INDIRECT(CONCATENATE("$J$"&amp;AJ$391)),
IF($K394=INDIRECT(CONCATENATE("$I$"&amp;AJ$392)),INDIRECT(CONCATENATE("$I$"&amp;AJ$391)),
IF($K394=INDIRECT(CONCATENATE("$H$"&amp;AJ$392)),INDIRECT(CONCATENATE("$H$"&amp;AJ$391)),
IF($K394=INDIRECT(CONCATENATE("$G$"&amp;AJ$392)),INDIRECT(CONCATENATE("$G$"&amp;AJ$391)),
IF($K394=INDIRECT(CONCATENATE("$F$"&amp;AJ$392)),INDIRECT(CONCATENATE("$F$"&amp;AJ$391)),
IF($K394=INDIRECT(CONCATENATE("$E$"&amp;AJ$392)),INDIRECT(CONCATENATE("$E$"&amp;AJ$391)),
IF($K394=INDIRECT(CONCATENATE("$D$"&amp;AJ$392)),INDIRECT(CONCATENATE("$D$"&amp;AJ$391)),
IF($K394=INDIRECT(CONCATENATE("$C$"&amp;AJ$392)),INDIRECT(CONCATENATE("$C$"&amp;AJ$391)),"X")))))))))))))))))))))))))))))))</f>
        <v>X</v>
      </c>
      <c r="GW394" s="58" t="str">
        <f t="shared" ref="GW394:GW428" ca="1" si="1619">IF($K394=INDIRECT(CONCATENATE("$AG$"&amp;AK$392)),INDIRECT(CONCATENATE("$AG$"&amp;AK$391)),
IF($K394=INDIRECT(CONCATENATE("$AF$"&amp;AK$392)),INDIRECT(CONCATENATE("$AF$"&amp;AK$391)),
IF($K394=INDIRECT(CONCATENATE("$AE$"&amp;AK$392)),INDIRECT(CONCATENATE("$AE$"&amp;AK$391)),
IF($K394=INDIRECT(CONCATENATE("$AD$"&amp;AK$392)),INDIRECT(CONCATENATE("$AD$"&amp;AK$391)),
IF($K394=INDIRECT(CONCATENATE("$AC$"&amp;AK$392)),INDIRECT(CONCATENATE("$AC$"&amp;AK$391)),
IF($K394=INDIRECT(CONCATENATE("$AB$"&amp;AK$392)),INDIRECT(CONCATENATE("$AB$"&amp;AK$391)),
IF($K394=INDIRECT(CONCATENATE("$AA$"&amp;AK$392)),INDIRECT(CONCATENATE("$AA$"&amp;AK$391)),
IF($K394=INDIRECT(CONCATENATE("$Z$"&amp;AK$392)),INDIRECT(CONCATENATE("$Z$"&amp;AK$391)),
IF($K394=INDIRECT(CONCATENATE("$Y$"&amp;AK$392)),INDIRECT(CONCATENATE("$Y$"&amp;AK$391)),
IF($K394=INDIRECT(CONCATENATE("$X$"&amp;AK$392)),INDIRECT(CONCATENATE("$X$"&amp;AK$391)),
IF($K394=INDIRECT(CONCATENATE("$W$"&amp;AK$392)),INDIRECT(CONCATENATE("$W$"&amp;AK$391)),
IF($K394=INDIRECT(CONCATENATE("$V$"&amp;AK$392)),INDIRECT(CONCATENATE("$V$"&amp;AK$391)),
IF($K394=INDIRECT(CONCATENATE("$U$"&amp;AK$392)),INDIRECT(CONCATENATE("$U$"&amp;AK$391)),
IF($K394=INDIRECT(CONCATENATE("$T$"&amp;AK$392)),INDIRECT(CONCATENATE("$T$"&amp;AK$391)),
IF($K394=INDIRECT(CONCATENATE("$S$"&amp;AK$392)),INDIRECT(CONCATENATE("$S$"&amp;AK$391)),
IF($K394=INDIRECT(CONCATENATE("$R$"&amp;AK$392)),INDIRECT(CONCATENATE("$R$"&amp;AK$391)),
IF($K394=INDIRECT(CONCATENATE("$Q$"&amp;AK$392)),INDIRECT(CONCATENATE("$Q$"&amp;AK$391)),
IF($K394=INDIRECT(CONCATENATE("$P$"&amp;AK$392)),INDIRECT(CONCATENATE("$P$"&amp;AK$391)),
IF($K394=INDIRECT(CONCATENATE("$O$"&amp;AK$392)),INDIRECT(CONCATENATE("$O$"&amp;AK$391)),
IF($K394=INDIRECT(CONCATENATE("$N$"&amp;AK$392)),INDIRECT(CONCATENATE("$N$"&amp;AK$391)),
IF($K394=INDIRECT(CONCATENATE("$M$"&amp;AK$392)),INDIRECT(CONCATENATE("$M$"&amp;AK$391)),
IF($K394=INDIRECT(CONCATENATE("$L$"&amp;AK$392)),INDIRECT(CONCATENATE("$L$"&amp;AK$391)),
IF($K394=INDIRECT(CONCATENATE("$K$"&amp;AK$392)),INDIRECT(CONCATENATE("$K$"&amp;AK$391)),
IF($K394=INDIRECT(CONCATENATE("$J$"&amp;AK$392)),INDIRECT(CONCATENATE("$J$"&amp;AK$391)),
IF($K394=INDIRECT(CONCATENATE("$I$"&amp;AK$392)),INDIRECT(CONCATENATE("$I$"&amp;AK$391)),
IF($K394=INDIRECT(CONCATENATE("$H$"&amp;AK$392)),INDIRECT(CONCATENATE("$H$"&amp;AK$391)),
IF($K394=INDIRECT(CONCATENATE("$G$"&amp;AK$392)),INDIRECT(CONCATENATE("$G$"&amp;AK$391)),
IF($K394=INDIRECT(CONCATENATE("$F$"&amp;AK$392)),INDIRECT(CONCATENATE("$F$"&amp;AK$391)),
IF($K394=INDIRECT(CONCATENATE("$E$"&amp;AK$392)),INDIRECT(CONCATENATE("$E$"&amp;AK$391)),
IF($K394=INDIRECT(CONCATENATE("$D$"&amp;AK$392)),INDIRECT(CONCATENATE("$D$"&amp;AK$391)),
IF($K394=INDIRECT(CONCATENATE("$C$"&amp;AK$392)),INDIRECT(CONCATENATE("$C$"&amp;AK$391)),"X")))))))))))))))))))))))))))))))</f>
        <v>X</v>
      </c>
      <c r="GX394" s="58" t="str">
        <f t="shared" ref="GX394:GX428" ca="1" si="1620">IF($K394=INDIRECT(CONCATENATE("$AG$"&amp;AL$392)),INDIRECT(CONCATENATE("$AG$"&amp;AL$391)),
IF($K394=INDIRECT(CONCATENATE("$AF$"&amp;AL$392)),INDIRECT(CONCATENATE("$AF$"&amp;AL$391)),
IF($K394=INDIRECT(CONCATENATE("$AE$"&amp;AL$392)),INDIRECT(CONCATENATE("$AE$"&amp;AL$391)),
IF($K394=INDIRECT(CONCATENATE("$AD$"&amp;AL$392)),INDIRECT(CONCATENATE("$AD$"&amp;AL$391)),
IF($K394=INDIRECT(CONCATENATE("$AC$"&amp;AL$392)),INDIRECT(CONCATENATE("$AC$"&amp;AL$391)),
IF($K394=INDIRECT(CONCATENATE("$AB$"&amp;AL$392)),INDIRECT(CONCATENATE("$AB$"&amp;AL$391)),
IF($K394=INDIRECT(CONCATENATE("$AA$"&amp;AL$392)),INDIRECT(CONCATENATE("$AA$"&amp;AL$391)),
IF($K394=INDIRECT(CONCATENATE("$Z$"&amp;AL$392)),INDIRECT(CONCATENATE("$Z$"&amp;AL$391)),
IF($K394=INDIRECT(CONCATENATE("$Y$"&amp;AL$392)),INDIRECT(CONCATENATE("$Y$"&amp;AL$391)),
IF($K394=INDIRECT(CONCATENATE("$X$"&amp;AL$392)),INDIRECT(CONCATENATE("$X$"&amp;AL$391)),
IF($K394=INDIRECT(CONCATENATE("$W$"&amp;AL$392)),INDIRECT(CONCATENATE("$W$"&amp;AL$391)),
IF($K394=INDIRECT(CONCATENATE("$V$"&amp;AL$392)),INDIRECT(CONCATENATE("$V$"&amp;AL$391)),
IF($K394=INDIRECT(CONCATENATE("$U$"&amp;AL$392)),INDIRECT(CONCATENATE("$U$"&amp;AL$391)),
IF($K394=INDIRECT(CONCATENATE("$T$"&amp;AL$392)),INDIRECT(CONCATENATE("$T$"&amp;AL$391)),
IF($K394=INDIRECT(CONCATENATE("$S$"&amp;AL$392)),INDIRECT(CONCATENATE("$S$"&amp;AL$391)),
IF($K394=INDIRECT(CONCATENATE("$R$"&amp;AL$392)),INDIRECT(CONCATENATE("$R$"&amp;AL$391)),
IF($K394=INDIRECT(CONCATENATE("$Q$"&amp;AL$392)),INDIRECT(CONCATENATE("$Q$"&amp;AL$391)),
IF($K394=INDIRECT(CONCATENATE("$P$"&amp;AL$392)),INDIRECT(CONCATENATE("$P$"&amp;AL$391)),
IF($K394=INDIRECT(CONCATENATE("$O$"&amp;AL$392)),INDIRECT(CONCATENATE("$O$"&amp;AL$391)),
IF($K394=INDIRECT(CONCATENATE("$N$"&amp;AL$392)),INDIRECT(CONCATENATE("$N$"&amp;AL$391)),
IF($K394=INDIRECT(CONCATENATE("$M$"&amp;AL$392)),INDIRECT(CONCATENATE("$M$"&amp;AL$391)),
IF($K394=INDIRECT(CONCATENATE("$L$"&amp;AL$392)),INDIRECT(CONCATENATE("$L$"&amp;AL$391)),
IF($K394=INDIRECT(CONCATENATE("$K$"&amp;AL$392)),INDIRECT(CONCATENATE("$K$"&amp;AL$391)),
IF($K394=INDIRECT(CONCATENATE("$J$"&amp;AL$392)),INDIRECT(CONCATENATE("$J$"&amp;AL$391)),
IF($K394=INDIRECT(CONCATENATE("$I$"&amp;AL$392)),INDIRECT(CONCATENATE("$I$"&amp;AL$391)),
IF($K394=INDIRECT(CONCATENATE("$H$"&amp;AL$392)),INDIRECT(CONCATENATE("$H$"&amp;AL$391)),
IF($K394=INDIRECT(CONCATENATE("$G$"&amp;AL$392)),INDIRECT(CONCATENATE("$G$"&amp;AL$391)),
IF($K394=INDIRECT(CONCATENATE("$F$"&amp;AL$392)),INDIRECT(CONCATENATE("$F$"&amp;AL$391)),
IF($K394=INDIRECT(CONCATENATE("$E$"&amp;AL$392)),INDIRECT(CONCATENATE("$E$"&amp;AL$391)),
IF($K394=INDIRECT(CONCATENATE("$D$"&amp;AL$392)),INDIRECT(CONCATENATE("$D$"&amp;AL$391)),
IF($K394=INDIRECT(CONCATENATE("$C$"&amp;AL$392)),INDIRECT(CONCATENATE("$C$"&amp;AL$391)),"X")))))))))))))))))))))))))))))))</f>
        <v>X</v>
      </c>
      <c r="GY394" s="58" t="str">
        <f t="shared" ref="GY394:GY428" ca="1" si="1621">IF($K394=INDIRECT(CONCATENATE("$AG$"&amp;AM$392)),INDIRECT(CONCATENATE("$AG$"&amp;AM$391)),
IF($K394=INDIRECT(CONCATENATE("$AF$"&amp;AM$392)),INDIRECT(CONCATENATE("$AF$"&amp;AM$391)),
IF($K394=INDIRECT(CONCATENATE("$AE$"&amp;AM$392)),INDIRECT(CONCATENATE("$AE$"&amp;AM$391)),
IF($K394=INDIRECT(CONCATENATE("$AD$"&amp;AM$392)),INDIRECT(CONCATENATE("$AD$"&amp;AM$391)),
IF($K394=INDIRECT(CONCATENATE("$AC$"&amp;AM$392)),INDIRECT(CONCATENATE("$AC$"&amp;AM$391)),
IF($K394=INDIRECT(CONCATENATE("$AB$"&amp;AM$392)),INDIRECT(CONCATENATE("$AB$"&amp;AM$391)),
IF($K394=INDIRECT(CONCATENATE("$AA$"&amp;AM$392)),INDIRECT(CONCATENATE("$AA$"&amp;AM$391)),
IF($K394=INDIRECT(CONCATENATE("$Z$"&amp;AM$392)),INDIRECT(CONCATENATE("$Z$"&amp;AM$391)),
IF($K394=INDIRECT(CONCATENATE("$Y$"&amp;AM$392)),INDIRECT(CONCATENATE("$Y$"&amp;AM$391)),
IF($K394=INDIRECT(CONCATENATE("$X$"&amp;AM$392)),INDIRECT(CONCATENATE("$X$"&amp;AM$391)),
IF($K394=INDIRECT(CONCATENATE("$W$"&amp;AM$392)),INDIRECT(CONCATENATE("$W$"&amp;AM$391)),
IF($K394=INDIRECT(CONCATENATE("$V$"&amp;AM$392)),INDIRECT(CONCATENATE("$V$"&amp;AM$391)),
IF($K394=INDIRECT(CONCATENATE("$U$"&amp;AM$392)),INDIRECT(CONCATENATE("$U$"&amp;AM$391)),
IF($K394=INDIRECT(CONCATENATE("$T$"&amp;AM$392)),INDIRECT(CONCATENATE("$T$"&amp;AM$391)),
IF($K394=INDIRECT(CONCATENATE("$S$"&amp;AM$392)),INDIRECT(CONCATENATE("$S$"&amp;AM$391)),
IF($K394=INDIRECT(CONCATENATE("$R$"&amp;AM$392)),INDIRECT(CONCATENATE("$R$"&amp;AM$391)),
IF($K394=INDIRECT(CONCATENATE("$Q$"&amp;AM$392)),INDIRECT(CONCATENATE("$Q$"&amp;AM$391)),
IF($K394=INDIRECT(CONCATENATE("$P$"&amp;AM$392)),INDIRECT(CONCATENATE("$P$"&amp;AM$391)),
IF($K394=INDIRECT(CONCATENATE("$O$"&amp;AM$392)),INDIRECT(CONCATENATE("$O$"&amp;AM$391)),
IF($K394=INDIRECT(CONCATENATE("$N$"&amp;AM$392)),INDIRECT(CONCATENATE("$N$"&amp;AM$391)),
IF($K394=INDIRECT(CONCATENATE("$M$"&amp;AM$392)),INDIRECT(CONCATENATE("$M$"&amp;AM$391)),
IF($K394=INDIRECT(CONCATENATE("$L$"&amp;AM$392)),INDIRECT(CONCATENATE("$L$"&amp;AM$391)),
IF($K394=INDIRECT(CONCATENATE("$K$"&amp;AM$392)),INDIRECT(CONCATENATE("$K$"&amp;AM$391)),
IF($K394=INDIRECT(CONCATENATE("$J$"&amp;AM$392)),INDIRECT(CONCATENATE("$J$"&amp;AM$391)),
IF($K394=INDIRECT(CONCATENATE("$I$"&amp;AM$392)),INDIRECT(CONCATENATE("$I$"&amp;AM$391)),
IF($K394=INDIRECT(CONCATENATE("$H$"&amp;AM$392)),INDIRECT(CONCATENATE("$H$"&amp;AM$391)),
IF($K394=INDIRECT(CONCATENATE("$G$"&amp;AM$392)),INDIRECT(CONCATENATE("$G$"&amp;AM$391)),
IF($K394=INDIRECT(CONCATENATE("$F$"&amp;AM$392)),INDIRECT(CONCATENATE("$F$"&amp;AM$391)),
IF($K394=INDIRECT(CONCATENATE("$E$"&amp;AM$392)),INDIRECT(CONCATENATE("$E$"&amp;AM$391)),
IF($K394=INDIRECT(CONCATENATE("$D$"&amp;AM$392)),INDIRECT(CONCATENATE("$D$"&amp;AM$391)),
IF($K394=INDIRECT(CONCATENATE("$C$"&amp;AM$392)),INDIRECT(CONCATENATE("$C$"&amp;AM$391)),"X")))))))))))))))))))))))))))))))</f>
        <v>X</v>
      </c>
      <c r="GZ394" s="58" t="str">
        <f t="shared" ref="GZ394:GZ428" ca="1" si="1622">IF($K394=INDIRECT(CONCATENATE("$AG$"&amp;AN$392)),INDIRECT(CONCATENATE("$AG$"&amp;AN$391)),
IF($K394=INDIRECT(CONCATENATE("$AF$"&amp;AN$392)),INDIRECT(CONCATENATE("$AF$"&amp;AN$391)),
IF($K394=INDIRECT(CONCATENATE("$AE$"&amp;AN$392)),INDIRECT(CONCATENATE("$AE$"&amp;AN$391)),
IF($K394=INDIRECT(CONCATENATE("$AD$"&amp;AN$392)),INDIRECT(CONCATENATE("$AD$"&amp;AN$391)),
IF($K394=INDIRECT(CONCATENATE("$AC$"&amp;AN$392)),INDIRECT(CONCATENATE("$AC$"&amp;AN$391)),
IF($K394=INDIRECT(CONCATENATE("$AB$"&amp;AN$392)),INDIRECT(CONCATENATE("$AB$"&amp;AN$391)),
IF($K394=INDIRECT(CONCATENATE("$AA$"&amp;AN$392)),INDIRECT(CONCATENATE("$AA$"&amp;AN$391)),
IF($K394=INDIRECT(CONCATENATE("$Z$"&amp;AN$392)),INDIRECT(CONCATENATE("$Z$"&amp;AN$391)),
IF($K394=INDIRECT(CONCATENATE("$Y$"&amp;AN$392)),INDIRECT(CONCATENATE("$Y$"&amp;AN$391)),
IF($K394=INDIRECT(CONCATENATE("$X$"&amp;AN$392)),INDIRECT(CONCATENATE("$X$"&amp;AN$391)),
IF($K394=INDIRECT(CONCATENATE("$W$"&amp;AN$392)),INDIRECT(CONCATENATE("$W$"&amp;AN$391)),
IF($K394=INDIRECT(CONCATENATE("$V$"&amp;AN$392)),INDIRECT(CONCATENATE("$V$"&amp;AN$391)),
IF($K394=INDIRECT(CONCATENATE("$U$"&amp;AN$392)),INDIRECT(CONCATENATE("$U$"&amp;AN$391)),
IF($K394=INDIRECT(CONCATENATE("$T$"&amp;AN$392)),INDIRECT(CONCATENATE("$T$"&amp;AN$391)),
IF($K394=INDIRECT(CONCATENATE("$S$"&amp;AN$392)),INDIRECT(CONCATENATE("$S$"&amp;AN$391)),
IF($K394=INDIRECT(CONCATENATE("$R$"&amp;AN$392)),INDIRECT(CONCATENATE("$R$"&amp;AN$391)),
IF($K394=INDIRECT(CONCATENATE("$Q$"&amp;AN$392)),INDIRECT(CONCATENATE("$Q$"&amp;AN$391)),
IF($K394=INDIRECT(CONCATENATE("$P$"&amp;AN$392)),INDIRECT(CONCATENATE("$P$"&amp;AN$391)),
IF($K394=INDIRECT(CONCATENATE("$O$"&amp;AN$392)),INDIRECT(CONCATENATE("$O$"&amp;AN$391)),
IF($K394=INDIRECT(CONCATENATE("$N$"&amp;AN$392)),INDIRECT(CONCATENATE("$N$"&amp;AN$391)),
IF($K394=INDIRECT(CONCATENATE("$M$"&amp;AN$392)),INDIRECT(CONCATENATE("$M$"&amp;AN$391)),
IF($K394=INDIRECT(CONCATENATE("$L$"&amp;AN$392)),INDIRECT(CONCATENATE("$L$"&amp;AN$391)),
IF($K394=INDIRECT(CONCATENATE("$K$"&amp;AN$392)),INDIRECT(CONCATENATE("$K$"&amp;AN$391)),
IF($K394=INDIRECT(CONCATENATE("$J$"&amp;AN$392)),INDIRECT(CONCATENATE("$J$"&amp;AN$391)),
IF($K394=INDIRECT(CONCATENATE("$I$"&amp;AN$392)),INDIRECT(CONCATENATE("$I$"&amp;AN$391)),
IF($K394=INDIRECT(CONCATENATE("$H$"&amp;AN$392)),INDIRECT(CONCATENATE("$H$"&amp;AN$391)),
IF($K394=INDIRECT(CONCATENATE("$G$"&amp;AN$392)),INDIRECT(CONCATENATE("$G$"&amp;AN$391)),
IF($K394=INDIRECT(CONCATENATE("$F$"&amp;AN$392)),INDIRECT(CONCATENATE("$F$"&amp;AN$391)),
IF($K394=INDIRECT(CONCATENATE("$E$"&amp;AN$392)),INDIRECT(CONCATENATE("$E$"&amp;AN$391)),
IF($K394=INDIRECT(CONCATENATE("$D$"&amp;AN$392)),INDIRECT(CONCATENATE("$D$"&amp;AN$391)),
IF($K394=INDIRECT(CONCATENATE("$C$"&amp;AN$392)),INDIRECT(CONCATENATE("$C$"&amp;AN$391)),"X")))))))))))))))))))))))))))))))</f>
        <v>X</v>
      </c>
      <c r="HA394" s="58" t="str">
        <f t="shared" ref="HA394:HA428" ca="1" si="1623">IF($K394=INDIRECT(CONCATENATE("$AG$"&amp;AO$392)),INDIRECT(CONCATENATE("$AG$"&amp;AO$391)),
IF($K394=INDIRECT(CONCATENATE("$AF$"&amp;AO$392)),INDIRECT(CONCATENATE("$AF$"&amp;AO$391)),
IF($K394=INDIRECT(CONCATENATE("$AE$"&amp;AO$392)),INDIRECT(CONCATENATE("$AE$"&amp;AO$391)),
IF($K394=INDIRECT(CONCATENATE("$AD$"&amp;AO$392)),INDIRECT(CONCATENATE("$AD$"&amp;AO$391)),
IF($K394=INDIRECT(CONCATENATE("$AC$"&amp;AO$392)),INDIRECT(CONCATENATE("$AC$"&amp;AO$391)),
IF($K394=INDIRECT(CONCATENATE("$AB$"&amp;AO$392)),INDIRECT(CONCATENATE("$AB$"&amp;AO$391)),
IF($K394=INDIRECT(CONCATENATE("$AA$"&amp;AO$392)),INDIRECT(CONCATENATE("$AA$"&amp;AO$391)),
IF($K394=INDIRECT(CONCATENATE("$Z$"&amp;AO$392)),INDIRECT(CONCATENATE("$Z$"&amp;AO$391)),
IF($K394=INDIRECT(CONCATENATE("$Y$"&amp;AO$392)),INDIRECT(CONCATENATE("$Y$"&amp;AO$391)),
IF($K394=INDIRECT(CONCATENATE("$X$"&amp;AO$392)),INDIRECT(CONCATENATE("$X$"&amp;AO$391)),
IF($K394=INDIRECT(CONCATENATE("$W$"&amp;AO$392)),INDIRECT(CONCATENATE("$W$"&amp;AO$391)),
IF($K394=INDIRECT(CONCATENATE("$V$"&amp;AO$392)),INDIRECT(CONCATENATE("$V$"&amp;AO$391)),
IF($K394=INDIRECT(CONCATENATE("$U$"&amp;AO$392)),INDIRECT(CONCATENATE("$U$"&amp;AO$391)),
IF($K394=INDIRECT(CONCATENATE("$T$"&amp;AO$392)),INDIRECT(CONCATENATE("$T$"&amp;AO$391)),
IF($K394=INDIRECT(CONCATENATE("$S$"&amp;AO$392)),INDIRECT(CONCATENATE("$S$"&amp;AO$391)),
IF($K394=INDIRECT(CONCATENATE("$R$"&amp;AO$392)),INDIRECT(CONCATENATE("$R$"&amp;AO$391)),
IF($K394=INDIRECT(CONCATENATE("$Q$"&amp;AO$392)),INDIRECT(CONCATENATE("$Q$"&amp;AO$391)),
IF($K394=INDIRECT(CONCATENATE("$P$"&amp;AO$392)),INDIRECT(CONCATENATE("$P$"&amp;AO$391)),
IF($K394=INDIRECT(CONCATENATE("$O$"&amp;AO$392)),INDIRECT(CONCATENATE("$O$"&amp;AO$391)),
IF($K394=INDIRECT(CONCATENATE("$N$"&amp;AO$392)),INDIRECT(CONCATENATE("$N$"&amp;AO$391)),
IF($K394=INDIRECT(CONCATENATE("$M$"&amp;AO$392)),INDIRECT(CONCATENATE("$M$"&amp;AO$391)),
IF($K394=INDIRECT(CONCATENATE("$L$"&amp;AO$392)),INDIRECT(CONCATENATE("$L$"&amp;AO$391)),
IF($K394=INDIRECT(CONCATENATE("$K$"&amp;AO$392)),INDIRECT(CONCATENATE("$K$"&amp;AO$391)),
IF($K394=INDIRECT(CONCATENATE("$J$"&amp;AO$392)),INDIRECT(CONCATENATE("$J$"&amp;AO$391)),
IF($K394=INDIRECT(CONCATENATE("$I$"&amp;AO$392)),INDIRECT(CONCATENATE("$I$"&amp;AO$391)),
IF($K394=INDIRECT(CONCATENATE("$H$"&amp;AO$392)),INDIRECT(CONCATENATE("$H$"&amp;AO$391)),
IF($K394=INDIRECT(CONCATENATE("$G$"&amp;AO$392)),INDIRECT(CONCATENATE("$G$"&amp;AO$391)),
IF($K394=INDIRECT(CONCATENATE("$F$"&amp;AO$392)),INDIRECT(CONCATENATE("$F$"&amp;AO$391)),
IF($K394=INDIRECT(CONCATENATE("$E$"&amp;AO$392)),INDIRECT(CONCATENATE("$E$"&amp;AO$391)),
IF($K394=INDIRECT(CONCATENATE("$D$"&amp;AO$392)),INDIRECT(CONCATENATE("$D$"&amp;AO$391)),
IF($K394=INDIRECT(CONCATENATE("$C$"&amp;AO$392)),INDIRECT(CONCATENATE("$C$"&amp;AO$391)),"X")))))))))))))))))))))))))))))))</f>
        <v>X</v>
      </c>
      <c r="HB394" s="58" t="str">
        <f t="shared" ref="HB394:HB428" ca="1" si="1624">IF($K394=INDIRECT(CONCATENATE("$AG$"&amp;AP$392)),INDIRECT(CONCATENATE("$AG$"&amp;AP$391)),
IF($K394=INDIRECT(CONCATENATE("$AF$"&amp;AP$392)),INDIRECT(CONCATENATE("$AF$"&amp;AP$391)),
IF($K394=INDIRECT(CONCATENATE("$AE$"&amp;AP$392)),INDIRECT(CONCATENATE("$AE$"&amp;AP$391)),
IF($K394=INDIRECT(CONCATENATE("$AD$"&amp;AP$392)),INDIRECT(CONCATENATE("$AD$"&amp;AP$391)),
IF($K394=INDIRECT(CONCATENATE("$AC$"&amp;AP$392)),INDIRECT(CONCATENATE("$AC$"&amp;AP$391)),
IF($K394=INDIRECT(CONCATENATE("$AB$"&amp;AP$392)),INDIRECT(CONCATENATE("$AB$"&amp;AP$391)),
IF($K394=INDIRECT(CONCATENATE("$AA$"&amp;AP$392)),INDIRECT(CONCATENATE("$AA$"&amp;AP$391)),
IF($K394=INDIRECT(CONCATENATE("$Z$"&amp;AP$392)),INDIRECT(CONCATENATE("$Z$"&amp;AP$391)),
IF($K394=INDIRECT(CONCATENATE("$Y$"&amp;AP$392)),INDIRECT(CONCATENATE("$Y$"&amp;AP$391)),
IF($K394=INDIRECT(CONCATENATE("$X$"&amp;AP$392)),INDIRECT(CONCATENATE("$X$"&amp;AP$391)),
IF($K394=INDIRECT(CONCATENATE("$W$"&amp;AP$392)),INDIRECT(CONCATENATE("$W$"&amp;AP$391)),
IF($K394=INDIRECT(CONCATENATE("$V$"&amp;AP$392)),INDIRECT(CONCATENATE("$V$"&amp;AP$391)),
IF($K394=INDIRECT(CONCATENATE("$U$"&amp;AP$392)),INDIRECT(CONCATENATE("$U$"&amp;AP$391)),
IF($K394=INDIRECT(CONCATENATE("$T$"&amp;AP$392)),INDIRECT(CONCATENATE("$T$"&amp;AP$391)),
IF($K394=INDIRECT(CONCATENATE("$S$"&amp;AP$392)),INDIRECT(CONCATENATE("$S$"&amp;AP$391)),
IF($K394=INDIRECT(CONCATENATE("$R$"&amp;AP$392)),INDIRECT(CONCATENATE("$R$"&amp;AP$391)),
IF($K394=INDIRECT(CONCATENATE("$Q$"&amp;AP$392)),INDIRECT(CONCATENATE("$Q$"&amp;AP$391)),
IF($K394=INDIRECT(CONCATENATE("$P$"&amp;AP$392)),INDIRECT(CONCATENATE("$P$"&amp;AP$391)),
IF($K394=INDIRECT(CONCATENATE("$O$"&amp;AP$392)),INDIRECT(CONCATENATE("$O$"&amp;AP$391)),
IF($K394=INDIRECT(CONCATENATE("$N$"&amp;AP$392)),INDIRECT(CONCATENATE("$N$"&amp;AP$391)),
IF($K394=INDIRECT(CONCATENATE("$M$"&amp;AP$392)),INDIRECT(CONCATENATE("$M$"&amp;AP$391)),
IF($K394=INDIRECT(CONCATENATE("$L$"&amp;AP$392)),INDIRECT(CONCATENATE("$L$"&amp;AP$391)),
IF($K394=INDIRECT(CONCATENATE("$K$"&amp;AP$392)),INDIRECT(CONCATENATE("$K$"&amp;AP$391)),
IF($K394=INDIRECT(CONCATENATE("$J$"&amp;AP$392)),INDIRECT(CONCATENATE("$J$"&amp;AP$391)),
IF($K394=INDIRECT(CONCATENATE("$I$"&amp;AP$392)),INDIRECT(CONCATENATE("$I$"&amp;AP$391)),
IF($K394=INDIRECT(CONCATENATE("$H$"&amp;AP$392)),INDIRECT(CONCATENATE("$H$"&amp;AP$391)),
IF($K394=INDIRECT(CONCATENATE("$G$"&amp;AP$392)),INDIRECT(CONCATENATE("$G$"&amp;AP$391)),
IF($K394=INDIRECT(CONCATENATE("$F$"&amp;AP$392)),INDIRECT(CONCATENATE("$F$"&amp;AP$391)),
IF($K394=INDIRECT(CONCATENATE("$E$"&amp;AP$392)),INDIRECT(CONCATENATE("$E$"&amp;AP$391)),
IF($K394=INDIRECT(CONCATENATE("$D$"&amp;AP$392)),INDIRECT(CONCATENATE("$D$"&amp;AP$391)),
IF($K394=INDIRECT(CONCATENATE("$C$"&amp;AP$392)),INDIRECT(CONCATENATE("$C$"&amp;AP$391)),"X")))))))))))))))))))))))))))))))</f>
        <v>X</v>
      </c>
      <c r="HC394" s="58" t="str">
        <f t="shared" ref="HC394:HC428" ca="1" si="1625">IF($K394=INDIRECT(CONCATENATE("$AG$"&amp;AQ$392)),INDIRECT(CONCATENATE("$AG$"&amp;AQ$391)),
IF($K394=INDIRECT(CONCATENATE("$AF$"&amp;AQ$392)),INDIRECT(CONCATENATE("$AF$"&amp;AQ$391)),
IF($K394=INDIRECT(CONCATENATE("$AE$"&amp;AQ$392)),INDIRECT(CONCATENATE("$AE$"&amp;AQ$391)),
IF($K394=INDIRECT(CONCATENATE("$AD$"&amp;AQ$392)),INDIRECT(CONCATENATE("$AD$"&amp;AQ$391)),
IF($K394=INDIRECT(CONCATENATE("$AC$"&amp;AQ$392)),INDIRECT(CONCATENATE("$AC$"&amp;AQ$391)),
IF($K394=INDIRECT(CONCATENATE("$AB$"&amp;AQ$392)),INDIRECT(CONCATENATE("$AB$"&amp;AQ$391)),
IF($K394=INDIRECT(CONCATENATE("$AA$"&amp;AQ$392)),INDIRECT(CONCATENATE("$AA$"&amp;AQ$391)),
IF($K394=INDIRECT(CONCATENATE("$Z$"&amp;AQ$392)),INDIRECT(CONCATENATE("$Z$"&amp;AQ$391)),
IF($K394=INDIRECT(CONCATENATE("$Y$"&amp;AQ$392)),INDIRECT(CONCATENATE("$Y$"&amp;AQ$391)),
IF($K394=INDIRECT(CONCATENATE("$X$"&amp;AQ$392)),INDIRECT(CONCATENATE("$X$"&amp;AQ$391)),
IF($K394=INDIRECT(CONCATENATE("$W$"&amp;AQ$392)),INDIRECT(CONCATENATE("$W$"&amp;AQ$391)),
IF($K394=INDIRECT(CONCATENATE("$V$"&amp;AQ$392)),INDIRECT(CONCATENATE("$V$"&amp;AQ$391)),
IF($K394=INDIRECT(CONCATENATE("$U$"&amp;AQ$392)),INDIRECT(CONCATENATE("$U$"&amp;AQ$391)),
IF($K394=INDIRECT(CONCATENATE("$T$"&amp;AQ$392)),INDIRECT(CONCATENATE("$T$"&amp;AQ$391)),
IF($K394=INDIRECT(CONCATENATE("$S$"&amp;AQ$392)),INDIRECT(CONCATENATE("$S$"&amp;AQ$391)),
IF($K394=INDIRECT(CONCATENATE("$R$"&amp;AQ$392)),INDIRECT(CONCATENATE("$R$"&amp;AQ$391)),
IF($K394=INDIRECT(CONCATENATE("$Q$"&amp;AQ$392)),INDIRECT(CONCATENATE("$Q$"&amp;AQ$391)),
IF($K394=INDIRECT(CONCATENATE("$P$"&amp;AQ$392)),INDIRECT(CONCATENATE("$P$"&amp;AQ$391)),
IF($K394=INDIRECT(CONCATENATE("$O$"&amp;AQ$392)),INDIRECT(CONCATENATE("$O$"&amp;AQ$391)),
IF($K394=INDIRECT(CONCATENATE("$N$"&amp;AQ$392)),INDIRECT(CONCATENATE("$N$"&amp;AQ$391)),
IF($K394=INDIRECT(CONCATENATE("$M$"&amp;AQ$392)),INDIRECT(CONCATENATE("$M$"&amp;AQ$391)),
IF($K394=INDIRECT(CONCATENATE("$L$"&amp;AQ$392)),INDIRECT(CONCATENATE("$L$"&amp;AQ$391)),
IF($K394=INDIRECT(CONCATENATE("$K$"&amp;AQ$392)),INDIRECT(CONCATENATE("$K$"&amp;AQ$391)),
IF($K394=INDIRECT(CONCATENATE("$J$"&amp;AQ$392)),INDIRECT(CONCATENATE("$J$"&amp;AQ$391)),
IF($K394=INDIRECT(CONCATENATE("$I$"&amp;AQ$392)),INDIRECT(CONCATENATE("$I$"&amp;AQ$391)),
IF($K394=INDIRECT(CONCATENATE("$H$"&amp;AQ$392)),INDIRECT(CONCATENATE("$H$"&amp;AQ$391)),
IF($K394=INDIRECT(CONCATENATE("$G$"&amp;AQ$392)),INDIRECT(CONCATENATE("$G$"&amp;AQ$391)),
IF($K394=INDIRECT(CONCATENATE("$F$"&amp;AQ$392)),INDIRECT(CONCATENATE("$F$"&amp;AQ$391)),
IF($K394=INDIRECT(CONCATENATE("$E$"&amp;AQ$392)),INDIRECT(CONCATENATE("$E$"&amp;AQ$391)),
IF($K394=INDIRECT(CONCATENATE("$D$"&amp;AQ$392)),INDIRECT(CONCATENATE("$D$"&amp;AQ$391)),
IF($K394=INDIRECT(CONCATENATE("$C$"&amp;AQ$392)),INDIRECT(CONCATENATE("$C$"&amp;AQ$391)),"X")))))))))))))))))))))))))))))))</f>
        <v>X</v>
      </c>
      <c r="HD394" s="58" t="str">
        <f t="shared" ref="HD394:HD428" ca="1" si="1626">IF($K394=INDIRECT(CONCATENATE("$AG$"&amp;AR$392)),INDIRECT(CONCATENATE("$AG$"&amp;AR$391)),
IF($K394=INDIRECT(CONCATENATE("$AF$"&amp;AR$392)),INDIRECT(CONCATENATE("$AF$"&amp;AR$391)),
IF($K394=INDIRECT(CONCATENATE("$AE$"&amp;AR$392)),INDIRECT(CONCATENATE("$AE$"&amp;AR$391)),
IF($K394=INDIRECT(CONCATENATE("$AD$"&amp;AR$392)),INDIRECT(CONCATENATE("$AD$"&amp;AR$391)),
IF($K394=INDIRECT(CONCATENATE("$AC$"&amp;AR$392)),INDIRECT(CONCATENATE("$AC$"&amp;AR$391)),
IF($K394=INDIRECT(CONCATENATE("$AB$"&amp;AR$392)),INDIRECT(CONCATENATE("$AB$"&amp;AR$391)),
IF($K394=INDIRECT(CONCATENATE("$AA$"&amp;AR$392)),INDIRECT(CONCATENATE("$AA$"&amp;AR$391)),
IF($K394=INDIRECT(CONCATENATE("$Z$"&amp;AR$392)),INDIRECT(CONCATENATE("$Z$"&amp;AR$391)),
IF($K394=INDIRECT(CONCATENATE("$Y$"&amp;AR$392)),INDIRECT(CONCATENATE("$Y$"&amp;AR$391)),
IF($K394=INDIRECT(CONCATENATE("$X$"&amp;AR$392)),INDIRECT(CONCATENATE("$X$"&amp;AR$391)),
IF($K394=INDIRECT(CONCATENATE("$W$"&amp;AR$392)),INDIRECT(CONCATENATE("$W$"&amp;AR$391)),
IF($K394=INDIRECT(CONCATENATE("$V$"&amp;AR$392)),INDIRECT(CONCATENATE("$V$"&amp;AR$391)),
IF($K394=INDIRECT(CONCATENATE("$U$"&amp;AR$392)),INDIRECT(CONCATENATE("$U$"&amp;AR$391)),
IF($K394=INDIRECT(CONCATENATE("$T$"&amp;AR$392)),INDIRECT(CONCATENATE("$T$"&amp;AR$391)),
IF($K394=INDIRECT(CONCATENATE("$S$"&amp;AR$392)),INDIRECT(CONCATENATE("$S$"&amp;AR$391)),
IF($K394=INDIRECT(CONCATENATE("$R$"&amp;AR$392)),INDIRECT(CONCATENATE("$R$"&amp;AR$391)),
IF($K394=INDIRECT(CONCATENATE("$Q$"&amp;AR$392)),INDIRECT(CONCATENATE("$Q$"&amp;AR$391)),
IF($K394=INDIRECT(CONCATENATE("$P$"&amp;AR$392)),INDIRECT(CONCATENATE("$P$"&amp;AR$391)),
IF($K394=INDIRECT(CONCATENATE("$O$"&amp;AR$392)),INDIRECT(CONCATENATE("$O$"&amp;AR$391)),
IF($K394=INDIRECT(CONCATENATE("$N$"&amp;AR$392)),INDIRECT(CONCATENATE("$N$"&amp;AR$391)),
IF($K394=INDIRECT(CONCATENATE("$M$"&amp;AR$392)),INDIRECT(CONCATENATE("$M$"&amp;AR$391)),
IF($K394=INDIRECT(CONCATENATE("$L$"&amp;AR$392)),INDIRECT(CONCATENATE("$L$"&amp;AR$391)),
IF($K394=INDIRECT(CONCATENATE("$K$"&amp;AR$392)),INDIRECT(CONCATENATE("$K$"&amp;AR$391)),
IF($K394=INDIRECT(CONCATENATE("$J$"&amp;AR$392)),INDIRECT(CONCATENATE("$J$"&amp;AR$391)),
IF($K394=INDIRECT(CONCATENATE("$I$"&amp;AR$392)),INDIRECT(CONCATENATE("$I$"&amp;AR$391)),
IF($K394=INDIRECT(CONCATENATE("$H$"&amp;AR$392)),INDIRECT(CONCATENATE("$H$"&amp;AR$391)),
IF($K394=INDIRECT(CONCATENATE("$G$"&amp;AR$392)),INDIRECT(CONCATENATE("$G$"&amp;AR$391)),
IF($K394=INDIRECT(CONCATENATE("$F$"&amp;AR$392)),INDIRECT(CONCATENATE("$F$"&amp;AR$391)),
IF($K394=INDIRECT(CONCATENATE("$E$"&amp;AR$392)),INDIRECT(CONCATENATE("$E$"&amp;AR$391)),
IF($K394=INDIRECT(CONCATENATE("$D$"&amp;AR$392)),INDIRECT(CONCATENATE("$D$"&amp;AR$391)),
IF($K394=INDIRECT(CONCATENATE("$C$"&amp;AR$392)),INDIRECT(CONCATENATE("$C$"&amp;AR$391)),"X")))))))))))))))))))))))))))))))</f>
        <v>X</v>
      </c>
      <c r="HE394" s="58" t="str">
        <f t="shared" ref="HE394:HE428" ca="1" si="1627">IF($K394=INDIRECT(CONCATENATE("$AG$"&amp;AS$392)),INDIRECT(CONCATENATE("$AG$"&amp;AS$391)),
IF($K394=INDIRECT(CONCATENATE("$AF$"&amp;AS$392)),INDIRECT(CONCATENATE("$AF$"&amp;AS$391)),
IF($K394=INDIRECT(CONCATENATE("$AE$"&amp;AS$392)),INDIRECT(CONCATENATE("$AE$"&amp;AS$391)),
IF($K394=INDIRECT(CONCATENATE("$AD$"&amp;AS$392)),INDIRECT(CONCATENATE("$AD$"&amp;AS$391)),
IF($K394=INDIRECT(CONCATENATE("$AC$"&amp;AS$392)),INDIRECT(CONCATENATE("$AC$"&amp;AS$391)),
IF($K394=INDIRECT(CONCATENATE("$AB$"&amp;AS$392)),INDIRECT(CONCATENATE("$AB$"&amp;AS$391)),
IF($K394=INDIRECT(CONCATENATE("$AA$"&amp;AS$392)),INDIRECT(CONCATENATE("$AA$"&amp;AS$391)),
IF($K394=INDIRECT(CONCATENATE("$Z$"&amp;AS$392)),INDIRECT(CONCATENATE("$Z$"&amp;AS$391)),
IF($K394=INDIRECT(CONCATENATE("$Y$"&amp;AS$392)),INDIRECT(CONCATENATE("$Y$"&amp;AS$391)),
IF($K394=INDIRECT(CONCATENATE("$X$"&amp;AS$392)),INDIRECT(CONCATENATE("$X$"&amp;AS$391)),
IF($K394=INDIRECT(CONCATENATE("$W$"&amp;AS$392)),INDIRECT(CONCATENATE("$W$"&amp;AS$391)),
IF($K394=INDIRECT(CONCATENATE("$V$"&amp;AS$392)),INDIRECT(CONCATENATE("$V$"&amp;AS$391)),
IF($K394=INDIRECT(CONCATENATE("$U$"&amp;AS$392)),INDIRECT(CONCATENATE("$U$"&amp;AS$391)),
IF($K394=INDIRECT(CONCATENATE("$T$"&amp;AS$392)),INDIRECT(CONCATENATE("$T$"&amp;AS$391)),
IF($K394=INDIRECT(CONCATENATE("$S$"&amp;AS$392)),INDIRECT(CONCATENATE("$S$"&amp;AS$391)),
IF($K394=INDIRECT(CONCATENATE("$R$"&amp;AS$392)),INDIRECT(CONCATENATE("$R$"&amp;AS$391)),
IF($K394=INDIRECT(CONCATENATE("$Q$"&amp;AS$392)),INDIRECT(CONCATENATE("$Q$"&amp;AS$391)),
IF($K394=INDIRECT(CONCATENATE("$P$"&amp;AS$392)),INDIRECT(CONCATENATE("$P$"&amp;AS$391)),
IF($K394=INDIRECT(CONCATENATE("$O$"&amp;AS$392)),INDIRECT(CONCATENATE("$O$"&amp;AS$391)),
IF($K394=INDIRECT(CONCATENATE("$N$"&amp;AS$392)),INDIRECT(CONCATENATE("$N$"&amp;AS$391)),
IF($K394=INDIRECT(CONCATENATE("$M$"&amp;AS$392)),INDIRECT(CONCATENATE("$M$"&amp;AS$391)),
IF($K394=INDIRECT(CONCATENATE("$L$"&amp;AS$392)),INDIRECT(CONCATENATE("$L$"&amp;AS$391)),
IF($K394=INDIRECT(CONCATENATE("$K$"&amp;AS$392)),INDIRECT(CONCATENATE("$K$"&amp;AS$391)),
IF($K394=INDIRECT(CONCATENATE("$J$"&amp;AS$392)),INDIRECT(CONCATENATE("$J$"&amp;AS$391)),
IF($K394=INDIRECT(CONCATENATE("$I$"&amp;AS$392)),INDIRECT(CONCATENATE("$I$"&amp;AS$391)),
IF($K394=INDIRECT(CONCATENATE("$H$"&amp;AS$392)),INDIRECT(CONCATENATE("$H$"&amp;AS$391)),
IF($K394=INDIRECT(CONCATENATE("$G$"&amp;AS$392)),INDIRECT(CONCATENATE("$G$"&amp;AS$391)),
IF($K394=INDIRECT(CONCATENATE("$F$"&amp;AS$392)),INDIRECT(CONCATENATE("$F$"&amp;AS$391)),
IF($K394=INDIRECT(CONCATENATE("$E$"&amp;AS$392)),INDIRECT(CONCATENATE("$E$"&amp;AS$391)),
IF($K394=INDIRECT(CONCATENATE("$D$"&amp;AS$392)),INDIRECT(CONCATENATE("$D$"&amp;AS$391)),
IF($K394=INDIRECT(CONCATENATE("$C$"&amp;AS$392)),INDIRECT(CONCATENATE("$C$"&amp;AS$391)),"X")))))))))))))))))))))))))))))))</f>
        <v>X</v>
      </c>
      <c r="HF394" s="58" t="str">
        <f t="shared" ref="HF394:HF428" ca="1" si="1628">IF($K394=INDIRECT(CONCATENATE("$AG$"&amp;AT$392)),INDIRECT(CONCATENATE("$AG$"&amp;AT$391)),
IF($K394=INDIRECT(CONCATENATE("$AF$"&amp;AT$392)),INDIRECT(CONCATENATE("$AF$"&amp;AT$391)),
IF($K394=INDIRECT(CONCATENATE("$AE$"&amp;AT$392)),INDIRECT(CONCATENATE("$AE$"&amp;AT$391)),
IF($K394=INDIRECT(CONCATENATE("$AD$"&amp;AT$392)),INDIRECT(CONCATENATE("$AD$"&amp;AT$391)),
IF($K394=INDIRECT(CONCATENATE("$AC$"&amp;AT$392)),INDIRECT(CONCATENATE("$AC$"&amp;AT$391)),
IF($K394=INDIRECT(CONCATENATE("$AB$"&amp;AT$392)),INDIRECT(CONCATENATE("$AB$"&amp;AT$391)),
IF($K394=INDIRECT(CONCATENATE("$AA$"&amp;AT$392)),INDIRECT(CONCATENATE("$AA$"&amp;AT$391)),
IF($K394=INDIRECT(CONCATENATE("$Z$"&amp;AT$392)),INDIRECT(CONCATENATE("$Z$"&amp;AT$391)),
IF($K394=INDIRECT(CONCATENATE("$Y$"&amp;AT$392)),INDIRECT(CONCATENATE("$Y$"&amp;AT$391)),
IF($K394=INDIRECT(CONCATENATE("$X$"&amp;AT$392)),INDIRECT(CONCATENATE("$X$"&amp;AT$391)),
IF($K394=INDIRECT(CONCATENATE("$W$"&amp;AT$392)),INDIRECT(CONCATENATE("$W$"&amp;AT$391)),
IF($K394=INDIRECT(CONCATENATE("$V$"&amp;AT$392)),INDIRECT(CONCATENATE("$V$"&amp;AT$391)),
IF($K394=INDIRECT(CONCATENATE("$U$"&amp;AT$392)),INDIRECT(CONCATENATE("$U$"&amp;AT$391)),
IF($K394=INDIRECT(CONCATENATE("$T$"&amp;AT$392)),INDIRECT(CONCATENATE("$T$"&amp;AT$391)),
IF($K394=INDIRECT(CONCATENATE("$S$"&amp;AT$392)),INDIRECT(CONCATENATE("$S$"&amp;AT$391)),
IF($K394=INDIRECT(CONCATENATE("$R$"&amp;AT$392)),INDIRECT(CONCATENATE("$R$"&amp;AT$391)),
IF($K394=INDIRECT(CONCATENATE("$Q$"&amp;AT$392)),INDIRECT(CONCATENATE("$Q$"&amp;AT$391)),
IF($K394=INDIRECT(CONCATENATE("$P$"&amp;AT$392)),INDIRECT(CONCATENATE("$P$"&amp;AT$391)),
IF($K394=INDIRECT(CONCATENATE("$O$"&amp;AT$392)),INDIRECT(CONCATENATE("$O$"&amp;AT$391)),
IF($K394=INDIRECT(CONCATENATE("$N$"&amp;AT$392)),INDIRECT(CONCATENATE("$N$"&amp;AT$391)),
IF($K394=INDIRECT(CONCATENATE("$M$"&amp;AT$392)),INDIRECT(CONCATENATE("$M$"&amp;AT$391)),
IF($K394=INDIRECT(CONCATENATE("$L$"&amp;AT$392)),INDIRECT(CONCATENATE("$L$"&amp;AT$391)),
IF($K394=INDIRECT(CONCATENATE("$K$"&amp;AT$392)),INDIRECT(CONCATENATE("$K$"&amp;AT$391)),
IF($K394=INDIRECT(CONCATENATE("$J$"&amp;AT$392)),INDIRECT(CONCATENATE("$J$"&amp;AT$391)),
IF($K394=INDIRECT(CONCATENATE("$I$"&amp;AT$392)),INDIRECT(CONCATENATE("$I$"&amp;AT$391)),
IF($K394=INDIRECT(CONCATENATE("$H$"&amp;AT$392)),INDIRECT(CONCATENATE("$H$"&amp;AT$391)),
IF($K394=INDIRECT(CONCATENATE("$G$"&amp;AT$392)),INDIRECT(CONCATENATE("$G$"&amp;AT$391)),
IF($K394=INDIRECT(CONCATENATE("$F$"&amp;AT$392)),INDIRECT(CONCATENATE("$F$"&amp;AT$391)),
IF($K394=INDIRECT(CONCATENATE("$E$"&amp;AT$392)),INDIRECT(CONCATENATE("$E$"&amp;AT$391)),
IF($K394=INDIRECT(CONCATENATE("$D$"&amp;AT$392)),INDIRECT(CONCATENATE("$D$"&amp;AT$391)),
IF($K394=INDIRECT(CONCATENATE("$C$"&amp;AT$392)),INDIRECT(CONCATENATE("$C$"&amp;AT$391)),"X")))))))))))))))))))))))))))))))</f>
        <v>X</v>
      </c>
      <c r="HG394" s="58" t="str">
        <f t="shared" ref="HG394:HG428" ca="1" si="1629">IF($K394=INDIRECT(CONCATENATE("$AG$"&amp;AU$392)),INDIRECT(CONCATENATE("$AG$"&amp;AU$391)),
IF($K394=INDIRECT(CONCATENATE("$AF$"&amp;AU$392)),INDIRECT(CONCATENATE("$AF$"&amp;AU$391)),
IF($K394=INDIRECT(CONCATENATE("$AE$"&amp;AU$392)),INDIRECT(CONCATENATE("$AE$"&amp;AU$391)),
IF($K394=INDIRECT(CONCATENATE("$AD$"&amp;AU$392)),INDIRECT(CONCATENATE("$AD$"&amp;AU$391)),
IF($K394=INDIRECT(CONCATENATE("$AC$"&amp;AU$392)),INDIRECT(CONCATENATE("$AC$"&amp;AU$391)),
IF($K394=INDIRECT(CONCATENATE("$AB$"&amp;AU$392)),INDIRECT(CONCATENATE("$AB$"&amp;AU$391)),
IF($K394=INDIRECT(CONCATENATE("$AA$"&amp;AU$392)),INDIRECT(CONCATENATE("$AA$"&amp;AU$391)),
IF($K394=INDIRECT(CONCATENATE("$Z$"&amp;AU$392)),INDIRECT(CONCATENATE("$Z$"&amp;AU$391)),
IF($K394=INDIRECT(CONCATENATE("$Y$"&amp;AU$392)),INDIRECT(CONCATENATE("$Y$"&amp;AU$391)),
IF($K394=INDIRECT(CONCATENATE("$X$"&amp;AU$392)),INDIRECT(CONCATENATE("$X$"&amp;AU$391)),
IF($K394=INDIRECT(CONCATENATE("$W$"&amp;AU$392)),INDIRECT(CONCATENATE("$W$"&amp;AU$391)),
IF($K394=INDIRECT(CONCATENATE("$V$"&amp;AU$392)),INDIRECT(CONCATENATE("$V$"&amp;AU$391)),
IF($K394=INDIRECT(CONCATENATE("$U$"&amp;AU$392)),INDIRECT(CONCATENATE("$U$"&amp;AU$391)),
IF($K394=INDIRECT(CONCATENATE("$T$"&amp;AU$392)),INDIRECT(CONCATENATE("$T$"&amp;AU$391)),
IF($K394=INDIRECT(CONCATENATE("$S$"&amp;AU$392)),INDIRECT(CONCATENATE("$S$"&amp;AU$391)),
IF($K394=INDIRECT(CONCATENATE("$R$"&amp;AU$392)),INDIRECT(CONCATENATE("$R$"&amp;AU$391)),
IF($K394=INDIRECT(CONCATENATE("$Q$"&amp;AU$392)),INDIRECT(CONCATENATE("$Q$"&amp;AU$391)),
IF($K394=INDIRECT(CONCATENATE("$P$"&amp;AU$392)),INDIRECT(CONCATENATE("$P$"&amp;AU$391)),
IF($K394=INDIRECT(CONCATENATE("$O$"&amp;AU$392)),INDIRECT(CONCATENATE("$O$"&amp;AU$391)),
IF($K394=INDIRECT(CONCATENATE("$N$"&amp;AU$392)),INDIRECT(CONCATENATE("$N$"&amp;AU$391)),
IF($K394=INDIRECT(CONCATENATE("$M$"&amp;AU$392)),INDIRECT(CONCATENATE("$M$"&amp;AU$391)),
IF($K394=INDIRECT(CONCATENATE("$L$"&amp;AU$392)),INDIRECT(CONCATENATE("$L$"&amp;AU$391)),
IF($K394=INDIRECT(CONCATENATE("$K$"&amp;AU$392)),INDIRECT(CONCATENATE("$K$"&amp;AU$391)),
IF($K394=INDIRECT(CONCATENATE("$J$"&amp;AU$392)),INDIRECT(CONCATENATE("$J$"&amp;AU$391)),
IF($K394=INDIRECT(CONCATENATE("$I$"&amp;AU$392)),INDIRECT(CONCATENATE("$I$"&amp;AU$391)),
IF($K394=INDIRECT(CONCATENATE("$H$"&amp;AU$392)),INDIRECT(CONCATENATE("$H$"&amp;AU$391)),
IF($K394=INDIRECT(CONCATENATE("$G$"&amp;AU$392)),INDIRECT(CONCATENATE("$G$"&amp;AU$391)),
IF($K394=INDIRECT(CONCATENATE("$F$"&amp;AU$392)),INDIRECT(CONCATENATE("$F$"&amp;AU$391)),
IF($K394=INDIRECT(CONCATENATE("$E$"&amp;AU$392)),INDIRECT(CONCATENATE("$E$"&amp;AU$391)),
IF($K394=INDIRECT(CONCATENATE("$D$"&amp;AU$392)),INDIRECT(CONCATENATE("$D$"&amp;AU$391)),
IF($K394=INDIRECT(CONCATENATE("$C$"&amp;AU$392)),INDIRECT(CONCATENATE("$C$"&amp;AU$391)),"X")))))))))))))))))))))))))))))))</f>
        <v>X</v>
      </c>
      <c r="HH394" s="58" t="str">
        <f t="shared" ref="HH394:HH428" ca="1" si="1630">IF($K394=INDIRECT(CONCATENATE("$AG$"&amp;AV$392)),INDIRECT(CONCATENATE("$AG$"&amp;AV$391)),
IF($K394=INDIRECT(CONCATENATE("$AF$"&amp;AV$392)),INDIRECT(CONCATENATE("$AF$"&amp;AV$391)),
IF($K394=INDIRECT(CONCATENATE("$AE$"&amp;AV$392)),INDIRECT(CONCATENATE("$AE$"&amp;AV$391)),
IF($K394=INDIRECT(CONCATENATE("$AD$"&amp;AV$392)),INDIRECT(CONCATENATE("$AD$"&amp;AV$391)),
IF($K394=INDIRECT(CONCATENATE("$AC$"&amp;AV$392)),INDIRECT(CONCATENATE("$AC$"&amp;AV$391)),
IF($K394=INDIRECT(CONCATENATE("$AB$"&amp;AV$392)),INDIRECT(CONCATENATE("$AB$"&amp;AV$391)),
IF($K394=INDIRECT(CONCATENATE("$AA$"&amp;AV$392)),INDIRECT(CONCATENATE("$AA$"&amp;AV$391)),
IF($K394=INDIRECT(CONCATENATE("$Z$"&amp;AV$392)),INDIRECT(CONCATENATE("$Z$"&amp;AV$391)),
IF($K394=INDIRECT(CONCATENATE("$Y$"&amp;AV$392)),INDIRECT(CONCATENATE("$Y$"&amp;AV$391)),
IF($K394=INDIRECT(CONCATENATE("$X$"&amp;AV$392)),INDIRECT(CONCATENATE("$X$"&amp;AV$391)),
IF($K394=INDIRECT(CONCATENATE("$W$"&amp;AV$392)),INDIRECT(CONCATENATE("$W$"&amp;AV$391)),
IF($K394=INDIRECT(CONCATENATE("$V$"&amp;AV$392)),INDIRECT(CONCATENATE("$V$"&amp;AV$391)),
IF($K394=INDIRECT(CONCATENATE("$U$"&amp;AV$392)),INDIRECT(CONCATENATE("$U$"&amp;AV$391)),
IF($K394=INDIRECT(CONCATENATE("$T$"&amp;AV$392)),INDIRECT(CONCATENATE("$T$"&amp;AV$391)),
IF($K394=INDIRECT(CONCATENATE("$S$"&amp;AV$392)),INDIRECT(CONCATENATE("$S$"&amp;AV$391)),
IF($K394=INDIRECT(CONCATENATE("$R$"&amp;AV$392)),INDIRECT(CONCATENATE("$R$"&amp;AV$391)),
IF($K394=INDIRECT(CONCATENATE("$Q$"&amp;AV$392)),INDIRECT(CONCATENATE("$Q$"&amp;AV$391)),
IF($K394=INDIRECT(CONCATENATE("$P$"&amp;AV$392)),INDIRECT(CONCATENATE("$P$"&amp;AV$391)),
IF($K394=INDIRECT(CONCATENATE("$O$"&amp;AV$392)),INDIRECT(CONCATENATE("$O$"&amp;AV$391)),
IF($K394=INDIRECT(CONCATENATE("$N$"&amp;AV$392)),INDIRECT(CONCATENATE("$N$"&amp;AV$391)),
IF($K394=INDIRECT(CONCATENATE("$M$"&amp;AV$392)),INDIRECT(CONCATENATE("$M$"&amp;AV$391)),
IF($K394=INDIRECT(CONCATENATE("$L$"&amp;AV$392)),INDIRECT(CONCATENATE("$L$"&amp;AV$391)),
IF($K394=INDIRECT(CONCATENATE("$K$"&amp;AV$392)),INDIRECT(CONCATENATE("$K$"&amp;AV$391)),
IF($K394=INDIRECT(CONCATENATE("$J$"&amp;AV$392)),INDIRECT(CONCATENATE("$J$"&amp;AV$391)),
IF($K394=INDIRECT(CONCATENATE("$I$"&amp;AV$392)),INDIRECT(CONCATENATE("$I$"&amp;AV$391)),
IF($K394=INDIRECT(CONCATENATE("$H$"&amp;AV$392)),INDIRECT(CONCATENATE("$H$"&amp;AV$391)),
IF($K394=INDIRECT(CONCATENATE("$G$"&amp;AV$392)),INDIRECT(CONCATENATE("$G$"&amp;AV$391)),
IF($K394=INDIRECT(CONCATENATE("$F$"&amp;AV$392)),INDIRECT(CONCATENATE("$F$"&amp;AV$391)),
IF($K394=INDIRECT(CONCATENATE("$E$"&amp;AV$392)),INDIRECT(CONCATENATE("$E$"&amp;AV$391)),
IF($K394=INDIRECT(CONCATENATE("$D$"&amp;AV$392)),INDIRECT(CONCATENATE("$D$"&amp;AV$391)),
IF($K394=INDIRECT(CONCATENATE("$C$"&amp;AV$392)),INDIRECT(CONCATENATE("$C$"&amp;AV$391)),"X")))))))))))))))))))))))))))))))</f>
        <v>X</v>
      </c>
      <c r="HI394" s="58" t="str">
        <f t="shared" ref="HI394:HI428" ca="1" si="1631">IF($K394=INDIRECT(CONCATENATE("$AG$"&amp;AW$392)),INDIRECT(CONCATENATE("$AG$"&amp;AW$391)),
IF($K394=INDIRECT(CONCATENATE("$AF$"&amp;AW$392)),INDIRECT(CONCATENATE("$AF$"&amp;AW$391)),
IF($K394=INDIRECT(CONCATENATE("$AE$"&amp;AW$392)),INDIRECT(CONCATENATE("$AE$"&amp;AW$391)),
IF($K394=INDIRECT(CONCATENATE("$AD$"&amp;AW$392)),INDIRECT(CONCATENATE("$AD$"&amp;AW$391)),
IF($K394=INDIRECT(CONCATENATE("$AC$"&amp;AW$392)),INDIRECT(CONCATENATE("$AC$"&amp;AW$391)),
IF($K394=INDIRECT(CONCATENATE("$AB$"&amp;AW$392)),INDIRECT(CONCATENATE("$AB$"&amp;AW$391)),
IF($K394=INDIRECT(CONCATENATE("$AA$"&amp;AW$392)),INDIRECT(CONCATENATE("$AA$"&amp;AW$391)),
IF($K394=INDIRECT(CONCATENATE("$Z$"&amp;AW$392)),INDIRECT(CONCATENATE("$Z$"&amp;AW$391)),
IF($K394=INDIRECT(CONCATENATE("$Y$"&amp;AW$392)),INDIRECT(CONCATENATE("$Y$"&amp;AW$391)),
IF($K394=INDIRECT(CONCATENATE("$X$"&amp;AW$392)),INDIRECT(CONCATENATE("$X$"&amp;AW$391)),
IF($K394=INDIRECT(CONCATENATE("$W$"&amp;AW$392)),INDIRECT(CONCATENATE("$W$"&amp;AW$391)),
IF($K394=INDIRECT(CONCATENATE("$V$"&amp;AW$392)),INDIRECT(CONCATENATE("$V$"&amp;AW$391)),
IF($K394=INDIRECT(CONCATENATE("$U$"&amp;AW$392)),INDIRECT(CONCATENATE("$U$"&amp;AW$391)),
IF($K394=INDIRECT(CONCATENATE("$T$"&amp;AW$392)),INDIRECT(CONCATENATE("$T$"&amp;AW$391)),
IF($K394=INDIRECT(CONCATENATE("$S$"&amp;AW$392)),INDIRECT(CONCATENATE("$S$"&amp;AW$391)),
IF($K394=INDIRECT(CONCATENATE("$R$"&amp;AW$392)),INDIRECT(CONCATENATE("$R$"&amp;AW$391)),
IF($K394=INDIRECT(CONCATENATE("$Q$"&amp;AW$392)),INDIRECT(CONCATENATE("$Q$"&amp;AW$391)),
IF($K394=INDIRECT(CONCATENATE("$P$"&amp;AW$392)),INDIRECT(CONCATENATE("$P$"&amp;AW$391)),
IF($K394=INDIRECT(CONCATENATE("$O$"&amp;AW$392)),INDIRECT(CONCATENATE("$O$"&amp;AW$391)),
IF($K394=INDIRECT(CONCATENATE("$N$"&amp;AW$392)),INDIRECT(CONCATENATE("$N$"&amp;AW$391)),
IF($K394=INDIRECT(CONCATENATE("$M$"&amp;AW$392)),INDIRECT(CONCATENATE("$M$"&amp;AW$391)),
IF($K394=INDIRECT(CONCATENATE("$L$"&amp;AW$392)),INDIRECT(CONCATENATE("$L$"&amp;AW$391)),
IF($K394=INDIRECT(CONCATENATE("$K$"&amp;AW$392)),INDIRECT(CONCATENATE("$K$"&amp;AW$391)),
IF($K394=INDIRECT(CONCATENATE("$J$"&amp;AW$392)),INDIRECT(CONCATENATE("$J$"&amp;AW$391)),
IF($K394=INDIRECT(CONCATENATE("$I$"&amp;AW$392)),INDIRECT(CONCATENATE("$I$"&amp;AW$391)),
IF($K394=INDIRECT(CONCATENATE("$H$"&amp;AW$392)),INDIRECT(CONCATENATE("$H$"&amp;AW$391)),
IF($K394=INDIRECT(CONCATENATE("$G$"&amp;AW$392)),INDIRECT(CONCATENATE("$G$"&amp;AW$391)),
IF($K394=INDIRECT(CONCATENATE("$F$"&amp;AW$392)),INDIRECT(CONCATENATE("$F$"&amp;AW$391)),
IF($K394=INDIRECT(CONCATENATE("$E$"&amp;AW$392)),INDIRECT(CONCATENATE("$E$"&amp;AW$391)),
IF($K394=INDIRECT(CONCATENATE("$D$"&amp;AW$392)),INDIRECT(CONCATENATE("$D$"&amp;AW$391)),
IF($K394=INDIRECT(CONCATENATE("$C$"&amp;AW$392)),INDIRECT(CONCATENATE("$C$"&amp;AW$391)),"X")))))))))))))))))))))))))))))))</f>
        <v>X</v>
      </c>
      <c r="HJ394" s="58" t="str">
        <f t="shared" ref="HJ394:HJ428" ca="1" si="1632">IF($K394=INDIRECT(CONCATENATE("$AG$"&amp;AX$392)),INDIRECT(CONCATENATE("$AG$"&amp;AX$391)),
IF($K394=INDIRECT(CONCATENATE("$AF$"&amp;AX$392)),INDIRECT(CONCATENATE("$AF$"&amp;AX$391)),
IF($K394=INDIRECT(CONCATENATE("$AE$"&amp;AX$392)),INDIRECT(CONCATENATE("$AE$"&amp;AX$391)),
IF($K394=INDIRECT(CONCATENATE("$AD$"&amp;AX$392)),INDIRECT(CONCATENATE("$AD$"&amp;AX$391)),
IF($K394=INDIRECT(CONCATENATE("$AC$"&amp;AX$392)),INDIRECT(CONCATENATE("$AC$"&amp;AX$391)),
IF($K394=INDIRECT(CONCATENATE("$AB$"&amp;AX$392)),INDIRECT(CONCATENATE("$AB$"&amp;AX$391)),
IF($K394=INDIRECT(CONCATENATE("$AA$"&amp;AX$392)),INDIRECT(CONCATENATE("$AA$"&amp;AX$391)),
IF($K394=INDIRECT(CONCATENATE("$Z$"&amp;AX$392)),INDIRECT(CONCATENATE("$Z$"&amp;AX$391)),
IF($K394=INDIRECT(CONCATENATE("$Y$"&amp;AX$392)),INDIRECT(CONCATENATE("$Y$"&amp;AX$391)),
IF($K394=INDIRECT(CONCATENATE("$X$"&amp;AX$392)),INDIRECT(CONCATENATE("$X$"&amp;AX$391)),
IF($K394=INDIRECT(CONCATENATE("$W$"&amp;AX$392)),INDIRECT(CONCATENATE("$W$"&amp;AX$391)),
IF($K394=INDIRECT(CONCATENATE("$V$"&amp;AX$392)),INDIRECT(CONCATENATE("$V$"&amp;AX$391)),
IF($K394=INDIRECT(CONCATENATE("$U$"&amp;AX$392)),INDIRECT(CONCATENATE("$U$"&amp;AX$391)),
IF($K394=INDIRECT(CONCATENATE("$T$"&amp;AX$392)),INDIRECT(CONCATENATE("$T$"&amp;AX$391)),
IF($K394=INDIRECT(CONCATENATE("$S$"&amp;AX$392)),INDIRECT(CONCATENATE("$S$"&amp;AX$391)),
IF($K394=INDIRECT(CONCATENATE("$R$"&amp;AX$392)),INDIRECT(CONCATENATE("$R$"&amp;AX$391)),
IF($K394=INDIRECT(CONCATENATE("$Q$"&amp;AX$392)),INDIRECT(CONCATENATE("$Q$"&amp;AX$391)),
IF($K394=INDIRECT(CONCATENATE("$P$"&amp;AX$392)),INDIRECT(CONCATENATE("$P$"&amp;AX$391)),
IF($K394=INDIRECT(CONCATENATE("$O$"&amp;AX$392)),INDIRECT(CONCATENATE("$O$"&amp;AX$391)),
IF($K394=INDIRECT(CONCATENATE("$N$"&amp;AX$392)),INDIRECT(CONCATENATE("$N$"&amp;AX$391)),
IF($K394=INDIRECT(CONCATENATE("$M$"&amp;AX$392)),INDIRECT(CONCATENATE("$M$"&amp;AX$391)),
IF($K394=INDIRECT(CONCATENATE("$L$"&amp;AX$392)),INDIRECT(CONCATENATE("$L$"&amp;AX$391)),
IF($K394=INDIRECT(CONCATENATE("$K$"&amp;AX$392)),INDIRECT(CONCATENATE("$K$"&amp;AX$391)),
IF($K394=INDIRECT(CONCATENATE("$J$"&amp;AX$392)),INDIRECT(CONCATENATE("$J$"&amp;AX$391)),
IF($K394=INDIRECT(CONCATENATE("$I$"&amp;AX$392)),INDIRECT(CONCATENATE("$I$"&amp;AX$391)),
IF($K394=INDIRECT(CONCATENATE("$H$"&amp;AX$392)),INDIRECT(CONCATENATE("$H$"&amp;AX$391)),
IF($K394=INDIRECT(CONCATENATE("$G$"&amp;AX$392)),INDIRECT(CONCATENATE("$G$"&amp;AX$391)),
IF($K394=INDIRECT(CONCATENATE("$F$"&amp;AX$392)),INDIRECT(CONCATENATE("$F$"&amp;AX$391)),
IF($K394=INDIRECT(CONCATENATE("$E$"&amp;AX$392)),INDIRECT(CONCATENATE("$E$"&amp;AX$391)),
IF($K394=INDIRECT(CONCATENATE("$D$"&amp;AX$392)),INDIRECT(CONCATENATE("$D$"&amp;AX$391)),
IF($K394=INDIRECT(CONCATENATE("$C$"&amp;AX$392)),INDIRECT(CONCATENATE("$C$"&amp;AX$391)),"X")))))))))))))))))))))))))))))))</f>
        <v>X</v>
      </c>
      <c r="HK394" s="58" t="str">
        <f t="shared" ref="HK394:HK428" ca="1" si="1633">IF($K394=INDIRECT(CONCATENATE("$AG$"&amp;AY$392)),INDIRECT(CONCATENATE("$AG$"&amp;AY$391)),
IF($K394=INDIRECT(CONCATENATE("$AF$"&amp;AY$392)),INDIRECT(CONCATENATE("$AF$"&amp;AY$391)),
IF($K394=INDIRECT(CONCATENATE("$AE$"&amp;AY$392)),INDIRECT(CONCATENATE("$AE$"&amp;AY$391)),
IF($K394=INDIRECT(CONCATENATE("$AD$"&amp;AY$392)),INDIRECT(CONCATENATE("$AD$"&amp;AY$391)),
IF($K394=INDIRECT(CONCATENATE("$AC$"&amp;AY$392)),INDIRECT(CONCATENATE("$AC$"&amp;AY$391)),
IF($K394=INDIRECT(CONCATENATE("$AB$"&amp;AY$392)),INDIRECT(CONCATENATE("$AB$"&amp;AY$391)),
IF($K394=INDIRECT(CONCATENATE("$AA$"&amp;AY$392)),INDIRECT(CONCATENATE("$AA$"&amp;AY$391)),
IF($K394=INDIRECT(CONCATENATE("$Z$"&amp;AY$392)),INDIRECT(CONCATENATE("$Z$"&amp;AY$391)),
IF($K394=INDIRECT(CONCATENATE("$Y$"&amp;AY$392)),INDIRECT(CONCATENATE("$Y$"&amp;AY$391)),
IF($K394=INDIRECT(CONCATENATE("$X$"&amp;AY$392)),INDIRECT(CONCATENATE("$X$"&amp;AY$391)),
IF($K394=INDIRECT(CONCATENATE("$W$"&amp;AY$392)),INDIRECT(CONCATENATE("$W$"&amp;AY$391)),
IF($K394=INDIRECT(CONCATENATE("$V$"&amp;AY$392)),INDIRECT(CONCATENATE("$V$"&amp;AY$391)),
IF($K394=INDIRECT(CONCATENATE("$U$"&amp;AY$392)),INDIRECT(CONCATENATE("$U$"&amp;AY$391)),
IF($K394=INDIRECT(CONCATENATE("$T$"&amp;AY$392)),INDIRECT(CONCATENATE("$T$"&amp;AY$391)),
IF($K394=INDIRECT(CONCATENATE("$S$"&amp;AY$392)),INDIRECT(CONCATENATE("$S$"&amp;AY$391)),
IF($K394=INDIRECT(CONCATENATE("$R$"&amp;AY$392)),INDIRECT(CONCATENATE("$R$"&amp;AY$391)),
IF($K394=INDIRECT(CONCATENATE("$Q$"&amp;AY$392)),INDIRECT(CONCATENATE("$Q$"&amp;AY$391)),
IF($K394=INDIRECT(CONCATENATE("$P$"&amp;AY$392)),INDIRECT(CONCATENATE("$P$"&amp;AY$391)),
IF($K394=INDIRECT(CONCATENATE("$O$"&amp;AY$392)),INDIRECT(CONCATENATE("$O$"&amp;AY$391)),
IF($K394=INDIRECT(CONCATENATE("$N$"&amp;AY$392)),INDIRECT(CONCATENATE("$N$"&amp;AY$391)),
IF($K394=INDIRECT(CONCATENATE("$M$"&amp;AY$392)),INDIRECT(CONCATENATE("$M$"&amp;AY$391)),
IF($K394=INDIRECT(CONCATENATE("$L$"&amp;AY$392)),INDIRECT(CONCATENATE("$L$"&amp;AY$391)),
IF($K394=INDIRECT(CONCATENATE("$K$"&amp;AY$392)),INDIRECT(CONCATENATE("$K$"&amp;AY$391)),
IF($K394=INDIRECT(CONCATENATE("$J$"&amp;AY$392)),INDIRECT(CONCATENATE("$J$"&amp;AY$391)),
IF($K394=INDIRECT(CONCATENATE("$I$"&amp;AY$392)),INDIRECT(CONCATENATE("$I$"&amp;AY$391)),
IF($K394=INDIRECT(CONCATENATE("$H$"&amp;AY$392)),INDIRECT(CONCATENATE("$H$"&amp;AY$391)),
IF($K394=INDIRECT(CONCATENATE("$G$"&amp;AY$392)),INDIRECT(CONCATENATE("$G$"&amp;AY$391)),
IF($K394=INDIRECT(CONCATENATE("$F$"&amp;AY$392)),INDIRECT(CONCATENATE("$F$"&amp;AY$391)),
IF($K394=INDIRECT(CONCATENATE("$E$"&amp;AY$392)),INDIRECT(CONCATENATE("$E$"&amp;AY$391)),
IF($K394=INDIRECT(CONCATENATE("$D$"&amp;AY$392)),INDIRECT(CONCATENATE("$D$"&amp;AY$391)),
IF($K394=INDIRECT(CONCATENATE("$C$"&amp;AY$392)),INDIRECT(CONCATENATE("$C$"&amp;AY$391)),"X")))))))))))))))))))))))))))))))</f>
        <v>X</v>
      </c>
      <c r="HL394" s="58" t="str">
        <f t="shared" ref="HL394:IA428" ca="1" si="1634">IF($K394=INDIRECT(CONCATENATE("$AG$"&amp;AZ$392)),INDIRECT(CONCATENATE("$AG$"&amp;AZ$391)),
IF($K394=INDIRECT(CONCATENATE("$AF$"&amp;AZ$392)),INDIRECT(CONCATENATE("$AF$"&amp;AZ$391)),
IF($K394=INDIRECT(CONCATENATE("$AE$"&amp;AZ$392)),INDIRECT(CONCATENATE("$AE$"&amp;AZ$391)),
IF($K394=INDIRECT(CONCATENATE("$AD$"&amp;AZ$392)),INDIRECT(CONCATENATE("$AD$"&amp;AZ$391)),
IF($K394=INDIRECT(CONCATENATE("$AC$"&amp;AZ$392)),INDIRECT(CONCATENATE("$AC$"&amp;AZ$391)),
IF($K394=INDIRECT(CONCATENATE("$AB$"&amp;AZ$392)),INDIRECT(CONCATENATE("$AB$"&amp;AZ$391)),
IF($K394=INDIRECT(CONCATENATE("$AA$"&amp;AZ$392)),INDIRECT(CONCATENATE("$AA$"&amp;AZ$391)),
IF($K394=INDIRECT(CONCATENATE("$Z$"&amp;AZ$392)),INDIRECT(CONCATENATE("$Z$"&amp;AZ$391)),
IF($K394=INDIRECT(CONCATENATE("$Y$"&amp;AZ$392)),INDIRECT(CONCATENATE("$Y$"&amp;AZ$391)),
IF($K394=INDIRECT(CONCATENATE("$X$"&amp;AZ$392)),INDIRECT(CONCATENATE("$X$"&amp;AZ$391)),
IF($K394=INDIRECT(CONCATENATE("$W$"&amp;AZ$392)),INDIRECT(CONCATENATE("$W$"&amp;AZ$391)),
IF($K394=INDIRECT(CONCATENATE("$V$"&amp;AZ$392)),INDIRECT(CONCATENATE("$V$"&amp;AZ$391)),
IF($K394=INDIRECT(CONCATENATE("$U$"&amp;AZ$392)),INDIRECT(CONCATENATE("$U$"&amp;AZ$391)),
IF($K394=INDIRECT(CONCATENATE("$T$"&amp;AZ$392)),INDIRECT(CONCATENATE("$T$"&amp;AZ$391)),
IF($K394=INDIRECT(CONCATENATE("$S$"&amp;AZ$392)),INDIRECT(CONCATENATE("$S$"&amp;AZ$391)),
IF($K394=INDIRECT(CONCATENATE("$R$"&amp;AZ$392)),INDIRECT(CONCATENATE("$R$"&amp;AZ$391)),
IF($K394=INDIRECT(CONCATENATE("$Q$"&amp;AZ$392)),INDIRECT(CONCATENATE("$Q$"&amp;AZ$391)),
IF($K394=INDIRECT(CONCATENATE("$P$"&amp;AZ$392)),INDIRECT(CONCATENATE("$P$"&amp;AZ$391)),
IF($K394=INDIRECT(CONCATENATE("$O$"&amp;AZ$392)),INDIRECT(CONCATENATE("$O$"&amp;AZ$391)),
IF($K394=INDIRECT(CONCATENATE("$N$"&amp;AZ$392)),INDIRECT(CONCATENATE("$N$"&amp;AZ$391)),
IF($K394=INDIRECT(CONCATENATE("$M$"&amp;AZ$392)),INDIRECT(CONCATENATE("$M$"&amp;AZ$391)),
IF($K394=INDIRECT(CONCATENATE("$L$"&amp;AZ$392)),INDIRECT(CONCATENATE("$L$"&amp;AZ$391)),
IF($K394=INDIRECT(CONCATENATE("$K$"&amp;AZ$392)),INDIRECT(CONCATENATE("$K$"&amp;AZ$391)),
IF($K394=INDIRECT(CONCATENATE("$J$"&amp;AZ$392)),INDIRECT(CONCATENATE("$J$"&amp;AZ$391)),
IF($K394=INDIRECT(CONCATENATE("$I$"&amp;AZ$392)),INDIRECT(CONCATENATE("$I$"&amp;AZ$391)),
IF($K394=INDIRECT(CONCATENATE("$H$"&amp;AZ$392)),INDIRECT(CONCATENATE("$H$"&amp;AZ$391)),
IF($K394=INDIRECT(CONCATENATE("$G$"&amp;AZ$392)),INDIRECT(CONCATENATE("$G$"&amp;AZ$391)),
IF($K394=INDIRECT(CONCATENATE("$F$"&amp;AZ$392)),INDIRECT(CONCATENATE("$F$"&amp;AZ$391)),
IF($K394=INDIRECT(CONCATENATE("$E$"&amp;AZ$392)),INDIRECT(CONCATENATE("$E$"&amp;AZ$391)),
IF($K394=INDIRECT(CONCATENATE("$D$"&amp;AZ$392)),INDIRECT(CONCATENATE("$D$"&amp;AZ$391)),
IF($K394=INDIRECT(CONCATENATE("$C$"&amp;AZ$392)),INDIRECT(CONCATENATE("$C$"&amp;AZ$391)),"X")))))))))))))))))))))))))))))))</f>
        <v>X</v>
      </c>
      <c r="HM394" s="58" t="str">
        <f t="shared" ref="HM394:HM428" ca="1" si="1635">IF($K394=INDIRECT(CONCATENATE("$AG$"&amp;BA$392)),INDIRECT(CONCATENATE("$AG$"&amp;BA$391)),
IF($K394=INDIRECT(CONCATENATE("$AF$"&amp;BA$392)),INDIRECT(CONCATENATE("$AF$"&amp;BA$391)),
IF($K394=INDIRECT(CONCATENATE("$AE$"&amp;BA$392)),INDIRECT(CONCATENATE("$AE$"&amp;BA$391)),
IF($K394=INDIRECT(CONCATENATE("$AD$"&amp;BA$392)),INDIRECT(CONCATENATE("$AD$"&amp;BA$391)),
IF($K394=INDIRECT(CONCATENATE("$AC$"&amp;BA$392)),INDIRECT(CONCATENATE("$AC$"&amp;BA$391)),
IF($K394=INDIRECT(CONCATENATE("$AB$"&amp;BA$392)),INDIRECT(CONCATENATE("$AB$"&amp;BA$391)),
IF($K394=INDIRECT(CONCATENATE("$AA$"&amp;BA$392)),INDIRECT(CONCATENATE("$AA$"&amp;BA$391)),
IF($K394=INDIRECT(CONCATENATE("$Z$"&amp;BA$392)),INDIRECT(CONCATENATE("$Z$"&amp;BA$391)),
IF($K394=INDIRECT(CONCATENATE("$Y$"&amp;BA$392)),INDIRECT(CONCATENATE("$Y$"&amp;BA$391)),
IF($K394=INDIRECT(CONCATENATE("$X$"&amp;BA$392)),INDIRECT(CONCATENATE("$X$"&amp;BA$391)),
IF($K394=INDIRECT(CONCATENATE("$W$"&amp;BA$392)),INDIRECT(CONCATENATE("$W$"&amp;BA$391)),
IF($K394=INDIRECT(CONCATENATE("$V$"&amp;BA$392)),INDIRECT(CONCATENATE("$V$"&amp;BA$391)),
IF($K394=INDIRECT(CONCATENATE("$U$"&amp;BA$392)),INDIRECT(CONCATENATE("$U$"&amp;BA$391)),
IF($K394=INDIRECT(CONCATENATE("$T$"&amp;BA$392)),INDIRECT(CONCATENATE("$T$"&amp;BA$391)),
IF($K394=INDIRECT(CONCATENATE("$S$"&amp;BA$392)),INDIRECT(CONCATENATE("$S$"&amp;BA$391)),
IF($K394=INDIRECT(CONCATENATE("$R$"&amp;BA$392)),INDIRECT(CONCATENATE("$R$"&amp;BA$391)),
IF($K394=INDIRECT(CONCATENATE("$Q$"&amp;BA$392)),INDIRECT(CONCATENATE("$Q$"&amp;BA$391)),
IF($K394=INDIRECT(CONCATENATE("$P$"&amp;BA$392)),INDIRECT(CONCATENATE("$P$"&amp;BA$391)),
IF($K394=INDIRECT(CONCATENATE("$O$"&amp;BA$392)),INDIRECT(CONCATENATE("$O$"&amp;BA$391)),
IF($K394=INDIRECT(CONCATENATE("$N$"&amp;BA$392)),INDIRECT(CONCATENATE("$N$"&amp;BA$391)),
IF($K394=INDIRECT(CONCATENATE("$M$"&amp;BA$392)),INDIRECT(CONCATENATE("$M$"&amp;BA$391)),
IF($K394=INDIRECT(CONCATENATE("$L$"&amp;BA$392)),INDIRECT(CONCATENATE("$L$"&amp;BA$391)),
IF($K394=INDIRECT(CONCATENATE("$K$"&amp;BA$392)),INDIRECT(CONCATENATE("$K$"&amp;BA$391)),
IF($K394=INDIRECT(CONCATENATE("$J$"&amp;BA$392)),INDIRECT(CONCATENATE("$J$"&amp;BA$391)),
IF($K394=INDIRECT(CONCATENATE("$I$"&amp;BA$392)),INDIRECT(CONCATENATE("$I$"&amp;BA$391)),
IF($K394=INDIRECT(CONCATENATE("$H$"&amp;BA$392)),INDIRECT(CONCATENATE("$H$"&amp;BA$391)),
IF($K394=INDIRECT(CONCATENATE("$G$"&amp;BA$392)),INDIRECT(CONCATENATE("$G$"&amp;BA$391)),
IF($K394=INDIRECT(CONCATENATE("$F$"&amp;BA$392)),INDIRECT(CONCATENATE("$F$"&amp;BA$391)),
IF($K394=INDIRECT(CONCATENATE("$E$"&amp;BA$392)),INDIRECT(CONCATENATE("$E$"&amp;BA$391)),
IF($K394=INDIRECT(CONCATENATE("$D$"&amp;BA$392)),INDIRECT(CONCATENATE("$D$"&amp;BA$391)),
IF($K394=INDIRECT(CONCATENATE("$C$"&amp;BA$392)),INDIRECT(CONCATENATE("$C$"&amp;BA$391)),"X")))))))))))))))))))))))))))))))</f>
        <v>X</v>
      </c>
      <c r="HN394" s="58" t="str">
        <f t="shared" ref="HN394:HN428" ca="1" si="1636">IF($K394=INDIRECT(CONCATENATE("$AG$"&amp;BB$392)),INDIRECT(CONCATENATE("$AG$"&amp;BB$391)),
IF($K394=INDIRECT(CONCATENATE("$AF$"&amp;BB$392)),INDIRECT(CONCATENATE("$AF$"&amp;BB$391)),
IF($K394=INDIRECT(CONCATENATE("$AE$"&amp;BB$392)),INDIRECT(CONCATENATE("$AE$"&amp;BB$391)),
IF($K394=INDIRECT(CONCATENATE("$AD$"&amp;BB$392)),INDIRECT(CONCATENATE("$AD$"&amp;BB$391)),
IF($K394=INDIRECT(CONCATENATE("$AC$"&amp;BB$392)),INDIRECT(CONCATENATE("$AC$"&amp;BB$391)),
IF($K394=INDIRECT(CONCATENATE("$AB$"&amp;BB$392)),INDIRECT(CONCATENATE("$AB$"&amp;BB$391)),
IF($K394=INDIRECT(CONCATENATE("$AA$"&amp;BB$392)),INDIRECT(CONCATENATE("$AA$"&amp;BB$391)),
IF($K394=INDIRECT(CONCATENATE("$Z$"&amp;BB$392)),INDIRECT(CONCATENATE("$Z$"&amp;BB$391)),
IF($K394=INDIRECT(CONCATENATE("$Y$"&amp;BB$392)),INDIRECT(CONCATENATE("$Y$"&amp;BB$391)),
IF($K394=INDIRECT(CONCATENATE("$X$"&amp;BB$392)),INDIRECT(CONCATENATE("$X$"&amp;BB$391)),
IF($K394=INDIRECT(CONCATENATE("$W$"&amp;BB$392)),INDIRECT(CONCATENATE("$W$"&amp;BB$391)),
IF($K394=INDIRECT(CONCATENATE("$V$"&amp;BB$392)),INDIRECT(CONCATENATE("$V$"&amp;BB$391)),
IF($K394=INDIRECT(CONCATENATE("$U$"&amp;BB$392)),INDIRECT(CONCATENATE("$U$"&amp;BB$391)),
IF($K394=INDIRECT(CONCATENATE("$T$"&amp;BB$392)),INDIRECT(CONCATENATE("$T$"&amp;BB$391)),
IF($K394=INDIRECT(CONCATENATE("$S$"&amp;BB$392)),INDIRECT(CONCATENATE("$S$"&amp;BB$391)),
IF($K394=INDIRECT(CONCATENATE("$R$"&amp;BB$392)),INDIRECT(CONCATENATE("$R$"&amp;BB$391)),
IF($K394=INDIRECT(CONCATENATE("$Q$"&amp;BB$392)),INDIRECT(CONCATENATE("$Q$"&amp;BB$391)),
IF($K394=INDIRECT(CONCATENATE("$P$"&amp;BB$392)),INDIRECT(CONCATENATE("$P$"&amp;BB$391)),
IF($K394=INDIRECT(CONCATENATE("$O$"&amp;BB$392)),INDIRECT(CONCATENATE("$O$"&amp;BB$391)),
IF($K394=INDIRECT(CONCATENATE("$N$"&amp;BB$392)),INDIRECT(CONCATENATE("$N$"&amp;BB$391)),
IF($K394=INDIRECT(CONCATENATE("$M$"&amp;BB$392)),INDIRECT(CONCATENATE("$M$"&amp;BB$391)),
IF($K394=INDIRECT(CONCATENATE("$L$"&amp;BB$392)),INDIRECT(CONCATENATE("$L$"&amp;BB$391)),
IF($K394=INDIRECT(CONCATENATE("$K$"&amp;BB$392)),INDIRECT(CONCATENATE("$K$"&amp;BB$391)),
IF($K394=INDIRECT(CONCATENATE("$J$"&amp;BB$392)),INDIRECT(CONCATENATE("$J$"&amp;BB$391)),
IF($K394=INDIRECT(CONCATENATE("$I$"&amp;BB$392)),INDIRECT(CONCATENATE("$I$"&amp;BB$391)),
IF($K394=INDIRECT(CONCATENATE("$H$"&amp;BB$392)),INDIRECT(CONCATENATE("$H$"&amp;BB$391)),
IF($K394=INDIRECT(CONCATENATE("$G$"&amp;BB$392)),INDIRECT(CONCATENATE("$G$"&amp;BB$391)),
IF($K394=INDIRECT(CONCATENATE("$F$"&amp;BB$392)),INDIRECT(CONCATENATE("$F$"&amp;BB$391)),
IF($K394=INDIRECT(CONCATENATE("$E$"&amp;BB$392)),INDIRECT(CONCATENATE("$E$"&amp;BB$391)),
IF($K394=INDIRECT(CONCATENATE("$D$"&amp;BB$392)),INDIRECT(CONCATENATE("$D$"&amp;BB$391)),
IF($K394=INDIRECT(CONCATENATE("$C$"&amp;BB$392)),INDIRECT(CONCATENATE("$C$"&amp;BB$391)),"X")))))))))))))))))))))))))))))))</f>
        <v>X</v>
      </c>
      <c r="HO394" s="58" t="str">
        <f t="shared" ref="HO394:HO428" ca="1" si="1637">IF($K394=INDIRECT(CONCATENATE("$AG$"&amp;BC$392)),INDIRECT(CONCATENATE("$AG$"&amp;BC$391)),
IF($K394=INDIRECT(CONCATENATE("$AF$"&amp;BC$392)),INDIRECT(CONCATENATE("$AF$"&amp;BC$391)),
IF($K394=INDIRECT(CONCATENATE("$AE$"&amp;BC$392)),INDIRECT(CONCATENATE("$AE$"&amp;BC$391)),
IF($K394=INDIRECT(CONCATENATE("$AD$"&amp;BC$392)),INDIRECT(CONCATENATE("$AD$"&amp;BC$391)),
IF($K394=INDIRECT(CONCATENATE("$AC$"&amp;BC$392)),INDIRECT(CONCATENATE("$AC$"&amp;BC$391)),
IF($K394=INDIRECT(CONCATENATE("$AB$"&amp;BC$392)),INDIRECT(CONCATENATE("$AB$"&amp;BC$391)),
IF($K394=INDIRECT(CONCATENATE("$AA$"&amp;BC$392)),INDIRECT(CONCATENATE("$AA$"&amp;BC$391)),
IF($K394=INDIRECT(CONCATENATE("$Z$"&amp;BC$392)),INDIRECT(CONCATENATE("$Z$"&amp;BC$391)),
IF($K394=INDIRECT(CONCATENATE("$Y$"&amp;BC$392)),INDIRECT(CONCATENATE("$Y$"&amp;BC$391)),
IF($K394=INDIRECT(CONCATENATE("$X$"&amp;BC$392)),INDIRECT(CONCATENATE("$X$"&amp;BC$391)),
IF($K394=INDIRECT(CONCATENATE("$W$"&amp;BC$392)),INDIRECT(CONCATENATE("$W$"&amp;BC$391)),
IF($K394=INDIRECT(CONCATENATE("$V$"&amp;BC$392)),INDIRECT(CONCATENATE("$V$"&amp;BC$391)),
IF($K394=INDIRECT(CONCATENATE("$U$"&amp;BC$392)),INDIRECT(CONCATENATE("$U$"&amp;BC$391)),
IF($K394=INDIRECT(CONCATENATE("$T$"&amp;BC$392)),INDIRECT(CONCATENATE("$T$"&amp;BC$391)),
IF($K394=INDIRECT(CONCATENATE("$S$"&amp;BC$392)),INDIRECT(CONCATENATE("$S$"&amp;BC$391)),
IF($K394=INDIRECT(CONCATENATE("$R$"&amp;BC$392)),INDIRECT(CONCATENATE("$R$"&amp;BC$391)),
IF($K394=INDIRECT(CONCATENATE("$Q$"&amp;BC$392)),INDIRECT(CONCATENATE("$Q$"&amp;BC$391)),
IF($K394=INDIRECT(CONCATENATE("$P$"&amp;BC$392)),INDIRECT(CONCATENATE("$P$"&amp;BC$391)),
IF($K394=INDIRECT(CONCATENATE("$O$"&amp;BC$392)),INDIRECT(CONCATENATE("$O$"&amp;BC$391)),
IF($K394=INDIRECT(CONCATENATE("$N$"&amp;BC$392)),INDIRECT(CONCATENATE("$N$"&amp;BC$391)),
IF($K394=INDIRECT(CONCATENATE("$M$"&amp;BC$392)),INDIRECT(CONCATENATE("$M$"&amp;BC$391)),
IF($K394=INDIRECT(CONCATENATE("$L$"&amp;BC$392)),INDIRECT(CONCATENATE("$L$"&amp;BC$391)),
IF($K394=INDIRECT(CONCATENATE("$K$"&amp;BC$392)),INDIRECT(CONCATENATE("$K$"&amp;BC$391)),
IF($K394=INDIRECT(CONCATENATE("$J$"&amp;BC$392)),INDIRECT(CONCATENATE("$J$"&amp;BC$391)),
IF($K394=INDIRECT(CONCATENATE("$I$"&amp;BC$392)),INDIRECT(CONCATENATE("$I$"&amp;BC$391)),
IF($K394=INDIRECT(CONCATENATE("$H$"&amp;BC$392)),INDIRECT(CONCATENATE("$H$"&amp;BC$391)),
IF($K394=INDIRECT(CONCATENATE("$G$"&amp;BC$392)),INDIRECT(CONCATENATE("$G$"&amp;BC$391)),
IF($K394=INDIRECT(CONCATENATE("$F$"&amp;BC$392)),INDIRECT(CONCATENATE("$F$"&amp;BC$391)),
IF($K394=INDIRECT(CONCATENATE("$E$"&amp;BC$392)),INDIRECT(CONCATENATE("$E$"&amp;BC$391)),
IF($K394=INDIRECT(CONCATENATE("$D$"&amp;BC$392)),INDIRECT(CONCATENATE("$D$"&amp;BC$391)),
IF($K394=INDIRECT(CONCATENATE("$C$"&amp;BC$392)),INDIRECT(CONCATENATE("$C$"&amp;BC$391)),"X")))))))))))))))))))))))))))))))</f>
        <v>X</v>
      </c>
      <c r="HP394" s="58" t="str">
        <f t="shared" ref="HP394:HP428" ca="1" si="1638">IF($K394=INDIRECT(CONCATENATE("$AG$"&amp;BD$392)),INDIRECT(CONCATENATE("$AG$"&amp;BD$391)),
IF($K394=INDIRECT(CONCATENATE("$AF$"&amp;BD$392)),INDIRECT(CONCATENATE("$AF$"&amp;BD$391)),
IF($K394=INDIRECT(CONCATENATE("$AE$"&amp;BD$392)),INDIRECT(CONCATENATE("$AE$"&amp;BD$391)),
IF($K394=INDIRECT(CONCATENATE("$AD$"&amp;BD$392)),INDIRECT(CONCATENATE("$AD$"&amp;BD$391)),
IF($K394=INDIRECT(CONCATENATE("$AC$"&amp;BD$392)),INDIRECT(CONCATENATE("$AC$"&amp;BD$391)),
IF($K394=INDIRECT(CONCATENATE("$AB$"&amp;BD$392)),INDIRECT(CONCATENATE("$AB$"&amp;BD$391)),
IF($K394=INDIRECT(CONCATENATE("$AA$"&amp;BD$392)),INDIRECT(CONCATENATE("$AA$"&amp;BD$391)),
IF($K394=INDIRECT(CONCATENATE("$Z$"&amp;BD$392)),INDIRECT(CONCATENATE("$Z$"&amp;BD$391)),
IF($K394=INDIRECT(CONCATENATE("$Y$"&amp;BD$392)),INDIRECT(CONCATENATE("$Y$"&amp;BD$391)),
IF($K394=INDIRECT(CONCATENATE("$X$"&amp;BD$392)),INDIRECT(CONCATENATE("$X$"&amp;BD$391)),
IF($K394=INDIRECT(CONCATENATE("$W$"&amp;BD$392)),INDIRECT(CONCATENATE("$W$"&amp;BD$391)),
IF($K394=INDIRECT(CONCATENATE("$V$"&amp;BD$392)),INDIRECT(CONCATENATE("$V$"&amp;BD$391)),
IF($K394=INDIRECT(CONCATENATE("$U$"&amp;BD$392)),INDIRECT(CONCATENATE("$U$"&amp;BD$391)),
IF($K394=INDIRECT(CONCATENATE("$T$"&amp;BD$392)),INDIRECT(CONCATENATE("$T$"&amp;BD$391)),
IF($K394=INDIRECT(CONCATENATE("$S$"&amp;BD$392)),INDIRECT(CONCATENATE("$S$"&amp;BD$391)),
IF($K394=INDIRECT(CONCATENATE("$R$"&amp;BD$392)),INDIRECT(CONCATENATE("$R$"&amp;BD$391)),
IF($K394=INDIRECT(CONCATENATE("$Q$"&amp;BD$392)),INDIRECT(CONCATENATE("$Q$"&amp;BD$391)),
IF($K394=INDIRECT(CONCATENATE("$P$"&amp;BD$392)),INDIRECT(CONCATENATE("$P$"&amp;BD$391)),
IF($K394=INDIRECT(CONCATENATE("$O$"&amp;BD$392)),INDIRECT(CONCATENATE("$O$"&amp;BD$391)),
IF($K394=INDIRECT(CONCATENATE("$N$"&amp;BD$392)),INDIRECT(CONCATENATE("$N$"&amp;BD$391)),
IF($K394=INDIRECT(CONCATENATE("$M$"&amp;BD$392)),INDIRECT(CONCATENATE("$M$"&amp;BD$391)),
IF($K394=INDIRECT(CONCATENATE("$L$"&amp;BD$392)),INDIRECT(CONCATENATE("$L$"&amp;BD$391)),
IF($K394=INDIRECT(CONCATENATE("$K$"&amp;BD$392)),INDIRECT(CONCATENATE("$K$"&amp;BD$391)),
IF($K394=INDIRECT(CONCATENATE("$J$"&amp;BD$392)),INDIRECT(CONCATENATE("$J$"&amp;BD$391)),
IF($K394=INDIRECT(CONCATENATE("$I$"&amp;BD$392)),INDIRECT(CONCATENATE("$I$"&amp;BD$391)),
IF($K394=INDIRECT(CONCATENATE("$H$"&amp;BD$392)),INDIRECT(CONCATENATE("$H$"&amp;BD$391)),
IF($K394=INDIRECT(CONCATENATE("$G$"&amp;BD$392)),INDIRECT(CONCATENATE("$G$"&amp;BD$391)),
IF($K394=INDIRECT(CONCATENATE("$F$"&amp;BD$392)),INDIRECT(CONCATENATE("$F$"&amp;BD$391)),
IF($K394=INDIRECT(CONCATENATE("$E$"&amp;BD$392)),INDIRECT(CONCATENATE("$E$"&amp;BD$391)),
IF($K394=INDIRECT(CONCATENATE("$D$"&amp;BD$392)),INDIRECT(CONCATENATE("$D$"&amp;BD$391)),
IF($K394=INDIRECT(CONCATENATE("$C$"&amp;BD$392)),INDIRECT(CONCATENATE("$C$"&amp;BD$391)),"X")))))))))))))))))))))))))))))))</f>
        <v>X</v>
      </c>
      <c r="HQ394" s="58" t="str">
        <f t="shared" ref="HQ394:HQ428" ca="1" si="1639">IF($K394=INDIRECT(CONCATENATE("$AG$"&amp;BE$392)),INDIRECT(CONCATENATE("$AG$"&amp;BE$391)),
IF($K394=INDIRECT(CONCATENATE("$AF$"&amp;BE$392)),INDIRECT(CONCATENATE("$AF$"&amp;BE$391)),
IF($K394=INDIRECT(CONCATENATE("$AE$"&amp;BE$392)),INDIRECT(CONCATENATE("$AE$"&amp;BE$391)),
IF($K394=INDIRECT(CONCATENATE("$AD$"&amp;BE$392)),INDIRECT(CONCATENATE("$AD$"&amp;BE$391)),
IF($K394=INDIRECT(CONCATENATE("$AC$"&amp;BE$392)),INDIRECT(CONCATENATE("$AC$"&amp;BE$391)),
IF($K394=INDIRECT(CONCATENATE("$AB$"&amp;BE$392)),INDIRECT(CONCATENATE("$AB$"&amp;BE$391)),
IF($K394=INDIRECT(CONCATENATE("$AA$"&amp;BE$392)),INDIRECT(CONCATENATE("$AA$"&amp;BE$391)),
IF($K394=INDIRECT(CONCATENATE("$Z$"&amp;BE$392)),INDIRECT(CONCATENATE("$Z$"&amp;BE$391)),
IF($K394=INDIRECT(CONCATENATE("$Y$"&amp;BE$392)),INDIRECT(CONCATENATE("$Y$"&amp;BE$391)),
IF($K394=INDIRECT(CONCATENATE("$X$"&amp;BE$392)),INDIRECT(CONCATENATE("$X$"&amp;BE$391)),
IF($K394=INDIRECT(CONCATENATE("$W$"&amp;BE$392)),INDIRECT(CONCATENATE("$W$"&amp;BE$391)),
IF($K394=INDIRECT(CONCATENATE("$V$"&amp;BE$392)),INDIRECT(CONCATENATE("$V$"&amp;BE$391)),
IF($K394=INDIRECT(CONCATENATE("$U$"&amp;BE$392)),INDIRECT(CONCATENATE("$U$"&amp;BE$391)),
IF($K394=INDIRECT(CONCATENATE("$T$"&amp;BE$392)),INDIRECT(CONCATENATE("$T$"&amp;BE$391)),
IF($K394=INDIRECT(CONCATENATE("$S$"&amp;BE$392)),INDIRECT(CONCATENATE("$S$"&amp;BE$391)),
IF($K394=INDIRECT(CONCATENATE("$R$"&amp;BE$392)),INDIRECT(CONCATENATE("$R$"&amp;BE$391)),
IF($K394=INDIRECT(CONCATENATE("$Q$"&amp;BE$392)),INDIRECT(CONCATENATE("$Q$"&amp;BE$391)),
IF($K394=INDIRECT(CONCATENATE("$P$"&amp;BE$392)),INDIRECT(CONCATENATE("$P$"&amp;BE$391)),
IF($K394=INDIRECT(CONCATENATE("$O$"&amp;BE$392)),INDIRECT(CONCATENATE("$O$"&amp;BE$391)),
IF($K394=INDIRECT(CONCATENATE("$N$"&amp;BE$392)),INDIRECT(CONCATENATE("$N$"&amp;BE$391)),
IF($K394=INDIRECT(CONCATENATE("$M$"&amp;BE$392)),INDIRECT(CONCATENATE("$M$"&amp;BE$391)),
IF($K394=INDIRECT(CONCATENATE("$L$"&amp;BE$392)),INDIRECT(CONCATENATE("$L$"&amp;BE$391)),
IF($K394=INDIRECT(CONCATENATE("$K$"&amp;BE$392)),INDIRECT(CONCATENATE("$K$"&amp;BE$391)),
IF($K394=INDIRECT(CONCATENATE("$J$"&amp;BE$392)),INDIRECT(CONCATENATE("$J$"&amp;BE$391)),
IF($K394=INDIRECT(CONCATENATE("$I$"&amp;BE$392)),INDIRECT(CONCATENATE("$I$"&amp;BE$391)),
IF($K394=INDIRECT(CONCATENATE("$H$"&amp;BE$392)),INDIRECT(CONCATENATE("$H$"&amp;BE$391)),
IF($K394=INDIRECT(CONCATENATE("$G$"&amp;BE$392)),INDIRECT(CONCATENATE("$G$"&amp;BE$391)),
IF($K394=INDIRECT(CONCATENATE("$F$"&amp;BE$392)),INDIRECT(CONCATENATE("$F$"&amp;BE$391)),
IF($K394=INDIRECT(CONCATENATE("$E$"&amp;BE$392)),INDIRECT(CONCATENATE("$E$"&amp;BE$391)),
IF($K394=INDIRECT(CONCATENATE("$D$"&amp;BE$392)),INDIRECT(CONCATENATE("$D$"&amp;BE$391)),
IF($K394=INDIRECT(CONCATENATE("$C$"&amp;BE$392)),INDIRECT(CONCATENATE("$C$"&amp;BE$391)),"X")))))))))))))))))))))))))))))))</f>
        <v>X</v>
      </c>
      <c r="HR394" s="58" t="str">
        <f t="shared" ref="HR394:HR428" ca="1" si="1640">IF($K394=INDIRECT(CONCATENATE("$AG$"&amp;BF$392)),INDIRECT(CONCATENATE("$AG$"&amp;BF$391)),
IF($K394=INDIRECT(CONCATENATE("$AF$"&amp;BF$392)),INDIRECT(CONCATENATE("$AF$"&amp;BF$391)),
IF($K394=INDIRECT(CONCATENATE("$AE$"&amp;BF$392)),INDIRECT(CONCATENATE("$AE$"&amp;BF$391)),
IF($K394=INDIRECT(CONCATENATE("$AD$"&amp;BF$392)),INDIRECT(CONCATENATE("$AD$"&amp;BF$391)),
IF($K394=INDIRECT(CONCATENATE("$AC$"&amp;BF$392)),INDIRECT(CONCATENATE("$AC$"&amp;BF$391)),
IF($K394=INDIRECT(CONCATENATE("$AB$"&amp;BF$392)),INDIRECT(CONCATENATE("$AB$"&amp;BF$391)),
IF($K394=INDIRECT(CONCATENATE("$AA$"&amp;BF$392)),INDIRECT(CONCATENATE("$AA$"&amp;BF$391)),
IF($K394=INDIRECT(CONCATENATE("$Z$"&amp;BF$392)),INDIRECT(CONCATENATE("$Z$"&amp;BF$391)),
IF($K394=INDIRECT(CONCATENATE("$Y$"&amp;BF$392)),INDIRECT(CONCATENATE("$Y$"&amp;BF$391)),
IF($K394=INDIRECT(CONCATENATE("$X$"&amp;BF$392)),INDIRECT(CONCATENATE("$X$"&amp;BF$391)),
IF($K394=INDIRECT(CONCATENATE("$W$"&amp;BF$392)),INDIRECT(CONCATENATE("$W$"&amp;BF$391)),
IF($K394=INDIRECT(CONCATENATE("$V$"&amp;BF$392)),INDIRECT(CONCATENATE("$V$"&amp;BF$391)),
IF($K394=INDIRECT(CONCATENATE("$U$"&amp;BF$392)),INDIRECT(CONCATENATE("$U$"&amp;BF$391)),
IF($K394=INDIRECT(CONCATENATE("$T$"&amp;BF$392)),INDIRECT(CONCATENATE("$T$"&amp;BF$391)),
IF($K394=INDIRECT(CONCATENATE("$S$"&amp;BF$392)),INDIRECT(CONCATENATE("$S$"&amp;BF$391)),
IF($K394=INDIRECT(CONCATENATE("$R$"&amp;BF$392)),INDIRECT(CONCATENATE("$R$"&amp;BF$391)),
IF($K394=INDIRECT(CONCATENATE("$Q$"&amp;BF$392)),INDIRECT(CONCATENATE("$Q$"&amp;BF$391)),
IF($K394=INDIRECT(CONCATENATE("$P$"&amp;BF$392)),INDIRECT(CONCATENATE("$P$"&amp;BF$391)),
IF($K394=INDIRECT(CONCATENATE("$O$"&amp;BF$392)),INDIRECT(CONCATENATE("$O$"&amp;BF$391)),
IF($K394=INDIRECT(CONCATENATE("$N$"&amp;BF$392)),INDIRECT(CONCATENATE("$N$"&amp;BF$391)),
IF($K394=INDIRECT(CONCATENATE("$M$"&amp;BF$392)),INDIRECT(CONCATENATE("$M$"&amp;BF$391)),
IF($K394=INDIRECT(CONCATENATE("$L$"&amp;BF$392)),INDIRECT(CONCATENATE("$L$"&amp;BF$391)),
IF($K394=INDIRECT(CONCATENATE("$K$"&amp;BF$392)),INDIRECT(CONCATENATE("$K$"&amp;BF$391)),
IF($K394=INDIRECT(CONCATENATE("$J$"&amp;BF$392)),INDIRECT(CONCATENATE("$J$"&amp;BF$391)),
IF($K394=INDIRECT(CONCATENATE("$I$"&amp;BF$392)),INDIRECT(CONCATENATE("$I$"&amp;BF$391)),
IF($K394=INDIRECT(CONCATENATE("$H$"&amp;BF$392)),INDIRECT(CONCATENATE("$H$"&amp;BF$391)),
IF($K394=INDIRECT(CONCATENATE("$G$"&amp;BF$392)),INDIRECT(CONCATENATE("$G$"&amp;BF$391)),
IF($K394=INDIRECT(CONCATENATE("$F$"&amp;BF$392)),INDIRECT(CONCATENATE("$F$"&amp;BF$391)),
IF($K394=INDIRECT(CONCATENATE("$E$"&amp;BF$392)),INDIRECT(CONCATENATE("$E$"&amp;BF$391)),
IF($K394=INDIRECT(CONCATENATE("$D$"&amp;BF$392)),INDIRECT(CONCATENATE("$D$"&amp;BF$391)),
IF($K394=INDIRECT(CONCATENATE("$C$"&amp;BF$392)),INDIRECT(CONCATENATE("$C$"&amp;BF$391)),"X")))))))))))))))))))))))))))))))</f>
        <v>X</v>
      </c>
      <c r="HS394" s="58" t="str">
        <f t="shared" ref="HS394:HS428" ca="1" si="1641">IF($K394=INDIRECT(CONCATENATE("$AG$"&amp;BG$392)),INDIRECT(CONCATENATE("$AG$"&amp;BG$391)),
IF($K394=INDIRECT(CONCATENATE("$AF$"&amp;BG$392)),INDIRECT(CONCATENATE("$AF$"&amp;BG$391)),
IF($K394=INDIRECT(CONCATENATE("$AE$"&amp;BG$392)),INDIRECT(CONCATENATE("$AE$"&amp;BG$391)),
IF($K394=INDIRECT(CONCATENATE("$AD$"&amp;BG$392)),INDIRECT(CONCATENATE("$AD$"&amp;BG$391)),
IF($K394=INDIRECT(CONCATENATE("$AC$"&amp;BG$392)),INDIRECT(CONCATENATE("$AC$"&amp;BG$391)),
IF($K394=INDIRECT(CONCATENATE("$AB$"&amp;BG$392)),INDIRECT(CONCATENATE("$AB$"&amp;BG$391)),
IF($K394=INDIRECT(CONCATENATE("$AA$"&amp;BG$392)),INDIRECT(CONCATENATE("$AA$"&amp;BG$391)),
IF($K394=INDIRECT(CONCATENATE("$Z$"&amp;BG$392)),INDIRECT(CONCATENATE("$Z$"&amp;BG$391)),
IF($K394=INDIRECT(CONCATENATE("$Y$"&amp;BG$392)),INDIRECT(CONCATENATE("$Y$"&amp;BG$391)),
IF($K394=INDIRECT(CONCATENATE("$X$"&amp;BG$392)),INDIRECT(CONCATENATE("$X$"&amp;BG$391)),
IF($K394=INDIRECT(CONCATENATE("$W$"&amp;BG$392)),INDIRECT(CONCATENATE("$W$"&amp;BG$391)),
IF($K394=INDIRECT(CONCATENATE("$V$"&amp;BG$392)),INDIRECT(CONCATENATE("$V$"&amp;BG$391)),
IF($K394=INDIRECT(CONCATENATE("$U$"&amp;BG$392)),INDIRECT(CONCATENATE("$U$"&amp;BG$391)),
IF($K394=INDIRECT(CONCATENATE("$T$"&amp;BG$392)),INDIRECT(CONCATENATE("$T$"&amp;BG$391)),
IF($K394=INDIRECT(CONCATENATE("$S$"&amp;BG$392)),INDIRECT(CONCATENATE("$S$"&amp;BG$391)),
IF($K394=INDIRECT(CONCATENATE("$R$"&amp;BG$392)),INDIRECT(CONCATENATE("$R$"&amp;BG$391)),
IF($K394=INDIRECT(CONCATENATE("$Q$"&amp;BG$392)),INDIRECT(CONCATENATE("$Q$"&amp;BG$391)),
IF($K394=INDIRECT(CONCATENATE("$P$"&amp;BG$392)),INDIRECT(CONCATENATE("$P$"&amp;BG$391)),
IF($K394=INDIRECT(CONCATENATE("$O$"&amp;BG$392)),INDIRECT(CONCATENATE("$O$"&amp;BG$391)),
IF($K394=INDIRECT(CONCATENATE("$N$"&amp;BG$392)),INDIRECT(CONCATENATE("$N$"&amp;BG$391)),
IF($K394=INDIRECT(CONCATENATE("$M$"&amp;BG$392)),INDIRECT(CONCATENATE("$M$"&amp;BG$391)),
IF($K394=INDIRECT(CONCATENATE("$L$"&amp;BG$392)),INDIRECT(CONCATENATE("$L$"&amp;BG$391)),
IF($K394=INDIRECT(CONCATENATE("$K$"&amp;BG$392)),INDIRECT(CONCATENATE("$K$"&amp;BG$391)),
IF($K394=INDIRECT(CONCATENATE("$J$"&amp;BG$392)),INDIRECT(CONCATENATE("$J$"&amp;BG$391)),
IF($K394=INDIRECT(CONCATENATE("$I$"&amp;BG$392)),INDIRECT(CONCATENATE("$I$"&amp;BG$391)),
IF($K394=INDIRECT(CONCATENATE("$H$"&amp;BG$392)),INDIRECT(CONCATENATE("$H$"&amp;BG$391)),
IF($K394=INDIRECT(CONCATENATE("$G$"&amp;BG$392)),INDIRECT(CONCATENATE("$G$"&amp;BG$391)),
IF($K394=INDIRECT(CONCATENATE("$F$"&amp;BG$392)),INDIRECT(CONCATENATE("$F$"&amp;BG$391)),
IF($K394=INDIRECT(CONCATENATE("$E$"&amp;BG$392)),INDIRECT(CONCATENATE("$E$"&amp;BG$391)),
IF($K394=INDIRECT(CONCATENATE("$D$"&amp;BG$392)),INDIRECT(CONCATENATE("$D$"&amp;BG$391)),
IF($K394=INDIRECT(CONCATENATE("$C$"&amp;BG$392)),INDIRECT(CONCATENATE("$C$"&amp;BG$391)),"X")))))))))))))))))))))))))))))))</f>
        <v>X</v>
      </c>
      <c r="HT394" s="58" t="str">
        <f t="shared" ref="HT394:HT428" ca="1" si="1642">IF($K394=INDIRECT(CONCATENATE("$AG$"&amp;BH$392)),INDIRECT(CONCATENATE("$AG$"&amp;BH$391)),
IF($K394=INDIRECT(CONCATENATE("$AF$"&amp;BH$392)),INDIRECT(CONCATENATE("$AF$"&amp;BH$391)),
IF($K394=INDIRECT(CONCATENATE("$AE$"&amp;BH$392)),INDIRECT(CONCATENATE("$AE$"&amp;BH$391)),
IF($K394=INDIRECT(CONCATENATE("$AD$"&amp;BH$392)),INDIRECT(CONCATENATE("$AD$"&amp;BH$391)),
IF($K394=INDIRECT(CONCATENATE("$AC$"&amp;BH$392)),INDIRECT(CONCATENATE("$AC$"&amp;BH$391)),
IF($K394=INDIRECT(CONCATENATE("$AB$"&amp;BH$392)),INDIRECT(CONCATENATE("$AB$"&amp;BH$391)),
IF($K394=INDIRECT(CONCATENATE("$AA$"&amp;BH$392)),INDIRECT(CONCATENATE("$AA$"&amp;BH$391)),
IF($K394=INDIRECT(CONCATENATE("$Z$"&amp;BH$392)),INDIRECT(CONCATENATE("$Z$"&amp;BH$391)),
IF($K394=INDIRECT(CONCATENATE("$Y$"&amp;BH$392)),INDIRECT(CONCATENATE("$Y$"&amp;BH$391)),
IF($K394=INDIRECT(CONCATENATE("$X$"&amp;BH$392)),INDIRECT(CONCATENATE("$X$"&amp;BH$391)),
IF($K394=INDIRECT(CONCATENATE("$W$"&amp;BH$392)),INDIRECT(CONCATENATE("$W$"&amp;BH$391)),
IF($K394=INDIRECT(CONCATENATE("$V$"&amp;BH$392)),INDIRECT(CONCATENATE("$V$"&amp;BH$391)),
IF($K394=INDIRECT(CONCATENATE("$U$"&amp;BH$392)),INDIRECT(CONCATENATE("$U$"&amp;BH$391)),
IF($K394=INDIRECT(CONCATENATE("$T$"&amp;BH$392)),INDIRECT(CONCATENATE("$T$"&amp;BH$391)),
IF($K394=INDIRECT(CONCATENATE("$S$"&amp;BH$392)),INDIRECT(CONCATENATE("$S$"&amp;BH$391)),
IF($K394=INDIRECT(CONCATENATE("$R$"&amp;BH$392)),INDIRECT(CONCATENATE("$R$"&amp;BH$391)),
IF($K394=INDIRECT(CONCATENATE("$Q$"&amp;BH$392)),INDIRECT(CONCATENATE("$Q$"&amp;BH$391)),
IF($K394=INDIRECT(CONCATENATE("$P$"&amp;BH$392)),INDIRECT(CONCATENATE("$P$"&amp;BH$391)),
IF($K394=INDIRECT(CONCATENATE("$O$"&amp;BH$392)),INDIRECT(CONCATENATE("$O$"&amp;BH$391)),
IF($K394=INDIRECT(CONCATENATE("$N$"&amp;BH$392)),INDIRECT(CONCATENATE("$N$"&amp;BH$391)),
IF($K394=INDIRECT(CONCATENATE("$M$"&amp;BH$392)),INDIRECT(CONCATENATE("$M$"&amp;BH$391)),
IF($K394=INDIRECT(CONCATENATE("$L$"&amp;BH$392)),INDIRECT(CONCATENATE("$L$"&amp;BH$391)),
IF($K394=INDIRECT(CONCATENATE("$K$"&amp;BH$392)),INDIRECT(CONCATENATE("$K$"&amp;BH$391)),
IF($K394=INDIRECT(CONCATENATE("$J$"&amp;BH$392)),INDIRECT(CONCATENATE("$J$"&amp;BH$391)),
IF($K394=INDIRECT(CONCATENATE("$I$"&amp;BH$392)),INDIRECT(CONCATENATE("$I$"&amp;BH$391)),
IF($K394=INDIRECT(CONCATENATE("$H$"&amp;BH$392)),INDIRECT(CONCATENATE("$H$"&amp;BH$391)),
IF($K394=INDIRECT(CONCATENATE("$G$"&amp;BH$392)),INDIRECT(CONCATENATE("$G$"&amp;BH$391)),
IF($K394=INDIRECT(CONCATENATE("$F$"&amp;BH$392)),INDIRECT(CONCATENATE("$F$"&amp;BH$391)),
IF($K394=INDIRECT(CONCATENATE("$E$"&amp;BH$392)),INDIRECT(CONCATENATE("$E$"&amp;BH$391)),
IF($K394=INDIRECT(CONCATENATE("$D$"&amp;BH$392)),INDIRECT(CONCATENATE("$D$"&amp;BH$391)),
IF($K394=INDIRECT(CONCATENATE("$C$"&amp;BH$392)),INDIRECT(CONCATENATE("$C$"&amp;BH$391)),"X")))))))))))))))))))))))))))))))</f>
        <v>X</v>
      </c>
      <c r="HU394" s="58" t="str">
        <f t="shared" ref="HU394:HU428" ca="1" si="1643">IF($K394=INDIRECT(CONCATENATE("$AG$"&amp;BI$392)),INDIRECT(CONCATENATE("$AG$"&amp;BI$391)),
IF($K394=INDIRECT(CONCATENATE("$AF$"&amp;BI$392)),INDIRECT(CONCATENATE("$AF$"&amp;BI$391)),
IF($K394=INDIRECT(CONCATENATE("$AE$"&amp;BI$392)),INDIRECT(CONCATENATE("$AE$"&amp;BI$391)),
IF($K394=INDIRECT(CONCATENATE("$AD$"&amp;BI$392)),INDIRECT(CONCATENATE("$AD$"&amp;BI$391)),
IF($K394=INDIRECT(CONCATENATE("$AC$"&amp;BI$392)),INDIRECT(CONCATENATE("$AC$"&amp;BI$391)),
IF($K394=INDIRECT(CONCATENATE("$AB$"&amp;BI$392)),INDIRECT(CONCATENATE("$AB$"&amp;BI$391)),
IF($K394=INDIRECT(CONCATENATE("$AA$"&amp;BI$392)),INDIRECT(CONCATENATE("$AA$"&amp;BI$391)),
IF($K394=INDIRECT(CONCATENATE("$Z$"&amp;BI$392)),INDIRECT(CONCATENATE("$Z$"&amp;BI$391)),
IF($K394=INDIRECT(CONCATENATE("$Y$"&amp;BI$392)),INDIRECT(CONCATENATE("$Y$"&amp;BI$391)),
IF($K394=INDIRECT(CONCATENATE("$X$"&amp;BI$392)),INDIRECT(CONCATENATE("$X$"&amp;BI$391)),
IF($K394=INDIRECT(CONCATENATE("$W$"&amp;BI$392)),INDIRECT(CONCATENATE("$W$"&amp;BI$391)),
IF($K394=INDIRECT(CONCATENATE("$V$"&amp;BI$392)),INDIRECT(CONCATENATE("$V$"&amp;BI$391)),
IF($K394=INDIRECT(CONCATENATE("$U$"&amp;BI$392)),INDIRECT(CONCATENATE("$U$"&amp;BI$391)),
IF($K394=INDIRECT(CONCATENATE("$T$"&amp;BI$392)),INDIRECT(CONCATENATE("$T$"&amp;BI$391)),
IF($K394=INDIRECT(CONCATENATE("$S$"&amp;BI$392)),INDIRECT(CONCATENATE("$S$"&amp;BI$391)),
IF($K394=INDIRECT(CONCATENATE("$R$"&amp;BI$392)),INDIRECT(CONCATENATE("$R$"&amp;BI$391)),
IF($K394=INDIRECT(CONCATENATE("$Q$"&amp;BI$392)),INDIRECT(CONCATENATE("$Q$"&amp;BI$391)),
IF($K394=INDIRECT(CONCATENATE("$P$"&amp;BI$392)),INDIRECT(CONCATENATE("$P$"&amp;BI$391)),
IF($K394=INDIRECT(CONCATENATE("$O$"&amp;BI$392)),INDIRECT(CONCATENATE("$O$"&amp;BI$391)),
IF($K394=INDIRECT(CONCATENATE("$N$"&amp;BI$392)),INDIRECT(CONCATENATE("$N$"&amp;BI$391)),
IF($K394=INDIRECT(CONCATENATE("$M$"&amp;BI$392)),INDIRECT(CONCATENATE("$M$"&amp;BI$391)),
IF($K394=INDIRECT(CONCATENATE("$L$"&amp;BI$392)),INDIRECT(CONCATENATE("$L$"&amp;BI$391)),
IF($K394=INDIRECT(CONCATENATE("$K$"&amp;BI$392)),INDIRECT(CONCATENATE("$K$"&amp;BI$391)),
IF($K394=INDIRECT(CONCATENATE("$J$"&amp;BI$392)),INDIRECT(CONCATENATE("$J$"&amp;BI$391)),
IF($K394=INDIRECT(CONCATENATE("$I$"&amp;BI$392)),INDIRECT(CONCATENATE("$I$"&amp;BI$391)),
IF($K394=INDIRECT(CONCATENATE("$H$"&amp;BI$392)),INDIRECT(CONCATENATE("$H$"&amp;BI$391)),
IF($K394=INDIRECT(CONCATENATE("$G$"&amp;BI$392)),INDIRECT(CONCATENATE("$G$"&amp;BI$391)),
IF($K394=INDIRECT(CONCATENATE("$F$"&amp;BI$392)),INDIRECT(CONCATENATE("$F$"&amp;BI$391)),
IF($K394=INDIRECT(CONCATENATE("$E$"&amp;BI$392)),INDIRECT(CONCATENATE("$E$"&amp;BI$391)),
IF($K394=INDIRECT(CONCATENATE("$D$"&amp;BI$392)),INDIRECT(CONCATENATE("$D$"&amp;BI$391)),
IF($K394=INDIRECT(CONCATENATE("$C$"&amp;BI$392)),INDIRECT(CONCATENATE("$C$"&amp;BI$391)),"X")))))))))))))))))))))))))))))))</f>
        <v>X</v>
      </c>
      <c r="HV394" s="58" t="str">
        <f t="shared" ref="HV394:HV428" ca="1" si="1644">IF($K394=INDIRECT(CONCATENATE("$AG$"&amp;BJ$392)),INDIRECT(CONCATENATE("$AG$"&amp;BJ$391)),
IF($K394=INDIRECT(CONCATENATE("$AF$"&amp;BJ$392)),INDIRECT(CONCATENATE("$AF$"&amp;BJ$391)),
IF($K394=INDIRECT(CONCATENATE("$AE$"&amp;BJ$392)),INDIRECT(CONCATENATE("$AE$"&amp;BJ$391)),
IF($K394=INDIRECT(CONCATENATE("$AD$"&amp;BJ$392)),INDIRECT(CONCATENATE("$AD$"&amp;BJ$391)),
IF($K394=INDIRECT(CONCATENATE("$AC$"&amp;BJ$392)),INDIRECT(CONCATENATE("$AC$"&amp;BJ$391)),
IF($K394=INDIRECT(CONCATENATE("$AB$"&amp;BJ$392)),INDIRECT(CONCATENATE("$AB$"&amp;BJ$391)),
IF($K394=INDIRECT(CONCATENATE("$AA$"&amp;BJ$392)),INDIRECT(CONCATENATE("$AA$"&amp;BJ$391)),
IF($K394=INDIRECT(CONCATENATE("$Z$"&amp;BJ$392)),INDIRECT(CONCATENATE("$Z$"&amp;BJ$391)),
IF($K394=INDIRECT(CONCATENATE("$Y$"&amp;BJ$392)),INDIRECT(CONCATENATE("$Y$"&amp;BJ$391)),
IF($K394=INDIRECT(CONCATENATE("$X$"&amp;BJ$392)),INDIRECT(CONCATENATE("$X$"&amp;BJ$391)),
IF($K394=INDIRECT(CONCATENATE("$W$"&amp;BJ$392)),INDIRECT(CONCATENATE("$W$"&amp;BJ$391)),
IF($K394=INDIRECT(CONCATENATE("$V$"&amp;BJ$392)),INDIRECT(CONCATENATE("$V$"&amp;BJ$391)),
IF($K394=INDIRECT(CONCATENATE("$U$"&amp;BJ$392)),INDIRECT(CONCATENATE("$U$"&amp;BJ$391)),
IF($K394=INDIRECT(CONCATENATE("$T$"&amp;BJ$392)),INDIRECT(CONCATENATE("$T$"&amp;BJ$391)),
IF($K394=INDIRECT(CONCATENATE("$S$"&amp;BJ$392)),INDIRECT(CONCATENATE("$S$"&amp;BJ$391)),
IF($K394=INDIRECT(CONCATENATE("$R$"&amp;BJ$392)),INDIRECT(CONCATENATE("$R$"&amp;BJ$391)),
IF($K394=INDIRECT(CONCATENATE("$Q$"&amp;BJ$392)),INDIRECT(CONCATENATE("$Q$"&amp;BJ$391)),
IF($K394=INDIRECT(CONCATENATE("$P$"&amp;BJ$392)),INDIRECT(CONCATENATE("$P$"&amp;BJ$391)),
IF($K394=INDIRECT(CONCATENATE("$O$"&amp;BJ$392)),INDIRECT(CONCATENATE("$O$"&amp;BJ$391)),
IF($K394=INDIRECT(CONCATENATE("$N$"&amp;BJ$392)),INDIRECT(CONCATENATE("$N$"&amp;BJ$391)),
IF($K394=INDIRECT(CONCATENATE("$M$"&amp;BJ$392)),INDIRECT(CONCATENATE("$M$"&amp;BJ$391)),
IF($K394=INDIRECT(CONCATENATE("$L$"&amp;BJ$392)),INDIRECT(CONCATENATE("$L$"&amp;BJ$391)),
IF($K394=INDIRECT(CONCATENATE("$K$"&amp;BJ$392)),INDIRECT(CONCATENATE("$K$"&amp;BJ$391)),
IF($K394=INDIRECT(CONCATENATE("$J$"&amp;BJ$392)),INDIRECT(CONCATENATE("$J$"&amp;BJ$391)),
IF($K394=INDIRECT(CONCATENATE("$I$"&amp;BJ$392)),INDIRECT(CONCATENATE("$I$"&amp;BJ$391)),
IF($K394=INDIRECT(CONCATENATE("$H$"&amp;BJ$392)),INDIRECT(CONCATENATE("$H$"&amp;BJ$391)),
IF($K394=INDIRECT(CONCATENATE("$G$"&amp;BJ$392)),INDIRECT(CONCATENATE("$G$"&amp;BJ$391)),
IF($K394=INDIRECT(CONCATENATE("$F$"&amp;BJ$392)),INDIRECT(CONCATENATE("$F$"&amp;BJ$391)),
IF($K394=INDIRECT(CONCATENATE("$E$"&amp;BJ$392)),INDIRECT(CONCATENATE("$E$"&amp;BJ$391)),
IF($K394=INDIRECT(CONCATENATE("$D$"&amp;BJ$392)),INDIRECT(CONCATENATE("$D$"&amp;BJ$391)),
IF($K394=INDIRECT(CONCATENATE("$C$"&amp;BJ$392)),INDIRECT(CONCATENATE("$C$"&amp;BJ$391)),"X")))))))))))))))))))))))))))))))</f>
        <v>X</v>
      </c>
      <c r="HW394" s="58" t="str">
        <f t="shared" ref="HW394:HW428" ca="1" si="1645">IF($K394=INDIRECT(CONCATENATE("$AG$"&amp;BK$392)),INDIRECT(CONCATENATE("$AG$"&amp;BK$391)),
IF($K394=INDIRECT(CONCATENATE("$AF$"&amp;BK$392)),INDIRECT(CONCATENATE("$AF$"&amp;BK$391)),
IF($K394=INDIRECT(CONCATENATE("$AE$"&amp;BK$392)),INDIRECT(CONCATENATE("$AE$"&amp;BK$391)),
IF($K394=INDIRECT(CONCATENATE("$AD$"&amp;BK$392)),INDIRECT(CONCATENATE("$AD$"&amp;BK$391)),
IF($K394=INDIRECT(CONCATENATE("$AC$"&amp;BK$392)),INDIRECT(CONCATENATE("$AC$"&amp;BK$391)),
IF($K394=INDIRECT(CONCATENATE("$AB$"&amp;BK$392)),INDIRECT(CONCATENATE("$AB$"&amp;BK$391)),
IF($K394=INDIRECT(CONCATENATE("$AA$"&amp;BK$392)),INDIRECT(CONCATENATE("$AA$"&amp;BK$391)),
IF($K394=INDIRECT(CONCATENATE("$Z$"&amp;BK$392)),INDIRECT(CONCATENATE("$Z$"&amp;BK$391)),
IF($K394=INDIRECT(CONCATENATE("$Y$"&amp;BK$392)),INDIRECT(CONCATENATE("$Y$"&amp;BK$391)),
IF($K394=INDIRECT(CONCATENATE("$X$"&amp;BK$392)),INDIRECT(CONCATENATE("$X$"&amp;BK$391)),
IF($K394=INDIRECT(CONCATENATE("$W$"&amp;BK$392)),INDIRECT(CONCATENATE("$W$"&amp;BK$391)),
IF($K394=INDIRECT(CONCATENATE("$V$"&amp;BK$392)),INDIRECT(CONCATENATE("$V$"&amp;BK$391)),
IF($K394=INDIRECT(CONCATENATE("$U$"&amp;BK$392)),INDIRECT(CONCATENATE("$U$"&amp;BK$391)),
IF($K394=INDIRECT(CONCATENATE("$T$"&amp;BK$392)),INDIRECT(CONCATENATE("$T$"&amp;BK$391)),
IF($K394=INDIRECT(CONCATENATE("$S$"&amp;BK$392)),INDIRECT(CONCATENATE("$S$"&amp;BK$391)),
IF($K394=INDIRECT(CONCATENATE("$R$"&amp;BK$392)),INDIRECT(CONCATENATE("$R$"&amp;BK$391)),
IF($K394=INDIRECT(CONCATENATE("$Q$"&amp;BK$392)),INDIRECT(CONCATENATE("$Q$"&amp;BK$391)),
IF($K394=INDIRECT(CONCATENATE("$P$"&amp;BK$392)),INDIRECT(CONCATENATE("$P$"&amp;BK$391)),
IF($K394=INDIRECT(CONCATENATE("$O$"&amp;BK$392)),INDIRECT(CONCATENATE("$O$"&amp;BK$391)),
IF($K394=INDIRECT(CONCATENATE("$N$"&amp;BK$392)),INDIRECT(CONCATENATE("$N$"&amp;BK$391)),
IF($K394=INDIRECT(CONCATENATE("$M$"&amp;BK$392)),INDIRECT(CONCATENATE("$M$"&amp;BK$391)),
IF($K394=INDIRECT(CONCATENATE("$L$"&amp;BK$392)),INDIRECT(CONCATENATE("$L$"&amp;BK$391)),
IF($K394=INDIRECT(CONCATENATE("$K$"&amp;BK$392)),INDIRECT(CONCATENATE("$K$"&amp;BK$391)),
IF($K394=INDIRECT(CONCATENATE("$J$"&amp;BK$392)),INDIRECT(CONCATENATE("$J$"&amp;BK$391)),
IF($K394=INDIRECT(CONCATENATE("$I$"&amp;BK$392)),INDIRECT(CONCATENATE("$I$"&amp;BK$391)),
IF($K394=INDIRECT(CONCATENATE("$H$"&amp;BK$392)),INDIRECT(CONCATENATE("$H$"&amp;BK$391)),
IF($K394=INDIRECT(CONCATENATE("$G$"&amp;BK$392)),INDIRECT(CONCATENATE("$G$"&amp;BK$391)),
IF($K394=INDIRECT(CONCATENATE("$F$"&amp;BK$392)),INDIRECT(CONCATENATE("$F$"&amp;BK$391)),
IF($K394=INDIRECT(CONCATENATE("$E$"&amp;BK$392)),INDIRECT(CONCATENATE("$E$"&amp;BK$391)),
IF($K394=INDIRECT(CONCATENATE("$D$"&amp;BK$392)),INDIRECT(CONCATENATE("$D$"&amp;BK$391)),
IF($K394=INDIRECT(CONCATENATE("$C$"&amp;BK$392)),INDIRECT(CONCATENATE("$C$"&amp;BK$391)),"X")))))))))))))))))))))))))))))))</f>
        <v>X</v>
      </c>
      <c r="HX394" s="58" t="str">
        <f t="shared" ref="HX394:HX428" ca="1" si="1646">IF($K394=INDIRECT(CONCATENATE("$AG$"&amp;BL$392)),INDIRECT(CONCATENATE("$AG$"&amp;BL$391)),
IF($K394=INDIRECT(CONCATENATE("$AF$"&amp;BL$392)),INDIRECT(CONCATENATE("$AF$"&amp;BL$391)),
IF($K394=INDIRECT(CONCATENATE("$AE$"&amp;BL$392)),INDIRECT(CONCATENATE("$AE$"&amp;BL$391)),
IF($K394=INDIRECT(CONCATENATE("$AD$"&amp;BL$392)),INDIRECT(CONCATENATE("$AD$"&amp;BL$391)),
IF($K394=INDIRECT(CONCATENATE("$AC$"&amp;BL$392)),INDIRECT(CONCATENATE("$AC$"&amp;BL$391)),
IF($K394=INDIRECT(CONCATENATE("$AB$"&amp;BL$392)),INDIRECT(CONCATENATE("$AB$"&amp;BL$391)),
IF($K394=INDIRECT(CONCATENATE("$AA$"&amp;BL$392)),INDIRECT(CONCATENATE("$AA$"&amp;BL$391)),
IF($K394=INDIRECT(CONCATENATE("$Z$"&amp;BL$392)),INDIRECT(CONCATENATE("$Z$"&amp;BL$391)),
IF($K394=INDIRECT(CONCATENATE("$Y$"&amp;BL$392)),INDIRECT(CONCATENATE("$Y$"&amp;BL$391)),
IF($K394=INDIRECT(CONCATENATE("$X$"&amp;BL$392)),INDIRECT(CONCATENATE("$X$"&amp;BL$391)),
IF($K394=INDIRECT(CONCATENATE("$W$"&amp;BL$392)),INDIRECT(CONCATENATE("$W$"&amp;BL$391)),
IF($K394=INDIRECT(CONCATENATE("$V$"&amp;BL$392)),INDIRECT(CONCATENATE("$V$"&amp;BL$391)),
IF($K394=INDIRECT(CONCATENATE("$U$"&amp;BL$392)),INDIRECT(CONCATENATE("$U$"&amp;BL$391)),
IF($K394=INDIRECT(CONCATENATE("$T$"&amp;BL$392)),INDIRECT(CONCATENATE("$T$"&amp;BL$391)),
IF($K394=INDIRECT(CONCATENATE("$S$"&amp;BL$392)),INDIRECT(CONCATENATE("$S$"&amp;BL$391)),
IF($K394=INDIRECT(CONCATENATE("$R$"&amp;BL$392)),INDIRECT(CONCATENATE("$R$"&amp;BL$391)),
IF($K394=INDIRECT(CONCATENATE("$Q$"&amp;BL$392)),INDIRECT(CONCATENATE("$Q$"&amp;BL$391)),
IF($K394=INDIRECT(CONCATENATE("$P$"&amp;BL$392)),INDIRECT(CONCATENATE("$P$"&amp;BL$391)),
IF($K394=INDIRECT(CONCATENATE("$O$"&amp;BL$392)),INDIRECT(CONCATENATE("$O$"&amp;BL$391)),
IF($K394=INDIRECT(CONCATENATE("$N$"&amp;BL$392)),INDIRECT(CONCATENATE("$N$"&amp;BL$391)),
IF($K394=INDIRECT(CONCATENATE("$M$"&amp;BL$392)),INDIRECT(CONCATENATE("$M$"&amp;BL$391)),
IF($K394=INDIRECT(CONCATENATE("$L$"&amp;BL$392)),INDIRECT(CONCATENATE("$L$"&amp;BL$391)),
IF($K394=INDIRECT(CONCATENATE("$K$"&amp;BL$392)),INDIRECT(CONCATENATE("$K$"&amp;BL$391)),
IF($K394=INDIRECT(CONCATENATE("$J$"&amp;BL$392)),INDIRECT(CONCATENATE("$J$"&amp;BL$391)),
IF($K394=INDIRECT(CONCATENATE("$I$"&amp;BL$392)),INDIRECT(CONCATENATE("$I$"&amp;BL$391)),
IF($K394=INDIRECT(CONCATENATE("$H$"&amp;BL$392)),INDIRECT(CONCATENATE("$H$"&amp;BL$391)),
IF($K394=INDIRECT(CONCATENATE("$G$"&amp;BL$392)),INDIRECT(CONCATENATE("$G$"&amp;BL$391)),
IF($K394=INDIRECT(CONCATENATE("$F$"&amp;BL$392)),INDIRECT(CONCATENATE("$F$"&amp;BL$391)),
IF($K394=INDIRECT(CONCATENATE("$E$"&amp;BL$392)),INDIRECT(CONCATENATE("$E$"&amp;BL$391)),
IF($K394=INDIRECT(CONCATENATE("$D$"&amp;BL$392)),INDIRECT(CONCATENATE("$D$"&amp;BL$391)),
IF($K394=INDIRECT(CONCATENATE("$C$"&amp;BL$392)),INDIRECT(CONCATENATE("$C$"&amp;BL$391)),"X")))))))))))))))))))))))))))))))</f>
        <v>X</v>
      </c>
      <c r="HY394" s="58" t="str">
        <f t="shared" ref="HY394:HY428" ca="1" si="1647">IF($K394=INDIRECT(CONCATENATE("$AG$"&amp;BM$392)),INDIRECT(CONCATENATE("$AG$"&amp;BM$391)),
IF($K394=INDIRECT(CONCATENATE("$AF$"&amp;BM$392)),INDIRECT(CONCATENATE("$AF$"&amp;BM$391)),
IF($K394=INDIRECT(CONCATENATE("$AE$"&amp;BM$392)),INDIRECT(CONCATENATE("$AE$"&amp;BM$391)),
IF($K394=INDIRECT(CONCATENATE("$AD$"&amp;BM$392)),INDIRECT(CONCATENATE("$AD$"&amp;BM$391)),
IF($K394=INDIRECT(CONCATENATE("$AC$"&amp;BM$392)),INDIRECT(CONCATENATE("$AC$"&amp;BM$391)),
IF($K394=INDIRECT(CONCATENATE("$AB$"&amp;BM$392)),INDIRECT(CONCATENATE("$AB$"&amp;BM$391)),
IF($K394=INDIRECT(CONCATENATE("$AA$"&amp;BM$392)),INDIRECT(CONCATENATE("$AA$"&amp;BM$391)),
IF($K394=INDIRECT(CONCATENATE("$Z$"&amp;BM$392)),INDIRECT(CONCATENATE("$Z$"&amp;BM$391)),
IF($K394=INDIRECT(CONCATENATE("$Y$"&amp;BM$392)),INDIRECT(CONCATENATE("$Y$"&amp;BM$391)),
IF($K394=INDIRECT(CONCATENATE("$X$"&amp;BM$392)),INDIRECT(CONCATENATE("$X$"&amp;BM$391)),
IF($K394=INDIRECT(CONCATENATE("$W$"&amp;BM$392)),INDIRECT(CONCATENATE("$W$"&amp;BM$391)),
IF($K394=INDIRECT(CONCATENATE("$V$"&amp;BM$392)),INDIRECT(CONCATENATE("$V$"&amp;BM$391)),
IF($K394=INDIRECT(CONCATENATE("$U$"&amp;BM$392)),INDIRECT(CONCATENATE("$U$"&amp;BM$391)),
IF($K394=INDIRECT(CONCATENATE("$T$"&amp;BM$392)),INDIRECT(CONCATENATE("$T$"&amp;BM$391)),
IF($K394=INDIRECT(CONCATENATE("$S$"&amp;BM$392)),INDIRECT(CONCATENATE("$S$"&amp;BM$391)),
IF($K394=INDIRECT(CONCATENATE("$R$"&amp;BM$392)),INDIRECT(CONCATENATE("$R$"&amp;BM$391)),
IF($K394=INDIRECT(CONCATENATE("$Q$"&amp;BM$392)),INDIRECT(CONCATENATE("$Q$"&amp;BM$391)),
IF($K394=INDIRECT(CONCATENATE("$P$"&amp;BM$392)),INDIRECT(CONCATENATE("$P$"&amp;BM$391)),
IF($K394=INDIRECT(CONCATENATE("$O$"&amp;BM$392)),INDIRECT(CONCATENATE("$O$"&amp;BM$391)),
IF($K394=INDIRECT(CONCATENATE("$N$"&amp;BM$392)),INDIRECT(CONCATENATE("$N$"&amp;BM$391)),
IF($K394=INDIRECT(CONCATENATE("$M$"&amp;BM$392)),INDIRECT(CONCATENATE("$M$"&amp;BM$391)),
IF($K394=INDIRECT(CONCATENATE("$L$"&amp;BM$392)),INDIRECT(CONCATENATE("$L$"&amp;BM$391)),
IF($K394=INDIRECT(CONCATENATE("$K$"&amp;BM$392)),INDIRECT(CONCATENATE("$K$"&amp;BM$391)),
IF($K394=INDIRECT(CONCATENATE("$J$"&amp;BM$392)),INDIRECT(CONCATENATE("$J$"&amp;BM$391)),
IF($K394=INDIRECT(CONCATENATE("$I$"&amp;BM$392)),INDIRECT(CONCATENATE("$I$"&amp;BM$391)),
IF($K394=INDIRECT(CONCATENATE("$H$"&amp;BM$392)),INDIRECT(CONCATENATE("$H$"&amp;BM$391)),
IF($K394=INDIRECT(CONCATENATE("$G$"&amp;BM$392)),INDIRECT(CONCATENATE("$G$"&amp;BM$391)),
IF($K394=INDIRECT(CONCATENATE("$F$"&amp;BM$392)),INDIRECT(CONCATENATE("$F$"&amp;BM$391)),
IF($K394=INDIRECT(CONCATENATE("$E$"&amp;BM$392)),INDIRECT(CONCATENATE("$E$"&amp;BM$391)),
IF($K394=INDIRECT(CONCATENATE("$D$"&amp;BM$392)),INDIRECT(CONCATENATE("$D$"&amp;BM$391)),
IF($K394=INDIRECT(CONCATENATE("$C$"&amp;BM$392)),INDIRECT(CONCATENATE("$C$"&amp;BM$391)),"X")))))))))))))))))))))))))))))))</f>
        <v>X</v>
      </c>
      <c r="HZ394" s="58" t="str">
        <f t="shared" ref="HZ394:HZ428" ca="1" si="1648">IF($K394=INDIRECT(CONCATENATE("$AG$"&amp;BN$392)),INDIRECT(CONCATENATE("$AG$"&amp;BN$391)),
IF($K394=INDIRECT(CONCATENATE("$AF$"&amp;BN$392)),INDIRECT(CONCATENATE("$AF$"&amp;BN$391)),
IF($K394=INDIRECT(CONCATENATE("$AE$"&amp;BN$392)),INDIRECT(CONCATENATE("$AE$"&amp;BN$391)),
IF($K394=INDIRECT(CONCATENATE("$AD$"&amp;BN$392)),INDIRECT(CONCATENATE("$AD$"&amp;BN$391)),
IF($K394=INDIRECT(CONCATENATE("$AC$"&amp;BN$392)),INDIRECT(CONCATENATE("$AC$"&amp;BN$391)),
IF($K394=INDIRECT(CONCATENATE("$AB$"&amp;BN$392)),INDIRECT(CONCATENATE("$AB$"&amp;BN$391)),
IF($K394=INDIRECT(CONCATENATE("$AA$"&amp;BN$392)),INDIRECT(CONCATENATE("$AA$"&amp;BN$391)),
IF($K394=INDIRECT(CONCATENATE("$Z$"&amp;BN$392)),INDIRECT(CONCATENATE("$Z$"&amp;BN$391)),
IF($K394=INDIRECT(CONCATENATE("$Y$"&amp;BN$392)),INDIRECT(CONCATENATE("$Y$"&amp;BN$391)),
IF($K394=INDIRECT(CONCATENATE("$X$"&amp;BN$392)),INDIRECT(CONCATENATE("$X$"&amp;BN$391)),
IF($K394=INDIRECT(CONCATENATE("$W$"&amp;BN$392)),INDIRECT(CONCATENATE("$W$"&amp;BN$391)),
IF($K394=INDIRECT(CONCATENATE("$V$"&amp;BN$392)),INDIRECT(CONCATENATE("$V$"&amp;BN$391)),
IF($K394=INDIRECT(CONCATENATE("$U$"&amp;BN$392)),INDIRECT(CONCATENATE("$U$"&amp;BN$391)),
IF($K394=INDIRECT(CONCATENATE("$T$"&amp;BN$392)),INDIRECT(CONCATENATE("$T$"&amp;BN$391)),
IF($K394=INDIRECT(CONCATENATE("$S$"&amp;BN$392)),INDIRECT(CONCATENATE("$S$"&amp;BN$391)),
IF($K394=INDIRECT(CONCATENATE("$R$"&amp;BN$392)),INDIRECT(CONCATENATE("$R$"&amp;BN$391)),
IF($K394=INDIRECT(CONCATENATE("$Q$"&amp;BN$392)),INDIRECT(CONCATENATE("$Q$"&amp;BN$391)),
IF($K394=INDIRECT(CONCATENATE("$P$"&amp;BN$392)),INDIRECT(CONCATENATE("$P$"&amp;BN$391)),
IF($K394=INDIRECT(CONCATENATE("$O$"&amp;BN$392)),INDIRECT(CONCATENATE("$O$"&amp;BN$391)),
IF($K394=INDIRECT(CONCATENATE("$N$"&amp;BN$392)),INDIRECT(CONCATENATE("$N$"&amp;BN$391)),
IF($K394=INDIRECT(CONCATENATE("$M$"&amp;BN$392)),INDIRECT(CONCATENATE("$M$"&amp;BN$391)),
IF($K394=INDIRECT(CONCATENATE("$L$"&amp;BN$392)),INDIRECT(CONCATENATE("$L$"&amp;BN$391)),
IF($K394=INDIRECT(CONCATENATE("$K$"&amp;BN$392)),INDIRECT(CONCATENATE("$K$"&amp;BN$391)),
IF($K394=INDIRECT(CONCATENATE("$J$"&amp;BN$392)),INDIRECT(CONCATENATE("$J$"&amp;BN$391)),
IF($K394=INDIRECT(CONCATENATE("$I$"&amp;BN$392)),INDIRECT(CONCATENATE("$I$"&amp;BN$391)),
IF($K394=INDIRECT(CONCATENATE("$H$"&amp;BN$392)),INDIRECT(CONCATENATE("$H$"&amp;BN$391)),
IF($K394=INDIRECT(CONCATENATE("$G$"&amp;BN$392)),INDIRECT(CONCATENATE("$G$"&amp;BN$391)),
IF($K394=INDIRECT(CONCATENATE("$F$"&amp;BN$392)),INDIRECT(CONCATENATE("$F$"&amp;BN$391)),
IF($K394=INDIRECT(CONCATENATE("$E$"&amp;BN$392)),INDIRECT(CONCATENATE("$E$"&amp;BN$391)),
IF($K394=INDIRECT(CONCATENATE("$D$"&amp;BN$392)),INDIRECT(CONCATENATE("$D$"&amp;BN$391)),
IF($K394=INDIRECT(CONCATENATE("$C$"&amp;BN$392)),INDIRECT(CONCATENATE("$C$"&amp;BN$391)),"X")))))))))))))))))))))))))))))))</f>
        <v>X</v>
      </c>
      <c r="IA394" s="58" t="str">
        <f t="shared" ref="IA394:IA428" ca="1" si="1649">IF($K394=INDIRECT(CONCATENATE("$AG$"&amp;BO$392)),INDIRECT(CONCATENATE("$AG$"&amp;BO$391)),
IF($K394=INDIRECT(CONCATENATE("$AF$"&amp;BO$392)),INDIRECT(CONCATENATE("$AF$"&amp;BO$391)),
IF($K394=INDIRECT(CONCATENATE("$AE$"&amp;BO$392)),INDIRECT(CONCATENATE("$AE$"&amp;BO$391)),
IF($K394=INDIRECT(CONCATENATE("$AD$"&amp;BO$392)),INDIRECT(CONCATENATE("$AD$"&amp;BO$391)),
IF($K394=INDIRECT(CONCATENATE("$AC$"&amp;BO$392)),INDIRECT(CONCATENATE("$AC$"&amp;BO$391)),
IF($K394=INDIRECT(CONCATENATE("$AB$"&amp;BO$392)),INDIRECT(CONCATENATE("$AB$"&amp;BO$391)),
IF($K394=INDIRECT(CONCATENATE("$AA$"&amp;BO$392)),INDIRECT(CONCATENATE("$AA$"&amp;BO$391)),
IF($K394=INDIRECT(CONCATENATE("$Z$"&amp;BO$392)),INDIRECT(CONCATENATE("$Z$"&amp;BO$391)),
IF($K394=INDIRECT(CONCATENATE("$Y$"&amp;BO$392)),INDIRECT(CONCATENATE("$Y$"&amp;BO$391)),
IF($K394=INDIRECT(CONCATENATE("$X$"&amp;BO$392)),INDIRECT(CONCATENATE("$X$"&amp;BO$391)),
IF($K394=INDIRECT(CONCATENATE("$W$"&amp;BO$392)),INDIRECT(CONCATENATE("$W$"&amp;BO$391)),
IF($K394=INDIRECT(CONCATENATE("$V$"&amp;BO$392)),INDIRECT(CONCATENATE("$V$"&amp;BO$391)),
IF($K394=INDIRECT(CONCATENATE("$U$"&amp;BO$392)),INDIRECT(CONCATENATE("$U$"&amp;BO$391)),
IF($K394=INDIRECT(CONCATENATE("$T$"&amp;BO$392)),INDIRECT(CONCATENATE("$T$"&amp;BO$391)),
IF($K394=INDIRECT(CONCATENATE("$S$"&amp;BO$392)),INDIRECT(CONCATENATE("$S$"&amp;BO$391)),
IF($K394=INDIRECT(CONCATENATE("$R$"&amp;BO$392)),INDIRECT(CONCATENATE("$R$"&amp;BO$391)),
IF($K394=INDIRECT(CONCATENATE("$Q$"&amp;BO$392)),INDIRECT(CONCATENATE("$Q$"&amp;BO$391)),
IF($K394=INDIRECT(CONCATENATE("$P$"&amp;BO$392)),INDIRECT(CONCATENATE("$P$"&amp;BO$391)),
IF($K394=INDIRECT(CONCATENATE("$O$"&amp;BO$392)),INDIRECT(CONCATENATE("$O$"&amp;BO$391)),
IF($K394=INDIRECT(CONCATENATE("$N$"&amp;BO$392)),INDIRECT(CONCATENATE("$N$"&amp;BO$391)),
IF($K394=INDIRECT(CONCATENATE("$M$"&amp;BO$392)),INDIRECT(CONCATENATE("$M$"&amp;BO$391)),
IF($K394=INDIRECT(CONCATENATE("$L$"&amp;BO$392)),INDIRECT(CONCATENATE("$L$"&amp;BO$391)),
IF($K394=INDIRECT(CONCATENATE("$K$"&amp;BO$392)),INDIRECT(CONCATENATE("$K$"&amp;BO$391)),
IF($K394=INDIRECT(CONCATENATE("$J$"&amp;BO$392)),INDIRECT(CONCATENATE("$J$"&amp;BO$391)),
IF($K394=INDIRECT(CONCATENATE("$I$"&amp;BO$392)),INDIRECT(CONCATENATE("$I$"&amp;BO$391)),
IF($K394=INDIRECT(CONCATENATE("$H$"&amp;BO$392)),INDIRECT(CONCATENATE("$H$"&amp;BO$391)),
IF($K394=INDIRECT(CONCATENATE("$G$"&amp;BO$392)),INDIRECT(CONCATENATE("$G$"&amp;BO$391)),
IF($K394=INDIRECT(CONCATENATE("$F$"&amp;BO$392)),INDIRECT(CONCATENATE("$F$"&amp;BO$391)),
IF($K394=INDIRECT(CONCATENATE("$E$"&amp;BO$392)),INDIRECT(CONCATENATE("$E$"&amp;BO$391)),
IF($K394=INDIRECT(CONCATENATE("$D$"&amp;BO$392)),INDIRECT(CONCATENATE("$D$"&amp;BO$391)),
IF($K394=INDIRECT(CONCATENATE("$C$"&amp;BO$392)),INDIRECT(CONCATENATE("$C$"&amp;BO$391)),"X")))))))))))))))))))))))))))))))</f>
        <v>X</v>
      </c>
      <c r="IB394" s="58" t="str">
        <f t="shared" ref="IB394:IQ428" ca="1" si="1650">IF($K394=INDIRECT(CONCATENATE("$AG$"&amp;BP$392)),INDIRECT(CONCATENATE("$AG$"&amp;BP$391)),
IF($K394=INDIRECT(CONCATENATE("$AF$"&amp;BP$392)),INDIRECT(CONCATENATE("$AF$"&amp;BP$391)),
IF($K394=INDIRECT(CONCATENATE("$AE$"&amp;BP$392)),INDIRECT(CONCATENATE("$AE$"&amp;BP$391)),
IF($K394=INDIRECT(CONCATENATE("$AD$"&amp;BP$392)),INDIRECT(CONCATENATE("$AD$"&amp;BP$391)),
IF($K394=INDIRECT(CONCATENATE("$AC$"&amp;BP$392)),INDIRECT(CONCATENATE("$AC$"&amp;BP$391)),
IF($K394=INDIRECT(CONCATENATE("$AB$"&amp;BP$392)),INDIRECT(CONCATENATE("$AB$"&amp;BP$391)),
IF($K394=INDIRECT(CONCATENATE("$AA$"&amp;BP$392)),INDIRECT(CONCATENATE("$AA$"&amp;BP$391)),
IF($K394=INDIRECT(CONCATENATE("$Z$"&amp;BP$392)),INDIRECT(CONCATENATE("$Z$"&amp;BP$391)),
IF($K394=INDIRECT(CONCATENATE("$Y$"&amp;BP$392)),INDIRECT(CONCATENATE("$Y$"&amp;BP$391)),
IF($K394=INDIRECT(CONCATENATE("$X$"&amp;BP$392)),INDIRECT(CONCATENATE("$X$"&amp;BP$391)),
IF($K394=INDIRECT(CONCATENATE("$W$"&amp;BP$392)),INDIRECT(CONCATENATE("$W$"&amp;BP$391)),
IF($K394=INDIRECT(CONCATENATE("$V$"&amp;BP$392)),INDIRECT(CONCATENATE("$V$"&amp;BP$391)),
IF($K394=INDIRECT(CONCATENATE("$U$"&amp;BP$392)),INDIRECT(CONCATENATE("$U$"&amp;BP$391)),
IF($K394=INDIRECT(CONCATENATE("$T$"&amp;BP$392)),INDIRECT(CONCATENATE("$T$"&amp;BP$391)),
IF($K394=INDIRECT(CONCATENATE("$S$"&amp;BP$392)),INDIRECT(CONCATENATE("$S$"&amp;BP$391)),
IF($K394=INDIRECT(CONCATENATE("$R$"&amp;BP$392)),INDIRECT(CONCATENATE("$R$"&amp;BP$391)),
IF($K394=INDIRECT(CONCATENATE("$Q$"&amp;BP$392)),INDIRECT(CONCATENATE("$Q$"&amp;BP$391)),
IF($K394=INDIRECT(CONCATENATE("$P$"&amp;BP$392)),INDIRECT(CONCATENATE("$P$"&amp;BP$391)),
IF($K394=INDIRECT(CONCATENATE("$O$"&amp;BP$392)),INDIRECT(CONCATENATE("$O$"&amp;BP$391)),
IF($K394=INDIRECT(CONCATENATE("$N$"&amp;BP$392)),INDIRECT(CONCATENATE("$N$"&amp;BP$391)),
IF($K394=INDIRECT(CONCATENATE("$M$"&amp;BP$392)),INDIRECT(CONCATENATE("$M$"&amp;BP$391)),
IF($K394=INDIRECT(CONCATENATE("$L$"&amp;BP$392)),INDIRECT(CONCATENATE("$L$"&amp;BP$391)),
IF($K394=INDIRECT(CONCATENATE("$K$"&amp;BP$392)),INDIRECT(CONCATENATE("$K$"&amp;BP$391)),
IF($K394=INDIRECT(CONCATENATE("$J$"&amp;BP$392)),INDIRECT(CONCATENATE("$J$"&amp;BP$391)),
IF($K394=INDIRECT(CONCATENATE("$I$"&amp;BP$392)),INDIRECT(CONCATENATE("$I$"&amp;BP$391)),
IF($K394=INDIRECT(CONCATENATE("$H$"&amp;BP$392)),INDIRECT(CONCATENATE("$H$"&amp;BP$391)),
IF($K394=INDIRECT(CONCATENATE("$G$"&amp;BP$392)),INDIRECT(CONCATENATE("$G$"&amp;BP$391)),
IF($K394=INDIRECT(CONCATENATE("$F$"&amp;BP$392)),INDIRECT(CONCATENATE("$F$"&amp;BP$391)),
IF($K394=INDIRECT(CONCATENATE("$E$"&amp;BP$392)),INDIRECT(CONCATENATE("$E$"&amp;BP$391)),
IF($K394=INDIRECT(CONCATENATE("$D$"&amp;BP$392)),INDIRECT(CONCATENATE("$D$"&amp;BP$391)),
IF($K394=INDIRECT(CONCATENATE("$C$"&amp;BP$392)),INDIRECT(CONCATENATE("$C$"&amp;BP$391)),"X")))))))))))))))))))))))))))))))</f>
        <v>X</v>
      </c>
      <c r="IC394" s="58" t="str">
        <f t="shared" ref="IC394:IC428" ca="1" si="1651">IF($K394=INDIRECT(CONCATENATE("$AG$"&amp;BQ$392)),INDIRECT(CONCATENATE("$AG$"&amp;BQ$391)),
IF($K394=INDIRECT(CONCATENATE("$AF$"&amp;BQ$392)),INDIRECT(CONCATENATE("$AF$"&amp;BQ$391)),
IF($K394=INDIRECT(CONCATENATE("$AE$"&amp;BQ$392)),INDIRECT(CONCATENATE("$AE$"&amp;BQ$391)),
IF($K394=INDIRECT(CONCATENATE("$AD$"&amp;BQ$392)),INDIRECT(CONCATENATE("$AD$"&amp;BQ$391)),
IF($K394=INDIRECT(CONCATENATE("$AC$"&amp;BQ$392)),INDIRECT(CONCATENATE("$AC$"&amp;BQ$391)),
IF($K394=INDIRECT(CONCATENATE("$AB$"&amp;BQ$392)),INDIRECT(CONCATENATE("$AB$"&amp;BQ$391)),
IF($K394=INDIRECT(CONCATENATE("$AA$"&amp;BQ$392)),INDIRECT(CONCATENATE("$AA$"&amp;BQ$391)),
IF($K394=INDIRECT(CONCATENATE("$Z$"&amp;BQ$392)),INDIRECT(CONCATENATE("$Z$"&amp;BQ$391)),
IF($K394=INDIRECT(CONCATENATE("$Y$"&amp;BQ$392)),INDIRECT(CONCATENATE("$Y$"&amp;BQ$391)),
IF($K394=INDIRECT(CONCATENATE("$X$"&amp;BQ$392)),INDIRECT(CONCATENATE("$X$"&amp;BQ$391)),
IF($K394=INDIRECT(CONCATENATE("$W$"&amp;BQ$392)),INDIRECT(CONCATENATE("$W$"&amp;BQ$391)),
IF($K394=INDIRECT(CONCATENATE("$V$"&amp;BQ$392)),INDIRECT(CONCATENATE("$V$"&amp;BQ$391)),
IF($K394=INDIRECT(CONCATENATE("$U$"&amp;BQ$392)),INDIRECT(CONCATENATE("$U$"&amp;BQ$391)),
IF($K394=INDIRECT(CONCATENATE("$T$"&amp;BQ$392)),INDIRECT(CONCATENATE("$T$"&amp;BQ$391)),
IF($K394=INDIRECT(CONCATENATE("$S$"&amp;BQ$392)),INDIRECT(CONCATENATE("$S$"&amp;BQ$391)),
IF($K394=INDIRECT(CONCATENATE("$R$"&amp;BQ$392)),INDIRECT(CONCATENATE("$R$"&amp;BQ$391)),
IF($K394=INDIRECT(CONCATENATE("$Q$"&amp;BQ$392)),INDIRECT(CONCATENATE("$Q$"&amp;BQ$391)),
IF($K394=INDIRECT(CONCATENATE("$P$"&amp;BQ$392)),INDIRECT(CONCATENATE("$P$"&amp;BQ$391)),
IF($K394=INDIRECT(CONCATENATE("$O$"&amp;BQ$392)),INDIRECT(CONCATENATE("$O$"&amp;BQ$391)),
IF($K394=INDIRECT(CONCATENATE("$N$"&amp;BQ$392)),INDIRECT(CONCATENATE("$N$"&amp;BQ$391)),
IF($K394=INDIRECT(CONCATENATE("$M$"&amp;BQ$392)),INDIRECT(CONCATENATE("$M$"&amp;BQ$391)),
IF($K394=INDIRECT(CONCATENATE("$L$"&amp;BQ$392)),INDIRECT(CONCATENATE("$L$"&amp;BQ$391)),
IF($K394=INDIRECT(CONCATENATE("$K$"&amp;BQ$392)),INDIRECT(CONCATENATE("$K$"&amp;BQ$391)),
IF($K394=INDIRECT(CONCATENATE("$J$"&amp;BQ$392)),INDIRECT(CONCATENATE("$J$"&amp;BQ$391)),
IF($K394=INDIRECT(CONCATENATE("$I$"&amp;BQ$392)),INDIRECT(CONCATENATE("$I$"&amp;BQ$391)),
IF($K394=INDIRECT(CONCATENATE("$H$"&amp;BQ$392)),INDIRECT(CONCATENATE("$H$"&amp;BQ$391)),
IF($K394=INDIRECT(CONCATENATE("$G$"&amp;BQ$392)),INDIRECT(CONCATENATE("$G$"&amp;BQ$391)),
IF($K394=INDIRECT(CONCATENATE("$F$"&amp;BQ$392)),INDIRECT(CONCATENATE("$F$"&amp;BQ$391)),
IF($K394=INDIRECT(CONCATENATE("$E$"&amp;BQ$392)),INDIRECT(CONCATENATE("$E$"&amp;BQ$391)),
IF($K394=INDIRECT(CONCATENATE("$D$"&amp;BQ$392)),INDIRECT(CONCATENATE("$D$"&amp;BQ$391)),
IF($K394=INDIRECT(CONCATENATE("$C$"&amp;BQ$392)),INDIRECT(CONCATENATE("$C$"&amp;BQ$391)),"X")))))))))))))))))))))))))))))))</f>
        <v>X</v>
      </c>
      <c r="ID394" s="58" t="str">
        <f t="shared" ref="ID394:ID428" ca="1" si="1652">IF($K394=INDIRECT(CONCATENATE("$AG$"&amp;BR$392)),INDIRECT(CONCATENATE("$AG$"&amp;BR$391)),
IF($K394=INDIRECT(CONCATENATE("$AF$"&amp;BR$392)),INDIRECT(CONCATENATE("$AF$"&amp;BR$391)),
IF($K394=INDIRECT(CONCATENATE("$AE$"&amp;BR$392)),INDIRECT(CONCATENATE("$AE$"&amp;BR$391)),
IF($K394=INDIRECT(CONCATENATE("$AD$"&amp;BR$392)),INDIRECT(CONCATENATE("$AD$"&amp;BR$391)),
IF($K394=INDIRECT(CONCATENATE("$AC$"&amp;BR$392)),INDIRECT(CONCATENATE("$AC$"&amp;BR$391)),
IF($K394=INDIRECT(CONCATENATE("$AB$"&amp;BR$392)),INDIRECT(CONCATENATE("$AB$"&amp;BR$391)),
IF($K394=INDIRECT(CONCATENATE("$AA$"&amp;BR$392)),INDIRECT(CONCATENATE("$AA$"&amp;BR$391)),
IF($K394=INDIRECT(CONCATENATE("$Z$"&amp;BR$392)),INDIRECT(CONCATENATE("$Z$"&amp;BR$391)),
IF($K394=INDIRECT(CONCATENATE("$Y$"&amp;BR$392)),INDIRECT(CONCATENATE("$Y$"&amp;BR$391)),
IF($K394=INDIRECT(CONCATENATE("$X$"&amp;BR$392)),INDIRECT(CONCATENATE("$X$"&amp;BR$391)),
IF($K394=INDIRECT(CONCATENATE("$W$"&amp;BR$392)),INDIRECT(CONCATENATE("$W$"&amp;BR$391)),
IF($K394=INDIRECT(CONCATENATE("$V$"&amp;BR$392)),INDIRECT(CONCATENATE("$V$"&amp;BR$391)),
IF($K394=INDIRECT(CONCATENATE("$U$"&amp;BR$392)),INDIRECT(CONCATENATE("$U$"&amp;BR$391)),
IF($K394=INDIRECT(CONCATENATE("$T$"&amp;BR$392)),INDIRECT(CONCATENATE("$T$"&amp;BR$391)),
IF($K394=INDIRECT(CONCATENATE("$S$"&amp;BR$392)),INDIRECT(CONCATENATE("$S$"&amp;BR$391)),
IF($K394=INDIRECT(CONCATENATE("$R$"&amp;BR$392)),INDIRECT(CONCATENATE("$R$"&amp;BR$391)),
IF($K394=INDIRECT(CONCATENATE("$Q$"&amp;BR$392)),INDIRECT(CONCATENATE("$Q$"&amp;BR$391)),
IF($K394=INDIRECT(CONCATENATE("$P$"&amp;BR$392)),INDIRECT(CONCATENATE("$P$"&amp;BR$391)),
IF($K394=INDIRECT(CONCATENATE("$O$"&amp;BR$392)),INDIRECT(CONCATENATE("$O$"&amp;BR$391)),
IF($K394=INDIRECT(CONCATENATE("$N$"&amp;BR$392)),INDIRECT(CONCATENATE("$N$"&amp;BR$391)),
IF($K394=INDIRECT(CONCATENATE("$M$"&amp;BR$392)),INDIRECT(CONCATENATE("$M$"&amp;BR$391)),
IF($K394=INDIRECT(CONCATENATE("$L$"&amp;BR$392)),INDIRECT(CONCATENATE("$L$"&amp;BR$391)),
IF($K394=INDIRECT(CONCATENATE("$K$"&amp;BR$392)),INDIRECT(CONCATENATE("$K$"&amp;BR$391)),
IF($K394=INDIRECT(CONCATENATE("$J$"&amp;BR$392)),INDIRECT(CONCATENATE("$J$"&amp;BR$391)),
IF($K394=INDIRECT(CONCATENATE("$I$"&amp;BR$392)),INDIRECT(CONCATENATE("$I$"&amp;BR$391)),
IF($K394=INDIRECT(CONCATENATE("$H$"&amp;BR$392)),INDIRECT(CONCATENATE("$H$"&amp;BR$391)),
IF($K394=INDIRECT(CONCATENATE("$G$"&amp;BR$392)),INDIRECT(CONCATENATE("$G$"&amp;BR$391)),
IF($K394=INDIRECT(CONCATENATE("$F$"&amp;BR$392)),INDIRECT(CONCATENATE("$F$"&amp;BR$391)),
IF($K394=INDIRECT(CONCATENATE("$E$"&amp;BR$392)),INDIRECT(CONCATENATE("$E$"&amp;BR$391)),
IF($K394=INDIRECT(CONCATENATE("$D$"&amp;BR$392)),INDIRECT(CONCATENATE("$D$"&amp;BR$391)),
IF($K394=INDIRECT(CONCATENATE("$C$"&amp;BR$392)),INDIRECT(CONCATENATE("$C$"&amp;BR$391)),"X")))))))))))))))))))))))))))))))</f>
        <v>X</v>
      </c>
      <c r="IE394" s="58" t="str">
        <f t="shared" ref="IE394:IE428" ca="1" si="1653">IF($K394=INDIRECT(CONCATENATE("$AG$"&amp;BS$392)),INDIRECT(CONCATENATE("$AG$"&amp;BS$391)),
IF($K394=INDIRECT(CONCATENATE("$AF$"&amp;BS$392)),INDIRECT(CONCATENATE("$AF$"&amp;BS$391)),
IF($K394=INDIRECT(CONCATENATE("$AE$"&amp;BS$392)),INDIRECT(CONCATENATE("$AE$"&amp;BS$391)),
IF($K394=INDIRECT(CONCATENATE("$AD$"&amp;BS$392)),INDIRECT(CONCATENATE("$AD$"&amp;BS$391)),
IF($K394=INDIRECT(CONCATENATE("$AC$"&amp;BS$392)),INDIRECT(CONCATENATE("$AC$"&amp;BS$391)),
IF($K394=INDIRECT(CONCATENATE("$AB$"&amp;BS$392)),INDIRECT(CONCATENATE("$AB$"&amp;BS$391)),
IF($K394=INDIRECT(CONCATENATE("$AA$"&amp;BS$392)),INDIRECT(CONCATENATE("$AA$"&amp;BS$391)),
IF($K394=INDIRECT(CONCATENATE("$Z$"&amp;BS$392)),INDIRECT(CONCATENATE("$Z$"&amp;BS$391)),
IF($K394=INDIRECT(CONCATENATE("$Y$"&amp;BS$392)),INDIRECT(CONCATENATE("$Y$"&amp;BS$391)),
IF($K394=INDIRECT(CONCATENATE("$X$"&amp;BS$392)),INDIRECT(CONCATENATE("$X$"&amp;BS$391)),
IF($K394=INDIRECT(CONCATENATE("$W$"&amp;BS$392)),INDIRECT(CONCATENATE("$W$"&amp;BS$391)),
IF($K394=INDIRECT(CONCATENATE("$V$"&amp;BS$392)),INDIRECT(CONCATENATE("$V$"&amp;BS$391)),
IF($K394=INDIRECT(CONCATENATE("$U$"&amp;BS$392)),INDIRECT(CONCATENATE("$U$"&amp;BS$391)),
IF($K394=INDIRECT(CONCATENATE("$T$"&amp;BS$392)),INDIRECT(CONCATENATE("$T$"&amp;BS$391)),
IF($K394=INDIRECT(CONCATENATE("$S$"&amp;BS$392)),INDIRECT(CONCATENATE("$S$"&amp;BS$391)),
IF($K394=INDIRECT(CONCATENATE("$R$"&amp;BS$392)),INDIRECT(CONCATENATE("$R$"&amp;BS$391)),
IF($K394=INDIRECT(CONCATENATE("$Q$"&amp;BS$392)),INDIRECT(CONCATENATE("$Q$"&amp;BS$391)),
IF($K394=INDIRECT(CONCATENATE("$P$"&amp;BS$392)),INDIRECT(CONCATENATE("$P$"&amp;BS$391)),
IF($K394=INDIRECT(CONCATENATE("$O$"&amp;BS$392)),INDIRECT(CONCATENATE("$O$"&amp;BS$391)),
IF($K394=INDIRECT(CONCATENATE("$N$"&amp;BS$392)),INDIRECT(CONCATENATE("$N$"&amp;BS$391)),
IF($K394=INDIRECT(CONCATENATE("$M$"&amp;BS$392)),INDIRECT(CONCATENATE("$M$"&amp;BS$391)),
IF($K394=INDIRECT(CONCATENATE("$L$"&amp;BS$392)),INDIRECT(CONCATENATE("$L$"&amp;BS$391)),
IF($K394=INDIRECT(CONCATENATE("$K$"&amp;BS$392)),INDIRECT(CONCATENATE("$K$"&amp;BS$391)),
IF($K394=INDIRECT(CONCATENATE("$J$"&amp;BS$392)),INDIRECT(CONCATENATE("$J$"&amp;BS$391)),
IF($K394=INDIRECT(CONCATENATE("$I$"&amp;BS$392)),INDIRECT(CONCATENATE("$I$"&amp;BS$391)),
IF($K394=INDIRECT(CONCATENATE("$H$"&amp;BS$392)),INDIRECT(CONCATENATE("$H$"&amp;BS$391)),
IF($K394=INDIRECT(CONCATENATE("$G$"&amp;BS$392)),INDIRECT(CONCATENATE("$G$"&amp;BS$391)),
IF($K394=INDIRECT(CONCATENATE("$F$"&amp;BS$392)),INDIRECT(CONCATENATE("$F$"&amp;BS$391)),
IF($K394=INDIRECT(CONCATENATE("$E$"&amp;BS$392)),INDIRECT(CONCATENATE("$E$"&amp;BS$391)),
IF($K394=INDIRECT(CONCATENATE("$D$"&amp;BS$392)),INDIRECT(CONCATENATE("$D$"&amp;BS$391)),
IF($K394=INDIRECT(CONCATENATE("$C$"&amp;BS$392)),INDIRECT(CONCATENATE("$C$"&amp;BS$391)),"X")))))))))))))))))))))))))))))))</f>
        <v>X</v>
      </c>
      <c r="IF394" s="58" t="str">
        <f t="shared" ref="IF394:IF428" ca="1" si="1654">IF($K394=INDIRECT(CONCATENATE("$AG$"&amp;BT$392)),INDIRECT(CONCATENATE("$AG$"&amp;BT$391)),
IF($K394=INDIRECT(CONCATENATE("$AF$"&amp;BT$392)),INDIRECT(CONCATENATE("$AF$"&amp;BT$391)),
IF($K394=INDIRECT(CONCATENATE("$AE$"&amp;BT$392)),INDIRECT(CONCATENATE("$AE$"&amp;BT$391)),
IF($K394=INDIRECT(CONCATENATE("$AD$"&amp;BT$392)),INDIRECT(CONCATENATE("$AD$"&amp;BT$391)),
IF($K394=INDIRECT(CONCATENATE("$AC$"&amp;BT$392)),INDIRECT(CONCATENATE("$AC$"&amp;BT$391)),
IF($K394=INDIRECT(CONCATENATE("$AB$"&amp;BT$392)),INDIRECT(CONCATENATE("$AB$"&amp;BT$391)),
IF($K394=INDIRECT(CONCATENATE("$AA$"&amp;BT$392)),INDIRECT(CONCATENATE("$AA$"&amp;BT$391)),
IF($K394=INDIRECT(CONCATENATE("$Z$"&amp;BT$392)),INDIRECT(CONCATENATE("$Z$"&amp;BT$391)),
IF($K394=INDIRECT(CONCATENATE("$Y$"&amp;BT$392)),INDIRECT(CONCATENATE("$Y$"&amp;BT$391)),
IF($K394=INDIRECT(CONCATENATE("$X$"&amp;BT$392)),INDIRECT(CONCATENATE("$X$"&amp;BT$391)),
IF($K394=INDIRECT(CONCATENATE("$W$"&amp;BT$392)),INDIRECT(CONCATENATE("$W$"&amp;BT$391)),
IF($K394=INDIRECT(CONCATENATE("$V$"&amp;BT$392)),INDIRECT(CONCATENATE("$V$"&amp;BT$391)),
IF($K394=INDIRECT(CONCATENATE("$U$"&amp;BT$392)),INDIRECT(CONCATENATE("$U$"&amp;BT$391)),
IF($K394=INDIRECT(CONCATENATE("$T$"&amp;BT$392)),INDIRECT(CONCATENATE("$T$"&amp;BT$391)),
IF($K394=INDIRECT(CONCATENATE("$S$"&amp;BT$392)),INDIRECT(CONCATENATE("$S$"&amp;BT$391)),
IF($K394=INDIRECT(CONCATENATE("$R$"&amp;BT$392)),INDIRECT(CONCATENATE("$R$"&amp;BT$391)),
IF($K394=INDIRECT(CONCATENATE("$Q$"&amp;BT$392)),INDIRECT(CONCATENATE("$Q$"&amp;BT$391)),
IF($K394=INDIRECT(CONCATENATE("$P$"&amp;BT$392)),INDIRECT(CONCATENATE("$P$"&amp;BT$391)),
IF($K394=INDIRECT(CONCATENATE("$O$"&amp;BT$392)),INDIRECT(CONCATENATE("$O$"&amp;BT$391)),
IF($K394=INDIRECT(CONCATENATE("$N$"&amp;BT$392)),INDIRECT(CONCATENATE("$N$"&amp;BT$391)),
IF($K394=INDIRECT(CONCATENATE("$M$"&amp;BT$392)),INDIRECT(CONCATENATE("$M$"&amp;BT$391)),
IF($K394=INDIRECT(CONCATENATE("$L$"&amp;BT$392)),INDIRECT(CONCATENATE("$L$"&amp;BT$391)),
IF($K394=INDIRECT(CONCATENATE("$K$"&amp;BT$392)),INDIRECT(CONCATENATE("$K$"&amp;BT$391)),
IF($K394=INDIRECT(CONCATENATE("$J$"&amp;BT$392)),INDIRECT(CONCATENATE("$J$"&amp;BT$391)),
IF($K394=INDIRECT(CONCATENATE("$I$"&amp;BT$392)),INDIRECT(CONCATENATE("$I$"&amp;BT$391)),
IF($K394=INDIRECT(CONCATENATE("$H$"&amp;BT$392)),INDIRECT(CONCATENATE("$H$"&amp;BT$391)),
IF($K394=INDIRECT(CONCATENATE("$G$"&amp;BT$392)),INDIRECT(CONCATENATE("$G$"&amp;BT$391)),
IF($K394=INDIRECT(CONCATENATE("$F$"&amp;BT$392)),INDIRECT(CONCATENATE("$F$"&amp;BT$391)),
IF($K394=INDIRECT(CONCATENATE("$E$"&amp;BT$392)),INDIRECT(CONCATENATE("$E$"&amp;BT$391)),
IF($K394=INDIRECT(CONCATENATE("$D$"&amp;BT$392)),INDIRECT(CONCATENATE("$D$"&amp;BT$391)),
IF($K394=INDIRECT(CONCATENATE("$C$"&amp;BT$392)),INDIRECT(CONCATENATE("$C$"&amp;BT$391)),"X")))))))))))))))))))))))))))))))</f>
        <v>X</v>
      </c>
      <c r="IG394" s="58" t="str">
        <f t="shared" ref="IG394:IG428" ca="1" si="1655">IF($K394=INDIRECT(CONCATENATE("$AG$"&amp;BU$392)),INDIRECT(CONCATENATE("$AG$"&amp;BU$391)),
IF($K394=INDIRECT(CONCATENATE("$AF$"&amp;BU$392)),INDIRECT(CONCATENATE("$AF$"&amp;BU$391)),
IF($K394=INDIRECT(CONCATENATE("$AE$"&amp;BU$392)),INDIRECT(CONCATENATE("$AE$"&amp;BU$391)),
IF($K394=INDIRECT(CONCATENATE("$AD$"&amp;BU$392)),INDIRECT(CONCATENATE("$AD$"&amp;BU$391)),
IF($K394=INDIRECT(CONCATENATE("$AC$"&amp;BU$392)),INDIRECT(CONCATENATE("$AC$"&amp;BU$391)),
IF($K394=INDIRECT(CONCATENATE("$AB$"&amp;BU$392)),INDIRECT(CONCATENATE("$AB$"&amp;BU$391)),
IF($K394=INDIRECT(CONCATENATE("$AA$"&amp;BU$392)),INDIRECT(CONCATENATE("$AA$"&amp;BU$391)),
IF($K394=INDIRECT(CONCATENATE("$Z$"&amp;BU$392)),INDIRECT(CONCATENATE("$Z$"&amp;BU$391)),
IF($K394=INDIRECT(CONCATENATE("$Y$"&amp;BU$392)),INDIRECT(CONCATENATE("$Y$"&amp;BU$391)),
IF($K394=INDIRECT(CONCATENATE("$X$"&amp;BU$392)),INDIRECT(CONCATENATE("$X$"&amp;BU$391)),
IF($K394=INDIRECT(CONCATENATE("$W$"&amp;BU$392)),INDIRECT(CONCATENATE("$W$"&amp;BU$391)),
IF($K394=INDIRECT(CONCATENATE("$V$"&amp;BU$392)),INDIRECT(CONCATENATE("$V$"&amp;BU$391)),
IF($K394=INDIRECT(CONCATENATE("$U$"&amp;BU$392)),INDIRECT(CONCATENATE("$U$"&amp;BU$391)),
IF($K394=INDIRECT(CONCATENATE("$T$"&amp;BU$392)),INDIRECT(CONCATENATE("$T$"&amp;BU$391)),
IF($K394=INDIRECT(CONCATENATE("$S$"&amp;BU$392)),INDIRECT(CONCATENATE("$S$"&amp;BU$391)),
IF($K394=INDIRECT(CONCATENATE("$R$"&amp;BU$392)),INDIRECT(CONCATENATE("$R$"&amp;BU$391)),
IF($K394=INDIRECT(CONCATENATE("$Q$"&amp;BU$392)),INDIRECT(CONCATENATE("$Q$"&amp;BU$391)),
IF($K394=INDIRECT(CONCATENATE("$P$"&amp;BU$392)),INDIRECT(CONCATENATE("$P$"&amp;BU$391)),
IF($K394=INDIRECT(CONCATENATE("$O$"&amp;BU$392)),INDIRECT(CONCATENATE("$O$"&amp;BU$391)),
IF($K394=INDIRECT(CONCATENATE("$N$"&amp;BU$392)),INDIRECT(CONCATENATE("$N$"&amp;BU$391)),
IF($K394=INDIRECT(CONCATENATE("$M$"&amp;BU$392)),INDIRECT(CONCATENATE("$M$"&amp;BU$391)),
IF($K394=INDIRECT(CONCATENATE("$L$"&amp;BU$392)),INDIRECT(CONCATENATE("$L$"&amp;BU$391)),
IF($K394=INDIRECT(CONCATENATE("$K$"&amp;BU$392)),INDIRECT(CONCATENATE("$K$"&amp;BU$391)),
IF($K394=INDIRECT(CONCATENATE("$J$"&amp;BU$392)),INDIRECT(CONCATENATE("$J$"&amp;BU$391)),
IF($K394=INDIRECT(CONCATENATE("$I$"&amp;BU$392)),INDIRECT(CONCATENATE("$I$"&amp;BU$391)),
IF($K394=INDIRECT(CONCATENATE("$H$"&amp;BU$392)),INDIRECT(CONCATENATE("$H$"&amp;BU$391)),
IF($K394=INDIRECT(CONCATENATE("$G$"&amp;BU$392)),INDIRECT(CONCATENATE("$G$"&amp;BU$391)),
IF($K394=INDIRECT(CONCATENATE("$F$"&amp;BU$392)),INDIRECT(CONCATENATE("$F$"&amp;BU$391)),
IF($K394=INDIRECT(CONCATENATE("$E$"&amp;BU$392)),INDIRECT(CONCATENATE("$E$"&amp;BU$391)),
IF($K394=INDIRECT(CONCATENATE("$D$"&amp;BU$392)),INDIRECT(CONCATENATE("$D$"&amp;BU$391)),
IF($K394=INDIRECT(CONCATENATE("$C$"&amp;BU$392)),INDIRECT(CONCATENATE("$C$"&amp;BU$391)),"X")))))))))))))))))))))))))))))))</f>
        <v>X</v>
      </c>
      <c r="IH394" s="58" t="str">
        <f t="shared" ref="IH394:IH428" ca="1" si="1656">IF($K394=INDIRECT(CONCATENATE("$AG$"&amp;BV$392)),INDIRECT(CONCATENATE("$AG$"&amp;BV$391)),
IF($K394=INDIRECT(CONCATENATE("$AF$"&amp;BV$392)),INDIRECT(CONCATENATE("$AF$"&amp;BV$391)),
IF($K394=INDIRECT(CONCATENATE("$AE$"&amp;BV$392)),INDIRECT(CONCATENATE("$AE$"&amp;BV$391)),
IF($K394=INDIRECT(CONCATENATE("$AD$"&amp;BV$392)),INDIRECT(CONCATENATE("$AD$"&amp;BV$391)),
IF($K394=INDIRECT(CONCATENATE("$AC$"&amp;BV$392)),INDIRECT(CONCATENATE("$AC$"&amp;BV$391)),
IF($K394=INDIRECT(CONCATENATE("$AB$"&amp;BV$392)),INDIRECT(CONCATENATE("$AB$"&amp;BV$391)),
IF($K394=INDIRECT(CONCATENATE("$AA$"&amp;BV$392)),INDIRECT(CONCATENATE("$AA$"&amp;BV$391)),
IF($K394=INDIRECT(CONCATENATE("$Z$"&amp;BV$392)),INDIRECT(CONCATENATE("$Z$"&amp;BV$391)),
IF($K394=INDIRECT(CONCATENATE("$Y$"&amp;BV$392)),INDIRECT(CONCATENATE("$Y$"&amp;BV$391)),
IF($K394=INDIRECT(CONCATENATE("$X$"&amp;BV$392)),INDIRECT(CONCATENATE("$X$"&amp;BV$391)),
IF($K394=INDIRECT(CONCATENATE("$W$"&amp;BV$392)),INDIRECT(CONCATENATE("$W$"&amp;BV$391)),
IF($K394=INDIRECT(CONCATENATE("$V$"&amp;BV$392)),INDIRECT(CONCATENATE("$V$"&amp;BV$391)),
IF($K394=INDIRECT(CONCATENATE("$U$"&amp;BV$392)),INDIRECT(CONCATENATE("$U$"&amp;BV$391)),
IF($K394=INDIRECT(CONCATENATE("$T$"&amp;BV$392)),INDIRECT(CONCATENATE("$T$"&amp;BV$391)),
IF($K394=INDIRECT(CONCATENATE("$S$"&amp;BV$392)),INDIRECT(CONCATENATE("$S$"&amp;BV$391)),
IF($K394=INDIRECT(CONCATENATE("$R$"&amp;BV$392)),INDIRECT(CONCATENATE("$R$"&amp;BV$391)),
IF($K394=INDIRECT(CONCATENATE("$Q$"&amp;BV$392)),INDIRECT(CONCATENATE("$Q$"&amp;BV$391)),
IF($K394=INDIRECT(CONCATENATE("$P$"&amp;BV$392)),INDIRECT(CONCATENATE("$P$"&amp;BV$391)),
IF($K394=INDIRECT(CONCATENATE("$O$"&amp;BV$392)),INDIRECT(CONCATENATE("$O$"&amp;BV$391)),
IF($K394=INDIRECT(CONCATENATE("$N$"&amp;BV$392)),INDIRECT(CONCATENATE("$N$"&amp;BV$391)),
IF($K394=INDIRECT(CONCATENATE("$M$"&amp;BV$392)),INDIRECT(CONCATENATE("$M$"&amp;BV$391)),
IF($K394=INDIRECT(CONCATENATE("$L$"&amp;BV$392)),INDIRECT(CONCATENATE("$L$"&amp;BV$391)),
IF($K394=INDIRECT(CONCATENATE("$K$"&amp;BV$392)),INDIRECT(CONCATENATE("$K$"&amp;BV$391)),
IF($K394=INDIRECT(CONCATENATE("$J$"&amp;BV$392)),INDIRECT(CONCATENATE("$J$"&amp;BV$391)),
IF($K394=INDIRECT(CONCATENATE("$I$"&amp;BV$392)),INDIRECT(CONCATENATE("$I$"&amp;BV$391)),
IF($K394=INDIRECT(CONCATENATE("$H$"&amp;BV$392)),INDIRECT(CONCATENATE("$H$"&amp;BV$391)),
IF($K394=INDIRECT(CONCATENATE("$G$"&amp;BV$392)),INDIRECT(CONCATENATE("$G$"&amp;BV$391)),
IF($K394=INDIRECT(CONCATENATE("$F$"&amp;BV$392)),INDIRECT(CONCATENATE("$F$"&amp;BV$391)),
IF($K394=INDIRECT(CONCATENATE("$E$"&amp;BV$392)),INDIRECT(CONCATENATE("$E$"&amp;BV$391)),
IF($K394=INDIRECT(CONCATENATE("$D$"&amp;BV$392)),INDIRECT(CONCATENATE("$D$"&amp;BV$391)),
IF($K394=INDIRECT(CONCATENATE("$C$"&amp;BV$392)),INDIRECT(CONCATENATE("$C$"&amp;BV$391)),"X")))))))))))))))))))))))))))))))</f>
        <v>X</v>
      </c>
      <c r="II394" s="58" t="str">
        <f t="shared" ref="II394:II428" ca="1" si="1657">IF($K394=INDIRECT(CONCATENATE("$AG$"&amp;BW$392)),INDIRECT(CONCATENATE("$AG$"&amp;BW$391)),
IF($K394=INDIRECT(CONCATENATE("$AF$"&amp;BW$392)),INDIRECT(CONCATENATE("$AF$"&amp;BW$391)),
IF($K394=INDIRECT(CONCATENATE("$AE$"&amp;BW$392)),INDIRECT(CONCATENATE("$AE$"&amp;BW$391)),
IF($K394=INDIRECT(CONCATENATE("$AD$"&amp;BW$392)),INDIRECT(CONCATENATE("$AD$"&amp;BW$391)),
IF($K394=INDIRECT(CONCATENATE("$AC$"&amp;BW$392)),INDIRECT(CONCATENATE("$AC$"&amp;BW$391)),
IF($K394=INDIRECT(CONCATENATE("$AB$"&amp;BW$392)),INDIRECT(CONCATENATE("$AB$"&amp;BW$391)),
IF($K394=INDIRECT(CONCATENATE("$AA$"&amp;BW$392)),INDIRECT(CONCATENATE("$AA$"&amp;BW$391)),
IF($K394=INDIRECT(CONCATENATE("$Z$"&amp;BW$392)),INDIRECT(CONCATENATE("$Z$"&amp;BW$391)),
IF($K394=INDIRECT(CONCATENATE("$Y$"&amp;BW$392)),INDIRECT(CONCATENATE("$Y$"&amp;BW$391)),
IF($K394=INDIRECT(CONCATENATE("$X$"&amp;BW$392)),INDIRECT(CONCATENATE("$X$"&amp;BW$391)),
IF($K394=INDIRECT(CONCATENATE("$W$"&amp;BW$392)),INDIRECT(CONCATENATE("$W$"&amp;BW$391)),
IF($K394=INDIRECT(CONCATENATE("$V$"&amp;BW$392)),INDIRECT(CONCATENATE("$V$"&amp;BW$391)),
IF($K394=INDIRECT(CONCATENATE("$U$"&amp;BW$392)),INDIRECT(CONCATENATE("$U$"&amp;BW$391)),
IF($K394=INDIRECT(CONCATENATE("$T$"&amp;BW$392)),INDIRECT(CONCATENATE("$T$"&amp;BW$391)),
IF($K394=INDIRECT(CONCATENATE("$S$"&amp;BW$392)),INDIRECT(CONCATENATE("$S$"&amp;BW$391)),
IF($K394=INDIRECT(CONCATENATE("$R$"&amp;BW$392)),INDIRECT(CONCATENATE("$R$"&amp;BW$391)),
IF($K394=INDIRECT(CONCATENATE("$Q$"&amp;BW$392)),INDIRECT(CONCATENATE("$Q$"&amp;BW$391)),
IF($K394=INDIRECT(CONCATENATE("$P$"&amp;BW$392)),INDIRECT(CONCATENATE("$P$"&amp;BW$391)),
IF($K394=INDIRECT(CONCATENATE("$O$"&amp;BW$392)),INDIRECT(CONCATENATE("$O$"&amp;BW$391)),
IF($K394=INDIRECT(CONCATENATE("$N$"&amp;BW$392)),INDIRECT(CONCATENATE("$N$"&amp;BW$391)),
IF($K394=INDIRECT(CONCATENATE("$M$"&amp;BW$392)),INDIRECT(CONCATENATE("$M$"&amp;BW$391)),
IF($K394=INDIRECT(CONCATENATE("$L$"&amp;BW$392)),INDIRECT(CONCATENATE("$L$"&amp;BW$391)),
IF($K394=INDIRECT(CONCATENATE("$K$"&amp;BW$392)),INDIRECT(CONCATENATE("$K$"&amp;BW$391)),
IF($K394=INDIRECT(CONCATENATE("$J$"&amp;BW$392)),INDIRECT(CONCATENATE("$J$"&amp;BW$391)),
IF($K394=INDIRECT(CONCATENATE("$I$"&amp;BW$392)),INDIRECT(CONCATENATE("$I$"&amp;BW$391)),
IF($K394=INDIRECT(CONCATENATE("$H$"&amp;BW$392)),INDIRECT(CONCATENATE("$H$"&amp;BW$391)),
IF($K394=INDIRECT(CONCATENATE("$G$"&amp;BW$392)),INDIRECT(CONCATENATE("$G$"&amp;BW$391)),
IF($K394=INDIRECT(CONCATENATE("$F$"&amp;BW$392)),INDIRECT(CONCATENATE("$F$"&amp;BW$391)),
IF($K394=INDIRECT(CONCATENATE("$E$"&amp;BW$392)),INDIRECT(CONCATENATE("$E$"&amp;BW$391)),
IF($K394=INDIRECT(CONCATENATE("$D$"&amp;BW$392)),INDIRECT(CONCATENATE("$D$"&amp;BW$391)),
IF($K394=INDIRECT(CONCATENATE("$C$"&amp;BW$392)),INDIRECT(CONCATENATE("$C$"&amp;BW$391)),"X")))))))))))))))))))))))))))))))</f>
        <v>X</v>
      </c>
      <c r="IJ394" s="58" t="str">
        <f t="shared" ref="IJ394:IJ428" ca="1" si="1658">IF($K394=INDIRECT(CONCATENATE("$AG$"&amp;BX$392)),INDIRECT(CONCATENATE("$AG$"&amp;BX$391)),
IF($K394=INDIRECT(CONCATENATE("$AF$"&amp;BX$392)),INDIRECT(CONCATENATE("$AF$"&amp;BX$391)),
IF($K394=INDIRECT(CONCATENATE("$AE$"&amp;BX$392)),INDIRECT(CONCATENATE("$AE$"&amp;BX$391)),
IF($K394=INDIRECT(CONCATENATE("$AD$"&amp;BX$392)),INDIRECT(CONCATENATE("$AD$"&amp;BX$391)),
IF($K394=INDIRECT(CONCATENATE("$AC$"&amp;BX$392)),INDIRECT(CONCATENATE("$AC$"&amp;BX$391)),
IF($K394=INDIRECT(CONCATENATE("$AB$"&amp;BX$392)),INDIRECT(CONCATENATE("$AB$"&amp;BX$391)),
IF($K394=INDIRECT(CONCATENATE("$AA$"&amp;BX$392)),INDIRECT(CONCATENATE("$AA$"&amp;BX$391)),
IF($K394=INDIRECT(CONCATENATE("$Z$"&amp;BX$392)),INDIRECT(CONCATENATE("$Z$"&amp;BX$391)),
IF($K394=INDIRECT(CONCATENATE("$Y$"&amp;BX$392)),INDIRECT(CONCATENATE("$Y$"&amp;BX$391)),
IF($K394=INDIRECT(CONCATENATE("$X$"&amp;BX$392)),INDIRECT(CONCATENATE("$X$"&amp;BX$391)),
IF($K394=INDIRECT(CONCATENATE("$W$"&amp;BX$392)),INDIRECT(CONCATENATE("$W$"&amp;BX$391)),
IF($K394=INDIRECT(CONCATENATE("$V$"&amp;BX$392)),INDIRECT(CONCATENATE("$V$"&amp;BX$391)),
IF($K394=INDIRECT(CONCATENATE("$U$"&amp;BX$392)),INDIRECT(CONCATENATE("$U$"&amp;BX$391)),
IF($K394=INDIRECT(CONCATENATE("$T$"&amp;BX$392)),INDIRECT(CONCATENATE("$T$"&amp;BX$391)),
IF($K394=INDIRECT(CONCATENATE("$S$"&amp;BX$392)),INDIRECT(CONCATENATE("$S$"&amp;BX$391)),
IF($K394=INDIRECT(CONCATENATE("$R$"&amp;BX$392)),INDIRECT(CONCATENATE("$R$"&amp;BX$391)),
IF($K394=INDIRECT(CONCATENATE("$Q$"&amp;BX$392)),INDIRECT(CONCATENATE("$Q$"&amp;BX$391)),
IF($K394=INDIRECT(CONCATENATE("$P$"&amp;BX$392)),INDIRECT(CONCATENATE("$P$"&amp;BX$391)),
IF($K394=INDIRECT(CONCATENATE("$O$"&amp;BX$392)),INDIRECT(CONCATENATE("$O$"&amp;BX$391)),
IF($K394=INDIRECT(CONCATENATE("$N$"&amp;BX$392)),INDIRECT(CONCATENATE("$N$"&amp;BX$391)),
IF($K394=INDIRECT(CONCATENATE("$M$"&amp;BX$392)),INDIRECT(CONCATENATE("$M$"&amp;BX$391)),
IF($K394=INDIRECT(CONCATENATE("$L$"&amp;BX$392)),INDIRECT(CONCATENATE("$L$"&amp;BX$391)),
IF($K394=INDIRECT(CONCATENATE("$K$"&amp;BX$392)),INDIRECT(CONCATENATE("$K$"&amp;BX$391)),
IF($K394=INDIRECT(CONCATENATE("$J$"&amp;BX$392)),INDIRECT(CONCATENATE("$J$"&amp;BX$391)),
IF($K394=INDIRECT(CONCATENATE("$I$"&amp;BX$392)),INDIRECT(CONCATENATE("$I$"&amp;BX$391)),
IF($K394=INDIRECT(CONCATENATE("$H$"&amp;BX$392)),INDIRECT(CONCATENATE("$H$"&amp;BX$391)),
IF($K394=INDIRECT(CONCATENATE("$G$"&amp;BX$392)),INDIRECT(CONCATENATE("$G$"&amp;BX$391)),
IF($K394=INDIRECT(CONCATENATE("$F$"&amp;BX$392)),INDIRECT(CONCATENATE("$F$"&amp;BX$391)),
IF($K394=INDIRECT(CONCATENATE("$E$"&amp;BX$392)),INDIRECT(CONCATENATE("$E$"&amp;BX$391)),
IF($K394=INDIRECT(CONCATENATE("$D$"&amp;BX$392)),INDIRECT(CONCATENATE("$D$"&amp;BX$391)),
IF($K394=INDIRECT(CONCATENATE("$C$"&amp;BX$392)),INDIRECT(CONCATENATE("$C$"&amp;BX$391)),"X")))))))))))))))))))))))))))))))</f>
        <v>X</v>
      </c>
      <c r="IK394" s="58" t="str">
        <f t="shared" ref="IK394:IK428" ca="1" si="1659">IF($K394=INDIRECT(CONCATENATE("$AG$"&amp;BY$392)),INDIRECT(CONCATENATE("$AG$"&amp;BY$391)),
IF($K394=INDIRECT(CONCATENATE("$AF$"&amp;BY$392)),INDIRECT(CONCATENATE("$AF$"&amp;BY$391)),
IF($K394=INDIRECT(CONCATENATE("$AE$"&amp;BY$392)),INDIRECT(CONCATENATE("$AE$"&amp;BY$391)),
IF($K394=INDIRECT(CONCATENATE("$AD$"&amp;BY$392)),INDIRECT(CONCATENATE("$AD$"&amp;BY$391)),
IF($K394=INDIRECT(CONCATENATE("$AC$"&amp;BY$392)),INDIRECT(CONCATENATE("$AC$"&amp;BY$391)),
IF($K394=INDIRECT(CONCATENATE("$AB$"&amp;BY$392)),INDIRECT(CONCATENATE("$AB$"&amp;BY$391)),
IF($K394=INDIRECT(CONCATENATE("$AA$"&amp;BY$392)),INDIRECT(CONCATENATE("$AA$"&amp;BY$391)),
IF($K394=INDIRECT(CONCATENATE("$Z$"&amp;BY$392)),INDIRECT(CONCATENATE("$Z$"&amp;BY$391)),
IF($K394=INDIRECT(CONCATENATE("$Y$"&amp;BY$392)),INDIRECT(CONCATENATE("$Y$"&amp;BY$391)),
IF($K394=INDIRECT(CONCATENATE("$X$"&amp;BY$392)),INDIRECT(CONCATENATE("$X$"&amp;BY$391)),
IF($K394=INDIRECT(CONCATENATE("$W$"&amp;BY$392)),INDIRECT(CONCATENATE("$W$"&amp;BY$391)),
IF($K394=INDIRECT(CONCATENATE("$V$"&amp;BY$392)),INDIRECT(CONCATENATE("$V$"&amp;BY$391)),
IF($K394=INDIRECT(CONCATENATE("$U$"&amp;BY$392)),INDIRECT(CONCATENATE("$U$"&amp;BY$391)),
IF($K394=INDIRECT(CONCATENATE("$T$"&amp;BY$392)),INDIRECT(CONCATENATE("$T$"&amp;BY$391)),
IF($K394=INDIRECT(CONCATENATE("$S$"&amp;BY$392)),INDIRECT(CONCATENATE("$S$"&amp;BY$391)),
IF($K394=INDIRECT(CONCATENATE("$R$"&amp;BY$392)),INDIRECT(CONCATENATE("$R$"&amp;BY$391)),
IF($K394=INDIRECT(CONCATENATE("$Q$"&amp;BY$392)),INDIRECT(CONCATENATE("$Q$"&amp;BY$391)),
IF($K394=INDIRECT(CONCATENATE("$P$"&amp;BY$392)),INDIRECT(CONCATENATE("$P$"&amp;BY$391)),
IF($K394=INDIRECT(CONCATENATE("$O$"&amp;BY$392)),INDIRECT(CONCATENATE("$O$"&amp;BY$391)),
IF($K394=INDIRECT(CONCATENATE("$N$"&amp;BY$392)),INDIRECT(CONCATENATE("$N$"&amp;BY$391)),
IF($K394=INDIRECT(CONCATENATE("$M$"&amp;BY$392)),INDIRECT(CONCATENATE("$M$"&amp;BY$391)),
IF($K394=INDIRECT(CONCATENATE("$L$"&amp;BY$392)),INDIRECT(CONCATENATE("$L$"&amp;BY$391)),
IF($K394=INDIRECT(CONCATENATE("$K$"&amp;BY$392)),INDIRECT(CONCATENATE("$K$"&amp;BY$391)),
IF($K394=INDIRECT(CONCATENATE("$J$"&amp;BY$392)),INDIRECT(CONCATENATE("$J$"&amp;BY$391)),
IF($K394=INDIRECT(CONCATENATE("$I$"&amp;BY$392)),INDIRECT(CONCATENATE("$I$"&amp;BY$391)),
IF($K394=INDIRECT(CONCATENATE("$H$"&amp;BY$392)),INDIRECT(CONCATENATE("$H$"&amp;BY$391)),
IF($K394=INDIRECT(CONCATENATE("$G$"&amp;BY$392)),INDIRECT(CONCATENATE("$G$"&amp;BY$391)),
IF($K394=INDIRECT(CONCATENATE("$F$"&amp;BY$392)),INDIRECT(CONCATENATE("$F$"&amp;BY$391)),
IF($K394=INDIRECT(CONCATENATE("$E$"&amp;BY$392)),INDIRECT(CONCATENATE("$E$"&amp;BY$391)),
IF($K394=INDIRECT(CONCATENATE("$D$"&amp;BY$392)),INDIRECT(CONCATENATE("$D$"&amp;BY$391)),
IF($K394=INDIRECT(CONCATENATE("$C$"&amp;BY$392)),INDIRECT(CONCATENATE("$C$"&amp;BY$391)),"X")))))))))))))))))))))))))))))))</f>
        <v>X</v>
      </c>
      <c r="IL394" s="58" t="str">
        <f t="shared" ref="IL394:IL428" ca="1" si="1660">IF($K394=INDIRECT(CONCATENATE("$AG$"&amp;BZ$392)),INDIRECT(CONCATENATE("$AG$"&amp;BZ$391)),
IF($K394=INDIRECT(CONCATENATE("$AF$"&amp;BZ$392)),INDIRECT(CONCATENATE("$AF$"&amp;BZ$391)),
IF($K394=INDIRECT(CONCATENATE("$AE$"&amp;BZ$392)),INDIRECT(CONCATENATE("$AE$"&amp;BZ$391)),
IF($K394=INDIRECT(CONCATENATE("$AD$"&amp;BZ$392)),INDIRECT(CONCATENATE("$AD$"&amp;BZ$391)),
IF($K394=INDIRECT(CONCATENATE("$AC$"&amp;BZ$392)),INDIRECT(CONCATENATE("$AC$"&amp;BZ$391)),
IF($K394=INDIRECT(CONCATENATE("$AB$"&amp;BZ$392)),INDIRECT(CONCATENATE("$AB$"&amp;BZ$391)),
IF($K394=INDIRECT(CONCATENATE("$AA$"&amp;BZ$392)),INDIRECT(CONCATENATE("$AA$"&amp;BZ$391)),
IF($K394=INDIRECT(CONCATENATE("$Z$"&amp;BZ$392)),INDIRECT(CONCATENATE("$Z$"&amp;BZ$391)),
IF($K394=INDIRECT(CONCATENATE("$Y$"&amp;BZ$392)),INDIRECT(CONCATENATE("$Y$"&amp;BZ$391)),
IF($K394=INDIRECT(CONCATENATE("$X$"&amp;BZ$392)),INDIRECT(CONCATENATE("$X$"&amp;BZ$391)),
IF($K394=INDIRECT(CONCATENATE("$W$"&amp;BZ$392)),INDIRECT(CONCATENATE("$W$"&amp;BZ$391)),
IF($K394=INDIRECT(CONCATENATE("$V$"&amp;BZ$392)),INDIRECT(CONCATENATE("$V$"&amp;BZ$391)),
IF($K394=INDIRECT(CONCATENATE("$U$"&amp;BZ$392)),INDIRECT(CONCATENATE("$U$"&amp;BZ$391)),
IF($K394=INDIRECT(CONCATENATE("$T$"&amp;BZ$392)),INDIRECT(CONCATENATE("$T$"&amp;BZ$391)),
IF($K394=INDIRECT(CONCATENATE("$S$"&amp;BZ$392)),INDIRECT(CONCATENATE("$S$"&amp;BZ$391)),
IF($K394=INDIRECT(CONCATENATE("$R$"&amp;BZ$392)),INDIRECT(CONCATENATE("$R$"&amp;BZ$391)),
IF($K394=INDIRECT(CONCATENATE("$Q$"&amp;BZ$392)),INDIRECT(CONCATENATE("$Q$"&amp;BZ$391)),
IF($K394=INDIRECT(CONCATENATE("$P$"&amp;BZ$392)),INDIRECT(CONCATENATE("$P$"&amp;BZ$391)),
IF($K394=INDIRECT(CONCATENATE("$O$"&amp;BZ$392)),INDIRECT(CONCATENATE("$O$"&amp;BZ$391)),
IF($K394=INDIRECT(CONCATENATE("$N$"&amp;BZ$392)),INDIRECT(CONCATENATE("$N$"&amp;BZ$391)),
IF($K394=INDIRECT(CONCATENATE("$M$"&amp;BZ$392)),INDIRECT(CONCATENATE("$M$"&amp;BZ$391)),
IF($K394=INDIRECT(CONCATENATE("$L$"&amp;BZ$392)),INDIRECT(CONCATENATE("$L$"&amp;BZ$391)),
IF($K394=INDIRECT(CONCATENATE("$K$"&amp;BZ$392)),INDIRECT(CONCATENATE("$K$"&amp;BZ$391)),
IF($K394=INDIRECT(CONCATENATE("$J$"&amp;BZ$392)),INDIRECT(CONCATENATE("$J$"&amp;BZ$391)),
IF($K394=INDIRECT(CONCATENATE("$I$"&amp;BZ$392)),INDIRECT(CONCATENATE("$I$"&amp;BZ$391)),
IF($K394=INDIRECT(CONCATENATE("$H$"&amp;BZ$392)),INDIRECT(CONCATENATE("$H$"&amp;BZ$391)),
IF($K394=INDIRECT(CONCATENATE("$G$"&amp;BZ$392)),INDIRECT(CONCATENATE("$G$"&amp;BZ$391)),
IF($K394=INDIRECT(CONCATENATE("$F$"&amp;BZ$392)),INDIRECT(CONCATENATE("$F$"&amp;BZ$391)),
IF($K394=INDIRECT(CONCATENATE("$E$"&amp;BZ$392)),INDIRECT(CONCATENATE("$E$"&amp;BZ$391)),
IF($K394=INDIRECT(CONCATENATE("$D$"&amp;BZ$392)),INDIRECT(CONCATENATE("$D$"&amp;BZ$391)),
IF($K394=INDIRECT(CONCATENATE("$C$"&amp;BZ$392)),INDIRECT(CONCATENATE("$C$"&amp;BZ$391)),"X")))))))))))))))))))))))))))))))</f>
        <v>X</v>
      </c>
      <c r="IM394" s="58" t="str">
        <f t="shared" ref="IM394:IM428" ca="1" si="1661">IF($K394=INDIRECT(CONCATENATE("$AG$"&amp;CA$392)),INDIRECT(CONCATENATE("$AG$"&amp;CA$391)),
IF($K394=INDIRECT(CONCATENATE("$AF$"&amp;CA$392)),INDIRECT(CONCATENATE("$AF$"&amp;CA$391)),
IF($K394=INDIRECT(CONCATENATE("$AE$"&amp;CA$392)),INDIRECT(CONCATENATE("$AE$"&amp;CA$391)),
IF($K394=INDIRECT(CONCATENATE("$AD$"&amp;CA$392)),INDIRECT(CONCATENATE("$AD$"&amp;CA$391)),
IF($K394=INDIRECT(CONCATENATE("$AC$"&amp;CA$392)),INDIRECT(CONCATENATE("$AC$"&amp;CA$391)),
IF($K394=INDIRECT(CONCATENATE("$AB$"&amp;CA$392)),INDIRECT(CONCATENATE("$AB$"&amp;CA$391)),
IF($K394=INDIRECT(CONCATENATE("$AA$"&amp;CA$392)),INDIRECT(CONCATENATE("$AA$"&amp;CA$391)),
IF($K394=INDIRECT(CONCATENATE("$Z$"&amp;CA$392)),INDIRECT(CONCATENATE("$Z$"&amp;CA$391)),
IF($K394=INDIRECT(CONCATENATE("$Y$"&amp;CA$392)),INDIRECT(CONCATENATE("$Y$"&amp;CA$391)),
IF($K394=INDIRECT(CONCATENATE("$X$"&amp;CA$392)),INDIRECT(CONCATENATE("$X$"&amp;CA$391)),
IF($K394=INDIRECT(CONCATENATE("$W$"&amp;CA$392)),INDIRECT(CONCATENATE("$W$"&amp;CA$391)),
IF($K394=INDIRECT(CONCATENATE("$V$"&amp;CA$392)),INDIRECT(CONCATENATE("$V$"&amp;CA$391)),
IF($K394=INDIRECT(CONCATENATE("$U$"&amp;CA$392)),INDIRECT(CONCATENATE("$U$"&amp;CA$391)),
IF($K394=INDIRECT(CONCATENATE("$T$"&amp;CA$392)),INDIRECT(CONCATENATE("$T$"&amp;CA$391)),
IF($K394=INDIRECT(CONCATENATE("$S$"&amp;CA$392)),INDIRECT(CONCATENATE("$S$"&amp;CA$391)),
IF($K394=INDIRECT(CONCATENATE("$R$"&amp;CA$392)),INDIRECT(CONCATENATE("$R$"&amp;CA$391)),
IF($K394=INDIRECT(CONCATENATE("$Q$"&amp;CA$392)),INDIRECT(CONCATENATE("$Q$"&amp;CA$391)),
IF($K394=INDIRECT(CONCATENATE("$P$"&amp;CA$392)),INDIRECT(CONCATENATE("$P$"&amp;CA$391)),
IF($K394=INDIRECT(CONCATENATE("$O$"&amp;CA$392)),INDIRECT(CONCATENATE("$O$"&amp;CA$391)),
IF($K394=INDIRECT(CONCATENATE("$N$"&amp;CA$392)),INDIRECT(CONCATENATE("$N$"&amp;CA$391)),
IF($K394=INDIRECT(CONCATENATE("$M$"&amp;CA$392)),INDIRECT(CONCATENATE("$M$"&amp;CA$391)),
IF($K394=INDIRECT(CONCATENATE("$L$"&amp;CA$392)),INDIRECT(CONCATENATE("$L$"&amp;CA$391)),
IF($K394=INDIRECT(CONCATENATE("$K$"&amp;CA$392)),INDIRECT(CONCATENATE("$K$"&amp;CA$391)),
IF($K394=INDIRECT(CONCATENATE("$J$"&amp;CA$392)),INDIRECT(CONCATENATE("$J$"&amp;CA$391)),
IF($K394=INDIRECT(CONCATENATE("$I$"&amp;CA$392)),INDIRECT(CONCATENATE("$I$"&amp;CA$391)),
IF($K394=INDIRECT(CONCATENATE("$H$"&amp;CA$392)),INDIRECT(CONCATENATE("$H$"&amp;CA$391)),
IF($K394=INDIRECT(CONCATENATE("$G$"&amp;CA$392)),INDIRECT(CONCATENATE("$G$"&amp;CA$391)),
IF($K394=INDIRECT(CONCATENATE("$F$"&amp;CA$392)),INDIRECT(CONCATENATE("$F$"&amp;CA$391)),
IF($K394=INDIRECT(CONCATENATE("$E$"&amp;CA$392)),INDIRECT(CONCATENATE("$E$"&amp;CA$391)),
IF($K394=INDIRECT(CONCATENATE("$D$"&amp;CA$392)),INDIRECT(CONCATENATE("$D$"&amp;CA$391)),
IF($K394=INDIRECT(CONCATENATE("$C$"&amp;CA$392)),INDIRECT(CONCATENATE("$C$"&amp;CA$391)),"X")))))))))))))))))))))))))))))))</f>
        <v>X</v>
      </c>
      <c r="IN394" s="58" t="str">
        <f t="shared" ref="IN394:IN428" ca="1" si="1662">IF($K394=INDIRECT(CONCATENATE("$AG$"&amp;CB$392)),INDIRECT(CONCATENATE("$AG$"&amp;CB$391)),
IF($K394=INDIRECT(CONCATENATE("$AF$"&amp;CB$392)),INDIRECT(CONCATENATE("$AF$"&amp;CB$391)),
IF($K394=INDIRECT(CONCATENATE("$AE$"&amp;CB$392)),INDIRECT(CONCATENATE("$AE$"&amp;CB$391)),
IF($K394=INDIRECT(CONCATENATE("$AD$"&amp;CB$392)),INDIRECT(CONCATENATE("$AD$"&amp;CB$391)),
IF($K394=INDIRECT(CONCATENATE("$AC$"&amp;CB$392)),INDIRECT(CONCATENATE("$AC$"&amp;CB$391)),
IF($K394=INDIRECT(CONCATENATE("$AB$"&amp;CB$392)),INDIRECT(CONCATENATE("$AB$"&amp;CB$391)),
IF($K394=INDIRECT(CONCATENATE("$AA$"&amp;CB$392)),INDIRECT(CONCATENATE("$AA$"&amp;CB$391)),
IF($K394=INDIRECT(CONCATENATE("$Z$"&amp;CB$392)),INDIRECT(CONCATENATE("$Z$"&amp;CB$391)),
IF($K394=INDIRECT(CONCATENATE("$Y$"&amp;CB$392)),INDIRECT(CONCATENATE("$Y$"&amp;CB$391)),
IF($K394=INDIRECT(CONCATENATE("$X$"&amp;CB$392)),INDIRECT(CONCATENATE("$X$"&amp;CB$391)),
IF($K394=INDIRECT(CONCATENATE("$W$"&amp;CB$392)),INDIRECT(CONCATENATE("$W$"&amp;CB$391)),
IF($K394=INDIRECT(CONCATENATE("$V$"&amp;CB$392)),INDIRECT(CONCATENATE("$V$"&amp;CB$391)),
IF($K394=INDIRECT(CONCATENATE("$U$"&amp;CB$392)),INDIRECT(CONCATENATE("$U$"&amp;CB$391)),
IF($K394=INDIRECT(CONCATENATE("$T$"&amp;CB$392)),INDIRECT(CONCATENATE("$T$"&amp;CB$391)),
IF($K394=INDIRECT(CONCATENATE("$S$"&amp;CB$392)),INDIRECT(CONCATENATE("$S$"&amp;CB$391)),
IF($K394=INDIRECT(CONCATENATE("$R$"&amp;CB$392)),INDIRECT(CONCATENATE("$R$"&amp;CB$391)),
IF($K394=INDIRECT(CONCATENATE("$Q$"&amp;CB$392)),INDIRECT(CONCATENATE("$Q$"&amp;CB$391)),
IF($K394=INDIRECT(CONCATENATE("$P$"&amp;CB$392)),INDIRECT(CONCATENATE("$P$"&amp;CB$391)),
IF($K394=INDIRECT(CONCATENATE("$O$"&amp;CB$392)),INDIRECT(CONCATENATE("$O$"&amp;CB$391)),
IF($K394=INDIRECT(CONCATENATE("$N$"&amp;CB$392)),INDIRECT(CONCATENATE("$N$"&amp;CB$391)),
IF($K394=INDIRECT(CONCATENATE("$M$"&amp;CB$392)),INDIRECT(CONCATENATE("$M$"&amp;CB$391)),
IF($K394=INDIRECT(CONCATENATE("$L$"&amp;CB$392)),INDIRECT(CONCATENATE("$L$"&amp;CB$391)),
IF($K394=INDIRECT(CONCATENATE("$K$"&amp;CB$392)),INDIRECT(CONCATENATE("$K$"&amp;CB$391)),
IF($K394=INDIRECT(CONCATENATE("$J$"&amp;CB$392)),INDIRECT(CONCATENATE("$J$"&amp;CB$391)),
IF($K394=INDIRECT(CONCATENATE("$I$"&amp;CB$392)),INDIRECT(CONCATENATE("$I$"&amp;CB$391)),
IF($K394=INDIRECT(CONCATENATE("$H$"&amp;CB$392)),INDIRECT(CONCATENATE("$H$"&amp;CB$391)),
IF($K394=INDIRECT(CONCATENATE("$G$"&amp;CB$392)),INDIRECT(CONCATENATE("$G$"&amp;CB$391)),
IF($K394=INDIRECT(CONCATENATE("$F$"&amp;CB$392)),INDIRECT(CONCATENATE("$F$"&amp;CB$391)),
IF($K394=INDIRECT(CONCATENATE("$E$"&amp;CB$392)),INDIRECT(CONCATENATE("$E$"&amp;CB$391)),
IF($K394=INDIRECT(CONCATENATE("$D$"&amp;CB$392)),INDIRECT(CONCATENATE("$D$"&amp;CB$391)),
IF($K394=INDIRECT(CONCATENATE("$C$"&amp;CB$392)),INDIRECT(CONCATENATE("$C$"&amp;CB$391)),"X")))))))))))))))))))))))))))))))</f>
        <v>X</v>
      </c>
      <c r="IO394" s="58" t="str">
        <f t="shared" ref="IO394:IO428" ca="1" si="1663">IF($K394=INDIRECT(CONCATENATE("$AG$"&amp;CC$392)),INDIRECT(CONCATENATE("$AG$"&amp;CC$391)),
IF($K394=INDIRECT(CONCATENATE("$AF$"&amp;CC$392)),INDIRECT(CONCATENATE("$AF$"&amp;CC$391)),
IF($K394=INDIRECT(CONCATENATE("$AE$"&amp;CC$392)),INDIRECT(CONCATENATE("$AE$"&amp;CC$391)),
IF($K394=INDIRECT(CONCATENATE("$AD$"&amp;CC$392)),INDIRECT(CONCATENATE("$AD$"&amp;CC$391)),
IF($K394=INDIRECT(CONCATENATE("$AC$"&amp;CC$392)),INDIRECT(CONCATENATE("$AC$"&amp;CC$391)),
IF($K394=INDIRECT(CONCATENATE("$AB$"&amp;CC$392)),INDIRECT(CONCATENATE("$AB$"&amp;CC$391)),
IF($K394=INDIRECT(CONCATENATE("$AA$"&amp;CC$392)),INDIRECT(CONCATENATE("$AA$"&amp;CC$391)),
IF($K394=INDIRECT(CONCATENATE("$Z$"&amp;CC$392)),INDIRECT(CONCATENATE("$Z$"&amp;CC$391)),
IF($K394=INDIRECT(CONCATENATE("$Y$"&amp;CC$392)),INDIRECT(CONCATENATE("$Y$"&amp;CC$391)),
IF($K394=INDIRECT(CONCATENATE("$X$"&amp;CC$392)),INDIRECT(CONCATENATE("$X$"&amp;CC$391)),
IF($K394=INDIRECT(CONCATENATE("$W$"&amp;CC$392)),INDIRECT(CONCATENATE("$W$"&amp;CC$391)),
IF($K394=INDIRECT(CONCATENATE("$V$"&amp;CC$392)),INDIRECT(CONCATENATE("$V$"&amp;CC$391)),
IF($K394=INDIRECT(CONCATENATE("$U$"&amp;CC$392)),INDIRECT(CONCATENATE("$U$"&amp;CC$391)),
IF($K394=INDIRECT(CONCATENATE("$T$"&amp;CC$392)),INDIRECT(CONCATENATE("$T$"&amp;CC$391)),
IF($K394=INDIRECT(CONCATENATE("$S$"&amp;CC$392)),INDIRECT(CONCATENATE("$S$"&amp;CC$391)),
IF($K394=INDIRECT(CONCATENATE("$R$"&amp;CC$392)),INDIRECT(CONCATENATE("$R$"&amp;CC$391)),
IF($K394=INDIRECT(CONCATENATE("$Q$"&amp;CC$392)),INDIRECT(CONCATENATE("$Q$"&amp;CC$391)),
IF($K394=INDIRECT(CONCATENATE("$P$"&amp;CC$392)),INDIRECT(CONCATENATE("$P$"&amp;CC$391)),
IF($K394=INDIRECT(CONCATENATE("$O$"&amp;CC$392)),INDIRECT(CONCATENATE("$O$"&amp;CC$391)),
IF($K394=INDIRECT(CONCATENATE("$N$"&amp;CC$392)),INDIRECT(CONCATENATE("$N$"&amp;CC$391)),
IF($K394=INDIRECT(CONCATENATE("$M$"&amp;CC$392)),INDIRECT(CONCATENATE("$M$"&amp;CC$391)),
IF($K394=INDIRECT(CONCATENATE("$L$"&amp;CC$392)),INDIRECT(CONCATENATE("$L$"&amp;CC$391)),
IF($K394=INDIRECT(CONCATENATE("$K$"&amp;CC$392)),INDIRECT(CONCATENATE("$K$"&amp;CC$391)),
IF($K394=INDIRECT(CONCATENATE("$J$"&amp;CC$392)),INDIRECT(CONCATENATE("$J$"&amp;CC$391)),
IF($K394=INDIRECT(CONCATENATE("$I$"&amp;CC$392)),INDIRECT(CONCATENATE("$I$"&amp;CC$391)),
IF($K394=INDIRECT(CONCATENATE("$H$"&amp;CC$392)),INDIRECT(CONCATENATE("$H$"&amp;CC$391)),
IF($K394=INDIRECT(CONCATENATE("$G$"&amp;CC$392)),INDIRECT(CONCATENATE("$G$"&amp;CC$391)),
IF($K394=INDIRECT(CONCATENATE("$F$"&amp;CC$392)),INDIRECT(CONCATENATE("$F$"&amp;CC$391)),
IF($K394=INDIRECT(CONCATENATE("$E$"&amp;CC$392)),INDIRECT(CONCATENATE("$E$"&amp;CC$391)),
IF($K394=INDIRECT(CONCATENATE("$D$"&amp;CC$392)),INDIRECT(CONCATENATE("$D$"&amp;CC$391)),
IF($K394=INDIRECT(CONCATENATE("$C$"&amp;CC$392)),INDIRECT(CONCATENATE("$C$"&amp;CC$391)),"X")))))))))))))))))))))))))))))))</f>
        <v>X</v>
      </c>
      <c r="IP394" s="58" t="str">
        <f t="shared" ref="IP394:IP428" ca="1" si="1664">IF($K394=INDIRECT(CONCATENATE("$AG$"&amp;CD$392)),INDIRECT(CONCATENATE("$AG$"&amp;CD$391)),
IF($K394=INDIRECT(CONCATENATE("$AF$"&amp;CD$392)),INDIRECT(CONCATENATE("$AF$"&amp;CD$391)),
IF($K394=INDIRECT(CONCATENATE("$AE$"&amp;CD$392)),INDIRECT(CONCATENATE("$AE$"&amp;CD$391)),
IF($K394=INDIRECT(CONCATENATE("$AD$"&amp;CD$392)),INDIRECT(CONCATENATE("$AD$"&amp;CD$391)),
IF($K394=INDIRECT(CONCATENATE("$AC$"&amp;CD$392)),INDIRECT(CONCATENATE("$AC$"&amp;CD$391)),
IF($K394=INDIRECT(CONCATENATE("$AB$"&amp;CD$392)),INDIRECT(CONCATENATE("$AB$"&amp;CD$391)),
IF($K394=INDIRECT(CONCATENATE("$AA$"&amp;CD$392)),INDIRECT(CONCATENATE("$AA$"&amp;CD$391)),
IF($K394=INDIRECT(CONCATENATE("$Z$"&amp;CD$392)),INDIRECT(CONCATENATE("$Z$"&amp;CD$391)),
IF($K394=INDIRECT(CONCATENATE("$Y$"&amp;CD$392)),INDIRECT(CONCATENATE("$Y$"&amp;CD$391)),
IF($K394=INDIRECT(CONCATENATE("$X$"&amp;CD$392)),INDIRECT(CONCATENATE("$X$"&amp;CD$391)),
IF($K394=INDIRECT(CONCATENATE("$W$"&amp;CD$392)),INDIRECT(CONCATENATE("$W$"&amp;CD$391)),
IF($K394=INDIRECT(CONCATENATE("$V$"&amp;CD$392)),INDIRECT(CONCATENATE("$V$"&amp;CD$391)),
IF($K394=INDIRECT(CONCATENATE("$U$"&amp;CD$392)),INDIRECT(CONCATENATE("$U$"&amp;CD$391)),
IF($K394=INDIRECT(CONCATENATE("$T$"&amp;CD$392)),INDIRECT(CONCATENATE("$T$"&amp;CD$391)),
IF($K394=INDIRECT(CONCATENATE("$S$"&amp;CD$392)),INDIRECT(CONCATENATE("$S$"&amp;CD$391)),
IF($K394=INDIRECT(CONCATENATE("$R$"&amp;CD$392)),INDIRECT(CONCATENATE("$R$"&amp;CD$391)),
IF($K394=INDIRECT(CONCATENATE("$Q$"&amp;CD$392)),INDIRECT(CONCATENATE("$Q$"&amp;CD$391)),
IF($K394=INDIRECT(CONCATENATE("$P$"&amp;CD$392)),INDIRECT(CONCATENATE("$P$"&amp;CD$391)),
IF($K394=INDIRECT(CONCATENATE("$O$"&amp;CD$392)),INDIRECT(CONCATENATE("$O$"&amp;CD$391)),
IF($K394=INDIRECT(CONCATENATE("$N$"&amp;CD$392)),INDIRECT(CONCATENATE("$N$"&amp;CD$391)),
IF($K394=INDIRECT(CONCATENATE("$M$"&amp;CD$392)),INDIRECT(CONCATENATE("$M$"&amp;CD$391)),
IF($K394=INDIRECT(CONCATENATE("$L$"&amp;CD$392)),INDIRECT(CONCATENATE("$L$"&amp;CD$391)),
IF($K394=INDIRECT(CONCATENATE("$K$"&amp;CD$392)),INDIRECT(CONCATENATE("$K$"&amp;CD$391)),
IF($K394=INDIRECT(CONCATENATE("$J$"&amp;CD$392)),INDIRECT(CONCATENATE("$J$"&amp;CD$391)),
IF($K394=INDIRECT(CONCATENATE("$I$"&amp;CD$392)),INDIRECT(CONCATENATE("$I$"&amp;CD$391)),
IF($K394=INDIRECT(CONCATENATE("$H$"&amp;CD$392)),INDIRECT(CONCATENATE("$H$"&amp;CD$391)),
IF($K394=INDIRECT(CONCATENATE("$G$"&amp;CD$392)),INDIRECT(CONCATENATE("$G$"&amp;CD$391)),
IF($K394=INDIRECT(CONCATENATE("$F$"&amp;CD$392)),INDIRECT(CONCATENATE("$F$"&amp;CD$391)),
IF($K394=INDIRECT(CONCATENATE("$E$"&amp;CD$392)),INDIRECT(CONCATENATE("$E$"&amp;CD$391)),
IF($K394=INDIRECT(CONCATENATE("$D$"&amp;CD$392)),INDIRECT(CONCATENATE("$D$"&amp;CD$391)),
IF($K394=INDIRECT(CONCATENATE("$C$"&amp;CD$392)),INDIRECT(CONCATENATE("$C$"&amp;CD$391)),"X")))))))))))))))))))))))))))))))</f>
        <v>X</v>
      </c>
      <c r="IQ394" s="58" t="str">
        <f t="shared" ref="IQ394:IQ428" ca="1" si="1665">IF($K394=INDIRECT(CONCATENATE("$AG$"&amp;CE$392)),INDIRECT(CONCATENATE("$AG$"&amp;CE$391)),
IF($K394=INDIRECT(CONCATENATE("$AF$"&amp;CE$392)),INDIRECT(CONCATENATE("$AF$"&amp;CE$391)),
IF($K394=INDIRECT(CONCATENATE("$AE$"&amp;CE$392)),INDIRECT(CONCATENATE("$AE$"&amp;CE$391)),
IF($K394=INDIRECT(CONCATENATE("$AD$"&amp;CE$392)),INDIRECT(CONCATENATE("$AD$"&amp;CE$391)),
IF($K394=INDIRECT(CONCATENATE("$AC$"&amp;CE$392)),INDIRECT(CONCATENATE("$AC$"&amp;CE$391)),
IF($K394=INDIRECT(CONCATENATE("$AB$"&amp;CE$392)),INDIRECT(CONCATENATE("$AB$"&amp;CE$391)),
IF($K394=INDIRECT(CONCATENATE("$AA$"&amp;CE$392)),INDIRECT(CONCATENATE("$AA$"&amp;CE$391)),
IF($K394=INDIRECT(CONCATENATE("$Z$"&amp;CE$392)),INDIRECT(CONCATENATE("$Z$"&amp;CE$391)),
IF($K394=INDIRECT(CONCATENATE("$Y$"&amp;CE$392)),INDIRECT(CONCATENATE("$Y$"&amp;CE$391)),
IF($K394=INDIRECT(CONCATENATE("$X$"&amp;CE$392)),INDIRECT(CONCATENATE("$X$"&amp;CE$391)),
IF($K394=INDIRECT(CONCATENATE("$W$"&amp;CE$392)),INDIRECT(CONCATENATE("$W$"&amp;CE$391)),
IF($K394=INDIRECT(CONCATENATE("$V$"&amp;CE$392)),INDIRECT(CONCATENATE("$V$"&amp;CE$391)),
IF($K394=INDIRECT(CONCATENATE("$U$"&amp;CE$392)),INDIRECT(CONCATENATE("$U$"&amp;CE$391)),
IF($K394=INDIRECT(CONCATENATE("$T$"&amp;CE$392)),INDIRECT(CONCATENATE("$T$"&amp;CE$391)),
IF($K394=INDIRECT(CONCATENATE("$S$"&amp;CE$392)),INDIRECT(CONCATENATE("$S$"&amp;CE$391)),
IF($K394=INDIRECT(CONCATENATE("$R$"&amp;CE$392)),INDIRECT(CONCATENATE("$R$"&amp;CE$391)),
IF($K394=INDIRECT(CONCATENATE("$Q$"&amp;CE$392)),INDIRECT(CONCATENATE("$Q$"&amp;CE$391)),
IF($K394=INDIRECT(CONCATENATE("$P$"&amp;CE$392)),INDIRECT(CONCATENATE("$P$"&amp;CE$391)),
IF($K394=INDIRECT(CONCATENATE("$O$"&amp;CE$392)),INDIRECT(CONCATENATE("$O$"&amp;CE$391)),
IF($K394=INDIRECT(CONCATENATE("$N$"&amp;CE$392)),INDIRECT(CONCATENATE("$N$"&amp;CE$391)),
IF($K394=INDIRECT(CONCATENATE("$M$"&amp;CE$392)),INDIRECT(CONCATENATE("$M$"&amp;CE$391)),
IF($K394=INDIRECT(CONCATENATE("$L$"&amp;CE$392)),INDIRECT(CONCATENATE("$L$"&amp;CE$391)),
IF($K394=INDIRECT(CONCATENATE("$K$"&amp;CE$392)),INDIRECT(CONCATENATE("$K$"&amp;CE$391)),
IF($K394=INDIRECT(CONCATENATE("$J$"&amp;CE$392)),INDIRECT(CONCATENATE("$J$"&amp;CE$391)),
IF($K394=INDIRECT(CONCATENATE("$I$"&amp;CE$392)),INDIRECT(CONCATENATE("$I$"&amp;CE$391)),
IF($K394=INDIRECT(CONCATENATE("$H$"&amp;CE$392)),INDIRECT(CONCATENATE("$H$"&amp;CE$391)),
IF($K394=INDIRECT(CONCATENATE("$G$"&amp;CE$392)),INDIRECT(CONCATENATE("$G$"&amp;CE$391)),
IF($K394=INDIRECT(CONCATENATE("$F$"&amp;CE$392)),INDIRECT(CONCATENATE("$F$"&amp;CE$391)),
IF($K394=INDIRECT(CONCATENATE("$E$"&amp;CE$392)),INDIRECT(CONCATENATE("$E$"&amp;CE$391)),
IF($K394=INDIRECT(CONCATENATE("$D$"&amp;CE$392)),INDIRECT(CONCATENATE("$D$"&amp;CE$391)),
IF($K394=INDIRECT(CONCATENATE("$C$"&amp;CE$392)),INDIRECT(CONCATENATE("$C$"&amp;CE$391)),"X")))))))))))))))))))))))))))))))</f>
        <v>X</v>
      </c>
      <c r="IR394" s="58" t="str">
        <f t="shared" ref="IR394:JG428" ca="1" si="1666">IF($K394=INDIRECT(CONCATENATE("$AG$"&amp;CF$392)),INDIRECT(CONCATENATE("$AG$"&amp;CF$391)),
IF($K394=INDIRECT(CONCATENATE("$AF$"&amp;CF$392)),INDIRECT(CONCATENATE("$AF$"&amp;CF$391)),
IF($K394=INDIRECT(CONCATENATE("$AE$"&amp;CF$392)),INDIRECT(CONCATENATE("$AE$"&amp;CF$391)),
IF($K394=INDIRECT(CONCATENATE("$AD$"&amp;CF$392)),INDIRECT(CONCATENATE("$AD$"&amp;CF$391)),
IF($K394=INDIRECT(CONCATENATE("$AC$"&amp;CF$392)),INDIRECT(CONCATENATE("$AC$"&amp;CF$391)),
IF($K394=INDIRECT(CONCATENATE("$AB$"&amp;CF$392)),INDIRECT(CONCATENATE("$AB$"&amp;CF$391)),
IF($K394=INDIRECT(CONCATENATE("$AA$"&amp;CF$392)),INDIRECT(CONCATENATE("$AA$"&amp;CF$391)),
IF($K394=INDIRECT(CONCATENATE("$Z$"&amp;CF$392)),INDIRECT(CONCATENATE("$Z$"&amp;CF$391)),
IF($K394=INDIRECT(CONCATENATE("$Y$"&amp;CF$392)),INDIRECT(CONCATENATE("$Y$"&amp;CF$391)),
IF($K394=INDIRECT(CONCATENATE("$X$"&amp;CF$392)),INDIRECT(CONCATENATE("$X$"&amp;CF$391)),
IF($K394=INDIRECT(CONCATENATE("$W$"&amp;CF$392)),INDIRECT(CONCATENATE("$W$"&amp;CF$391)),
IF($K394=INDIRECT(CONCATENATE("$V$"&amp;CF$392)),INDIRECT(CONCATENATE("$V$"&amp;CF$391)),
IF($K394=INDIRECT(CONCATENATE("$U$"&amp;CF$392)),INDIRECT(CONCATENATE("$U$"&amp;CF$391)),
IF($K394=INDIRECT(CONCATENATE("$T$"&amp;CF$392)),INDIRECT(CONCATENATE("$T$"&amp;CF$391)),
IF($K394=INDIRECT(CONCATENATE("$S$"&amp;CF$392)),INDIRECT(CONCATENATE("$S$"&amp;CF$391)),
IF($K394=INDIRECT(CONCATENATE("$R$"&amp;CF$392)),INDIRECT(CONCATENATE("$R$"&amp;CF$391)),
IF($K394=INDIRECT(CONCATENATE("$Q$"&amp;CF$392)),INDIRECT(CONCATENATE("$Q$"&amp;CF$391)),
IF($K394=INDIRECT(CONCATENATE("$P$"&amp;CF$392)),INDIRECT(CONCATENATE("$P$"&amp;CF$391)),
IF($K394=INDIRECT(CONCATENATE("$O$"&amp;CF$392)),INDIRECT(CONCATENATE("$O$"&amp;CF$391)),
IF($K394=INDIRECT(CONCATENATE("$N$"&amp;CF$392)),INDIRECT(CONCATENATE("$N$"&amp;CF$391)),
IF($K394=INDIRECT(CONCATENATE("$M$"&amp;CF$392)),INDIRECT(CONCATENATE("$M$"&amp;CF$391)),
IF($K394=INDIRECT(CONCATENATE("$L$"&amp;CF$392)),INDIRECT(CONCATENATE("$L$"&amp;CF$391)),
IF($K394=INDIRECT(CONCATENATE("$K$"&amp;CF$392)),INDIRECT(CONCATENATE("$K$"&amp;CF$391)),
IF($K394=INDIRECT(CONCATENATE("$J$"&amp;CF$392)),INDIRECT(CONCATENATE("$J$"&amp;CF$391)),
IF($K394=INDIRECT(CONCATENATE("$I$"&amp;CF$392)),INDIRECT(CONCATENATE("$I$"&amp;CF$391)),
IF($K394=INDIRECT(CONCATENATE("$H$"&amp;CF$392)),INDIRECT(CONCATENATE("$H$"&amp;CF$391)),
IF($K394=INDIRECT(CONCATENATE("$G$"&amp;CF$392)),INDIRECT(CONCATENATE("$G$"&amp;CF$391)),
IF($K394=INDIRECT(CONCATENATE("$F$"&amp;CF$392)),INDIRECT(CONCATENATE("$F$"&amp;CF$391)),
IF($K394=INDIRECT(CONCATENATE("$E$"&amp;CF$392)),INDIRECT(CONCATENATE("$E$"&amp;CF$391)),
IF($K394=INDIRECT(CONCATENATE("$D$"&amp;CF$392)),INDIRECT(CONCATENATE("$D$"&amp;CF$391)),
IF($K394=INDIRECT(CONCATENATE("$C$"&amp;CF$392)),INDIRECT(CONCATENATE("$C$"&amp;CF$391)),"X")))))))))))))))))))))))))))))))</f>
        <v>X</v>
      </c>
      <c r="IS394" s="58" t="str">
        <f t="shared" ref="IS394:IS428" ca="1" si="1667">IF($K394=INDIRECT(CONCATENATE("$AG$"&amp;CG$392)),INDIRECT(CONCATENATE("$AG$"&amp;CG$391)),
IF($K394=INDIRECT(CONCATENATE("$AF$"&amp;CG$392)),INDIRECT(CONCATENATE("$AF$"&amp;CG$391)),
IF($K394=INDIRECT(CONCATENATE("$AE$"&amp;CG$392)),INDIRECT(CONCATENATE("$AE$"&amp;CG$391)),
IF($K394=INDIRECT(CONCATENATE("$AD$"&amp;CG$392)),INDIRECT(CONCATENATE("$AD$"&amp;CG$391)),
IF($K394=INDIRECT(CONCATENATE("$AC$"&amp;CG$392)),INDIRECT(CONCATENATE("$AC$"&amp;CG$391)),
IF($K394=INDIRECT(CONCATENATE("$AB$"&amp;CG$392)),INDIRECT(CONCATENATE("$AB$"&amp;CG$391)),
IF($K394=INDIRECT(CONCATENATE("$AA$"&amp;CG$392)),INDIRECT(CONCATENATE("$AA$"&amp;CG$391)),
IF($K394=INDIRECT(CONCATENATE("$Z$"&amp;CG$392)),INDIRECT(CONCATENATE("$Z$"&amp;CG$391)),
IF($K394=INDIRECT(CONCATENATE("$Y$"&amp;CG$392)),INDIRECT(CONCATENATE("$Y$"&amp;CG$391)),
IF($K394=INDIRECT(CONCATENATE("$X$"&amp;CG$392)),INDIRECT(CONCATENATE("$X$"&amp;CG$391)),
IF($K394=INDIRECT(CONCATENATE("$W$"&amp;CG$392)),INDIRECT(CONCATENATE("$W$"&amp;CG$391)),
IF($K394=INDIRECT(CONCATENATE("$V$"&amp;CG$392)),INDIRECT(CONCATENATE("$V$"&amp;CG$391)),
IF($K394=INDIRECT(CONCATENATE("$U$"&amp;CG$392)),INDIRECT(CONCATENATE("$U$"&amp;CG$391)),
IF($K394=INDIRECT(CONCATENATE("$T$"&amp;CG$392)),INDIRECT(CONCATENATE("$T$"&amp;CG$391)),
IF($K394=INDIRECT(CONCATENATE("$S$"&amp;CG$392)),INDIRECT(CONCATENATE("$S$"&amp;CG$391)),
IF($K394=INDIRECT(CONCATENATE("$R$"&amp;CG$392)),INDIRECT(CONCATENATE("$R$"&amp;CG$391)),
IF($K394=INDIRECT(CONCATENATE("$Q$"&amp;CG$392)),INDIRECT(CONCATENATE("$Q$"&amp;CG$391)),
IF($K394=INDIRECT(CONCATENATE("$P$"&amp;CG$392)),INDIRECT(CONCATENATE("$P$"&amp;CG$391)),
IF($K394=INDIRECT(CONCATENATE("$O$"&amp;CG$392)),INDIRECT(CONCATENATE("$O$"&amp;CG$391)),
IF($K394=INDIRECT(CONCATENATE("$N$"&amp;CG$392)),INDIRECT(CONCATENATE("$N$"&amp;CG$391)),
IF($K394=INDIRECT(CONCATENATE("$M$"&amp;CG$392)),INDIRECT(CONCATENATE("$M$"&amp;CG$391)),
IF($K394=INDIRECT(CONCATENATE("$L$"&amp;CG$392)),INDIRECT(CONCATENATE("$L$"&amp;CG$391)),
IF($K394=INDIRECT(CONCATENATE("$K$"&amp;CG$392)),INDIRECT(CONCATENATE("$K$"&amp;CG$391)),
IF($K394=INDIRECT(CONCATENATE("$J$"&amp;CG$392)),INDIRECT(CONCATENATE("$J$"&amp;CG$391)),
IF($K394=INDIRECT(CONCATENATE("$I$"&amp;CG$392)),INDIRECT(CONCATENATE("$I$"&amp;CG$391)),
IF($K394=INDIRECT(CONCATENATE("$H$"&amp;CG$392)),INDIRECT(CONCATENATE("$H$"&amp;CG$391)),
IF($K394=INDIRECT(CONCATENATE("$G$"&amp;CG$392)),INDIRECT(CONCATENATE("$G$"&amp;CG$391)),
IF($K394=INDIRECT(CONCATENATE("$F$"&amp;CG$392)),INDIRECT(CONCATENATE("$F$"&amp;CG$391)),
IF($K394=INDIRECT(CONCATENATE("$E$"&amp;CG$392)),INDIRECT(CONCATENATE("$E$"&amp;CG$391)),
IF($K394=INDIRECT(CONCATENATE("$D$"&amp;CG$392)),INDIRECT(CONCATENATE("$D$"&amp;CG$391)),
IF($K394=INDIRECT(CONCATENATE("$C$"&amp;CG$392)),INDIRECT(CONCATENATE("$C$"&amp;CG$391)),"X")))))))))))))))))))))))))))))))</f>
        <v>X</v>
      </c>
      <c r="IT394" s="58" t="str">
        <f t="shared" ref="IT394:IT428" ca="1" si="1668">IF($K394=INDIRECT(CONCATENATE("$AG$"&amp;CH$392)),INDIRECT(CONCATENATE("$AG$"&amp;CH$391)),
IF($K394=INDIRECT(CONCATENATE("$AF$"&amp;CH$392)),INDIRECT(CONCATENATE("$AF$"&amp;CH$391)),
IF($K394=INDIRECT(CONCATENATE("$AE$"&amp;CH$392)),INDIRECT(CONCATENATE("$AE$"&amp;CH$391)),
IF($K394=INDIRECT(CONCATENATE("$AD$"&amp;CH$392)),INDIRECT(CONCATENATE("$AD$"&amp;CH$391)),
IF($K394=INDIRECT(CONCATENATE("$AC$"&amp;CH$392)),INDIRECT(CONCATENATE("$AC$"&amp;CH$391)),
IF($K394=INDIRECT(CONCATENATE("$AB$"&amp;CH$392)),INDIRECT(CONCATENATE("$AB$"&amp;CH$391)),
IF($K394=INDIRECT(CONCATENATE("$AA$"&amp;CH$392)),INDIRECT(CONCATENATE("$AA$"&amp;CH$391)),
IF($K394=INDIRECT(CONCATENATE("$Z$"&amp;CH$392)),INDIRECT(CONCATENATE("$Z$"&amp;CH$391)),
IF($K394=INDIRECT(CONCATENATE("$Y$"&amp;CH$392)),INDIRECT(CONCATENATE("$Y$"&amp;CH$391)),
IF($K394=INDIRECT(CONCATENATE("$X$"&amp;CH$392)),INDIRECT(CONCATENATE("$X$"&amp;CH$391)),
IF($K394=INDIRECT(CONCATENATE("$W$"&amp;CH$392)),INDIRECT(CONCATENATE("$W$"&amp;CH$391)),
IF($K394=INDIRECT(CONCATENATE("$V$"&amp;CH$392)),INDIRECT(CONCATENATE("$V$"&amp;CH$391)),
IF($K394=INDIRECT(CONCATENATE("$U$"&amp;CH$392)),INDIRECT(CONCATENATE("$U$"&amp;CH$391)),
IF($K394=INDIRECT(CONCATENATE("$T$"&amp;CH$392)),INDIRECT(CONCATENATE("$T$"&amp;CH$391)),
IF($K394=INDIRECT(CONCATENATE("$S$"&amp;CH$392)),INDIRECT(CONCATENATE("$S$"&amp;CH$391)),
IF($K394=INDIRECT(CONCATENATE("$R$"&amp;CH$392)),INDIRECT(CONCATENATE("$R$"&amp;CH$391)),
IF($K394=INDIRECT(CONCATENATE("$Q$"&amp;CH$392)),INDIRECT(CONCATENATE("$Q$"&amp;CH$391)),
IF($K394=INDIRECT(CONCATENATE("$P$"&amp;CH$392)),INDIRECT(CONCATENATE("$P$"&amp;CH$391)),
IF($K394=INDIRECT(CONCATENATE("$O$"&amp;CH$392)),INDIRECT(CONCATENATE("$O$"&amp;CH$391)),
IF($K394=INDIRECT(CONCATENATE("$N$"&amp;CH$392)),INDIRECT(CONCATENATE("$N$"&amp;CH$391)),
IF($K394=INDIRECT(CONCATENATE("$M$"&amp;CH$392)),INDIRECT(CONCATENATE("$M$"&amp;CH$391)),
IF($K394=INDIRECT(CONCATENATE("$L$"&amp;CH$392)),INDIRECT(CONCATENATE("$L$"&amp;CH$391)),
IF($K394=INDIRECT(CONCATENATE("$K$"&amp;CH$392)),INDIRECT(CONCATENATE("$K$"&amp;CH$391)),
IF($K394=INDIRECT(CONCATENATE("$J$"&amp;CH$392)),INDIRECT(CONCATENATE("$J$"&amp;CH$391)),
IF($K394=INDIRECT(CONCATENATE("$I$"&amp;CH$392)),INDIRECT(CONCATENATE("$I$"&amp;CH$391)),
IF($K394=INDIRECT(CONCATENATE("$H$"&amp;CH$392)),INDIRECT(CONCATENATE("$H$"&amp;CH$391)),
IF($K394=INDIRECT(CONCATENATE("$G$"&amp;CH$392)),INDIRECT(CONCATENATE("$G$"&amp;CH$391)),
IF($K394=INDIRECT(CONCATENATE("$F$"&amp;CH$392)),INDIRECT(CONCATENATE("$F$"&amp;CH$391)),
IF($K394=INDIRECT(CONCATENATE("$E$"&amp;CH$392)),INDIRECT(CONCATENATE("$E$"&amp;CH$391)),
IF($K394=INDIRECT(CONCATENATE("$D$"&amp;CH$392)),INDIRECT(CONCATENATE("$D$"&amp;CH$391)),
IF($K394=INDIRECT(CONCATENATE("$C$"&amp;CH$392)),INDIRECT(CONCATENATE("$C$"&amp;CH$391)),"X")))))))))))))))))))))))))))))))</f>
        <v>X</v>
      </c>
      <c r="IU394" s="58" t="str">
        <f t="shared" ref="IU394:IU428" ca="1" si="1669">IF($K394=INDIRECT(CONCATENATE("$AG$"&amp;CI$392)),INDIRECT(CONCATENATE("$AG$"&amp;CI$391)),
IF($K394=INDIRECT(CONCATENATE("$AF$"&amp;CI$392)),INDIRECT(CONCATENATE("$AF$"&amp;CI$391)),
IF($K394=INDIRECT(CONCATENATE("$AE$"&amp;CI$392)),INDIRECT(CONCATENATE("$AE$"&amp;CI$391)),
IF($K394=INDIRECT(CONCATENATE("$AD$"&amp;CI$392)),INDIRECT(CONCATENATE("$AD$"&amp;CI$391)),
IF($K394=INDIRECT(CONCATENATE("$AC$"&amp;CI$392)),INDIRECT(CONCATENATE("$AC$"&amp;CI$391)),
IF($K394=INDIRECT(CONCATENATE("$AB$"&amp;CI$392)),INDIRECT(CONCATENATE("$AB$"&amp;CI$391)),
IF($K394=INDIRECT(CONCATENATE("$AA$"&amp;CI$392)),INDIRECT(CONCATENATE("$AA$"&amp;CI$391)),
IF($K394=INDIRECT(CONCATENATE("$Z$"&amp;CI$392)),INDIRECT(CONCATENATE("$Z$"&amp;CI$391)),
IF($K394=INDIRECT(CONCATENATE("$Y$"&amp;CI$392)),INDIRECT(CONCATENATE("$Y$"&amp;CI$391)),
IF($K394=INDIRECT(CONCATENATE("$X$"&amp;CI$392)),INDIRECT(CONCATENATE("$X$"&amp;CI$391)),
IF($K394=INDIRECT(CONCATENATE("$W$"&amp;CI$392)),INDIRECT(CONCATENATE("$W$"&amp;CI$391)),
IF($K394=INDIRECT(CONCATENATE("$V$"&amp;CI$392)),INDIRECT(CONCATENATE("$V$"&amp;CI$391)),
IF($K394=INDIRECT(CONCATENATE("$U$"&amp;CI$392)),INDIRECT(CONCATENATE("$U$"&amp;CI$391)),
IF($K394=INDIRECT(CONCATENATE("$T$"&amp;CI$392)),INDIRECT(CONCATENATE("$T$"&amp;CI$391)),
IF($K394=INDIRECT(CONCATENATE("$S$"&amp;CI$392)),INDIRECT(CONCATENATE("$S$"&amp;CI$391)),
IF($K394=INDIRECT(CONCATENATE("$R$"&amp;CI$392)),INDIRECT(CONCATENATE("$R$"&amp;CI$391)),
IF($K394=INDIRECT(CONCATENATE("$Q$"&amp;CI$392)),INDIRECT(CONCATENATE("$Q$"&amp;CI$391)),
IF($K394=INDIRECT(CONCATENATE("$P$"&amp;CI$392)),INDIRECT(CONCATENATE("$P$"&amp;CI$391)),
IF($K394=INDIRECT(CONCATENATE("$O$"&amp;CI$392)),INDIRECT(CONCATENATE("$O$"&amp;CI$391)),
IF($K394=INDIRECT(CONCATENATE("$N$"&amp;CI$392)),INDIRECT(CONCATENATE("$N$"&amp;CI$391)),
IF($K394=INDIRECT(CONCATENATE("$M$"&amp;CI$392)),INDIRECT(CONCATENATE("$M$"&amp;CI$391)),
IF($K394=INDIRECT(CONCATENATE("$L$"&amp;CI$392)),INDIRECT(CONCATENATE("$L$"&amp;CI$391)),
IF($K394=INDIRECT(CONCATENATE("$K$"&amp;CI$392)),INDIRECT(CONCATENATE("$K$"&amp;CI$391)),
IF($K394=INDIRECT(CONCATENATE("$J$"&amp;CI$392)),INDIRECT(CONCATENATE("$J$"&amp;CI$391)),
IF($K394=INDIRECT(CONCATENATE("$I$"&amp;CI$392)),INDIRECT(CONCATENATE("$I$"&amp;CI$391)),
IF($K394=INDIRECT(CONCATENATE("$H$"&amp;CI$392)),INDIRECT(CONCATENATE("$H$"&amp;CI$391)),
IF($K394=INDIRECT(CONCATENATE("$G$"&amp;CI$392)),INDIRECT(CONCATENATE("$G$"&amp;CI$391)),
IF($K394=INDIRECT(CONCATENATE("$F$"&amp;CI$392)),INDIRECT(CONCATENATE("$F$"&amp;CI$391)),
IF($K394=INDIRECT(CONCATENATE("$E$"&amp;CI$392)),INDIRECT(CONCATENATE("$E$"&amp;CI$391)),
IF($K394=INDIRECT(CONCATENATE("$D$"&amp;CI$392)),INDIRECT(CONCATENATE("$D$"&amp;CI$391)),
IF($K394=INDIRECT(CONCATENATE("$C$"&amp;CI$392)),INDIRECT(CONCATENATE("$C$"&amp;CI$391)),"X")))))))))))))))))))))))))))))))</f>
        <v>X</v>
      </c>
      <c r="IV394" s="58" t="str">
        <f t="shared" ref="IV394:IV428" ca="1" si="1670">IF($K394=INDIRECT(CONCATENATE("$AG$"&amp;CJ$392)),INDIRECT(CONCATENATE("$AG$"&amp;CJ$391)),
IF($K394=INDIRECT(CONCATENATE("$AF$"&amp;CJ$392)),INDIRECT(CONCATENATE("$AF$"&amp;CJ$391)),
IF($K394=INDIRECT(CONCATENATE("$AE$"&amp;CJ$392)),INDIRECT(CONCATENATE("$AE$"&amp;CJ$391)),
IF($K394=INDIRECT(CONCATENATE("$AD$"&amp;CJ$392)),INDIRECT(CONCATENATE("$AD$"&amp;CJ$391)),
IF($K394=INDIRECT(CONCATENATE("$AC$"&amp;CJ$392)),INDIRECT(CONCATENATE("$AC$"&amp;CJ$391)),
IF($K394=INDIRECT(CONCATENATE("$AB$"&amp;CJ$392)),INDIRECT(CONCATENATE("$AB$"&amp;CJ$391)),
IF($K394=INDIRECT(CONCATENATE("$AA$"&amp;CJ$392)),INDIRECT(CONCATENATE("$AA$"&amp;CJ$391)),
IF($K394=INDIRECT(CONCATENATE("$Z$"&amp;CJ$392)),INDIRECT(CONCATENATE("$Z$"&amp;CJ$391)),
IF($K394=INDIRECT(CONCATENATE("$Y$"&amp;CJ$392)),INDIRECT(CONCATENATE("$Y$"&amp;CJ$391)),
IF($K394=INDIRECT(CONCATENATE("$X$"&amp;CJ$392)),INDIRECT(CONCATENATE("$X$"&amp;CJ$391)),
IF($K394=INDIRECT(CONCATENATE("$W$"&amp;CJ$392)),INDIRECT(CONCATENATE("$W$"&amp;CJ$391)),
IF($K394=INDIRECT(CONCATENATE("$V$"&amp;CJ$392)),INDIRECT(CONCATENATE("$V$"&amp;CJ$391)),
IF($K394=INDIRECT(CONCATENATE("$U$"&amp;CJ$392)),INDIRECT(CONCATENATE("$U$"&amp;CJ$391)),
IF($K394=INDIRECT(CONCATENATE("$T$"&amp;CJ$392)),INDIRECT(CONCATENATE("$T$"&amp;CJ$391)),
IF($K394=INDIRECT(CONCATENATE("$S$"&amp;CJ$392)),INDIRECT(CONCATENATE("$S$"&amp;CJ$391)),
IF($K394=INDIRECT(CONCATENATE("$R$"&amp;CJ$392)),INDIRECT(CONCATENATE("$R$"&amp;CJ$391)),
IF($K394=INDIRECT(CONCATENATE("$Q$"&amp;CJ$392)),INDIRECT(CONCATENATE("$Q$"&amp;CJ$391)),
IF($K394=INDIRECT(CONCATENATE("$P$"&amp;CJ$392)),INDIRECT(CONCATENATE("$P$"&amp;CJ$391)),
IF($K394=INDIRECT(CONCATENATE("$O$"&amp;CJ$392)),INDIRECT(CONCATENATE("$O$"&amp;CJ$391)),
IF($K394=INDIRECT(CONCATENATE("$N$"&amp;CJ$392)),INDIRECT(CONCATENATE("$N$"&amp;CJ$391)),
IF($K394=INDIRECT(CONCATENATE("$M$"&amp;CJ$392)),INDIRECT(CONCATENATE("$M$"&amp;CJ$391)),
IF($K394=INDIRECT(CONCATENATE("$L$"&amp;CJ$392)),INDIRECT(CONCATENATE("$L$"&amp;CJ$391)),
IF($K394=INDIRECT(CONCATENATE("$K$"&amp;CJ$392)),INDIRECT(CONCATENATE("$K$"&amp;CJ$391)),
IF($K394=INDIRECT(CONCATENATE("$J$"&amp;CJ$392)),INDIRECT(CONCATENATE("$J$"&amp;CJ$391)),
IF($K394=INDIRECT(CONCATENATE("$I$"&amp;CJ$392)),INDIRECT(CONCATENATE("$I$"&amp;CJ$391)),
IF($K394=INDIRECT(CONCATENATE("$H$"&amp;CJ$392)),INDIRECT(CONCATENATE("$H$"&amp;CJ$391)),
IF($K394=INDIRECT(CONCATENATE("$G$"&amp;CJ$392)),INDIRECT(CONCATENATE("$G$"&amp;CJ$391)),
IF($K394=INDIRECT(CONCATENATE("$F$"&amp;CJ$392)),INDIRECT(CONCATENATE("$F$"&amp;CJ$391)),
IF($K394=INDIRECT(CONCATENATE("$E$"&amp;CJ$392)),INDIRECT(CONCATENATE("$E$"&amp;CJ$391)),
IF($K394=INDIRECT(CONCATENATE("$D$"&amp;CJ$392)),INDIRECT(CONCATENATE("$D$"&amp;CJ$391)),
IF($K394=INDIRECT(CONCATENATE("$C$"&amp;CJ$392)),INDIRECT(CONCATENATE("$C$"&amp;CJ$391)),"X")))))))))))))))))))))))))))))))</f>
        <v>X</v>
      </c>
      <c r="IW394" s="58" t="str">
        <f t="shared" ref="IW394:IW428" ca="1" si="1671">IF($K394=INDIRECT(CONCATENATE("$AG$"&amp;CK$392)),INDIRECT(CONCATENATE("$AG$"&amp;CK$391)),
IF($K394=INDIRECT(CONCATENATE("$AF$"&amp;CK$392)),INDIRECT(CONCATENATE("$AF$"&amp;CK$391)),
IF($K394=INDIRECT(CONCATENATE("$AE$"&amp;CK$392)),INDIRECT(CONCATENATE("$AE$"&amp;CK$391)),
IF($K394=INDIRECT(CONCATENATE("$AD$"&amp;CK$392)),INDIRECT(CONCATENATE("$AD$"&amp;CK$391)),
IF($K394=INDIRECT(CONCATENATE("$AC$"&amp;CK$392)),INDIRECT(CONCATENATE("$AC$"&amp;CK$391)),
IF($K394=INDIRECT(CONCATENATE("$AB$"&amp;CK$392)),INDIRECT(CONCATENATE("$AB$"&amp;CK$391)),
IF($K394=INDIRECT(CONCATENATE("$AA$"&amp;CK$392)),INDIRECT(CONCATENATE("$AA$"&amp;CK$391)),
IF($K394=INDIRECT(CONCATENATE("$Z$"&amp;CK$392)),INDIRECT(CONCATENATE("$Z$"&amp;CK$391)),
IF($K394=INDIRECT(CONCATENATE("$Y$"&amp;CK$392)),INDIRECT(CONCATENATE("$Y$"&amp;CK$391)),
IF($K394=INDIRECT(CONCATENATE("$X$"&amp;CK$392)),INDIRECT(CONCATENATE("$X$"&amp;CK$391)),
IF($K394=INDIRECT(CONCATENATE("$W$"&amp;CK$392)),INDIRECT(CONCATENATE("$W$"&amp;CK$391)),
IF($K394=INDIRECT(CONCATENATE("$V$"&amp;CK$392)),INDIRECT(CONCATENATE("$V$"&amp;CK$391)),
IF($K394=INDIRECT(CONCATENATE("$U$"&amp;CK$392)),INDIRECT(CONCATENATE("$U$"&amp;CK$391)),
IF($K394=INDIRECT(CONCATENATE("$T$"&amp;CK$392)),INDIRECT(CONCATENATE("$T$"&amp;CK$391)),
IF($K394=INDIRECT(CONCATENATE("$S$"&amp;CK$392)),INDIRECT(CONCATENATE("$S$"&amp;CK$391)),
IF($K394=INDIRECT(CONCATENATE("$R$"&amp;CK$392)),INDIRECT(CONCATENATE("$R$"&amp;CK$391)),
IF($K394=INDIRECT(CONCATENATE("$Q$"&amp;CK$392)),INDIRECT(CONCATENATE("$Q$"&amp;CK$391)),
IF($K394=INDIRECT(CONCATENATE("$P$"&amp;CK$392)),INDIRECT(CONCATENATE("$P$"&amp;CK$391)),
IF($K394=INDIRECT(CONCATENATE("$O$"&amp;CK$392)),INDIRECT(CONCATENATE("$O$"&amp;CK$391)),
IF($K394=INDIRECT(CONCATENATE("$N$"&amp;CK$392)),INDIRECT(CONCATENATE("$N$"&amp;CK$391)),
IF($K394=INDIRECT(CONCATENATE("$M$"&amp;CK$392)),INDIRECT(CONCATENATE("$M$"&amp;CK$391)),
IF($K394=INDIRECT(CONCATENATE("$L$"&amp;CK$392)),INDIRECT(CONCATENATE("$L$"&amp;CK$391)),
IF($K394=INDIRECT(CONCATENATE("$K$"&amp;CK$392)),INDIRECT(CONCATENATE("$K$"&amp;CK$391)),
IF($K394=INDIRECT(CONCATENATE("$J$"&amp;CK$392)),INDIRECT(CONCATENATE("$J$"&amp;CK$391)),
IF($K394=INDIRECT(CONCATENATE("$I$"&amp;CK$392)),INDIRECT(CONCATENATE("$I$"&amp;CK$391)),
IF($K394=INDIRECT(CONCATENATE("$H$"&amp;CK$392)),INDIRECT(CONCATENATE("$H$"&amp;CK$391)),
IF($K394=INDIRECT(CONCATENATE("$G$"&amp;CK$392)),INDIRECT(CONCATENATE("$G$"&amp;CK$391)),
IF($K394=INDIRECT(CONCATENATE("$F$"&amp;CK$392)),INDIRECT(CONCATENATE("$F$"&amp;CK$391)),
IF($K394=INDIRECT(CONCATENATE("$E$"&amp;CK$392)),INDIRECT(CONCATENATE("$E$"&amp;CK$391)),
IF($K394=INDIRECT(CONCATENATE("$D$"&amp;CK$392)),INDIRECT(CONCATENATE("$D$"&amp;CK$391)),
IF($K394=INDIRECT(CONCATENATE("$C$"&amp;CK$392)),INDIRECT(CONCATENATE("$C$"&amp;CK$391)),"X")))))))))))))))))))))))))))))))</f>
        <v>X</v>
      </c>
      <c r="IX394" s="58" t="str">
        <f t="shared" ref="IX394:IX428" ca="1" si="1672">IF($K394=INDIRECT(CONCATENATE("$AG$"&amp;CL$392)),INDIRECT(CONCATENATE("$AG$"&amp;CL$391)),
IF($K394=INDIRECT(CONCATENATE("$AF$"&amp;CL$392)),INDIRECT(CONCATENATE("$AF$"&amp;CL$391)),
IF($K394=INDIRECT(CONCATENATE("$AE$"&amp;CL$392)),INDIRECT(CONCATENATE("$AE$"&amp;CL$391)),
IF($K394=INDIRECT(CONCATENATE("$AD$"&amp;CL$392)),INDIRECT(CONCATENATE("$AD$"&amp;CL$391)),
IF($K394=INDIRECT(CONCATENATE("$AC$"&amp;CL$392)),INDIRECT(CONCATENATE("$AC$"&amp;CL$391)),
IF($K394=INDIRECT(CONCATENATE("$AB$"&amp;CL$392)),INDIRECT(CONCATENATE("$AB$"&amp;CL$391)),
IF($K394=INDIRECT(CONCATENATE("$AA$"&amp;CL$392)),INDIRECT(CONCATENATE("$AA$"&amp;CL$391)),
IF($K394=INDIRECT(CONCATENATE("$Z$"&amp;CL$392)),INDIRECT(CONCATENATE("$Z$"&amp;CL$391)),
IF($K394=INDIRECT(CONCATENATE("$Y$"&amp;CL$392)),INDIRECT(CONCATENATE("$Y$"&amp;CL$391)),
IF($K394=INDIRECT(CONCATENATE("$X$"&amp;CL$392)),INDIRECT(CONCATENATE("$X$"&amp;CL$391)),
IF($K394=INDIRECT(CONCATENATE("$W$"&amp;CL$392)),INDIRECT(CONCATENATE("$W$"&amp;CL$391)),
IF($K394=INDIRECT(CONCATENATE("$V$"&amp;CL$392)),INDIRECT(CONCATENATE("$V$"&amp;CL$391)),
IF($K394=INDIRECT(CONCATENATE("$U$"&amp;CL$392)),INDIRECT(CONCATENATE("$U$"&amp;CL$391)),
IF($K394=INDIRECT(CONCATENATE("$T$"&amp;CL$392)),INDIRECT(CONCATENATE("$T$"&amp;CL$391)),
IF($K394=INDIRECT(CONCATENATE("$S$"&amp;CL$392)),INDIRECT(CONCATENATE("$S$"&amp;CL$391)),
IF($K394=INDIRECT(CONCATENATE("$R$"&amp;CL$392)),INDIRECT(CONCATENATE("$R$"&amp;CL$391)),
IF($K394=INDIRECT(CONCATENATE("$Q$"&amp;CL$392)),INDIRECT(CONCATENATE("$Q$"&amp;CL$391)),
IF($K394=INDIRECT(CONCATENATE("$P$"&amp;CL$392)),INDIRECT(CONCATENATE("$P$"&amp;CL$391)),
IF($K394=INDIRECT(CONCATENATE("$O$"&amp;CL$392)),INDIRECT(CONCATENATE("$O$"&amp;CL$391)),
IF($K394=INDIRECT(CONCATENATE("$N$"&amp;CL$392)),INDIRECT(CONCATENATE("$N$"&amp;CL$391)),
IF($K394=INDIRECT(CONCATENATE("$M$"&amp;CL$392)),INDIRECT(CONCATENATE("$M$"&amp;CL$391)),
IF($K394=INDIRECT(CONCATENATE("$L$"&amp;CL$392)),INDIRECT(CONCATENATE("$L$"&amp;CL$391)),
IF($K394=INDIRECT(CONCATENATE("$K$"&amp;CL$392)),INDIRECT(CONCATENATE("$K$"&amp;CL$391)),
IF($K394=INDIRECT(CONCATENATE("$J$"&amp;CL$392)),INDIRECT(CONCATENATE("$J$"&amp;CL$391)),
IF($K394=INDIRECT(CONCATENATE("$I$"&amp;CL$392)),INDIRECT(CONCATENATE("$I$"&amp;CL$391)),
IF($K394=INDIRECT(CONCATENATE("$H$"&amp;CL$392)),INDIRECT(CONCATENATE("$H$"&amp;CL$391)),
IF($K394=INDIRECT(CONCATENATE("$G$"&amp;CL$392)),INDIRECT(CONCATENATE("$G$"&amp;CL$391)),
IF($K394=INDIRECT(CONCATENATE("$F$"&amp;CL$392)),INDIRECT(CONCATENATE("$F$"&amp;CL$391)),
IF($K394=INDIRECT(CONCATENATE("$E$"&amp;CL$392)),INDIRECT(CONCATENATE("$E$"&amp;CL$391)),
IF($K394=INDIRECT(CONCATENATE("$D$"&amp;CL$392)),INDIRECT(CONCATENATE("$D$"&amp;CL$391)),
IF($K394=INDIRECT(CONCATENATE("$C$"&amp;CL$392)),INDIRECT(CONCATENATE("$C$"&amp;CL$391)),"X")))))))))))))))))))))))))))))))</f>
        <v>X</v>
      </c>
      <c r="IY394" s="58" t="str">
        <f t="shared" ref="IY394:IY428" ca="1" si="1673">IF($K394=INDIRECT(CONCATENATE("$AG$"&amp;CM$392)),INDIRECT(CONCATENATE("$AG$"&amp;CM$391)),
IF($K394=INDIRECT(CONCATENATE("$AF$"&amp;CM$392)),INDIRECT(CONCATENATE("$AF$"&amp;CM$391)),
IF($K394=INDIRECT(CONCATENATE("$AE$"&amp;CM$392)),INDIRECT(CONCATENATE("$AE$"&amp;CM$391)),
IF($K394=INDIRECT(CONCATENATE("$AD$"&amp;CM$392)),INDIRECT(CONCATENATE("$AD$"&amp;CM$391)),
IF($K394=INDIRECT(CONCATENATE("$AC$"&amp;CM$392)),INDIRECT(CONCATENATE("$AC$"&amp;CM$391)),
IF($K394=INDIRECT(CONCATENATE("$AB$"&amp;CM$392)),INDIRECT(CONCATENATE("$AB$"&amp;CM$391)),
IF($K394=INDIRECT(CONCATENATE("$AA$"&amp;CM$392)),INDIRECT(CONCATENATE("$AA$"&amp;CM$391)),
IF($K394=INDIRECT(CONCATENATE("$Z$"&amp;CM$392)),INDIRECT(CONCATENATE("$Z$"&amp;CM$391)),
IF($K394=INDIRECT(CONCATENATE("$Y$"&amp;CM$392)),INDIRECT(CONCATENATE("$Y$"&amp;CM$391)),
IF($K394=INDIRECT(CONCATENATE("$X$"&amp;CM$392)),INDIRECT(CONCATENATE("$X$"&amp;CM$391)),
IF($K394=INDIRECT(CONCATENATE("$W$"&amp;CM$392)),INDIRECT(CONCATENATE("$W$"&amp;CM$391)),
IF($K394=INDIRECT(CONCATENATE("$V$"&amp;CM$392)),INDIRECT(CONCATENATE("$V$"&amp;CM$391)),
IF($K394=INDIRECT(CONCATENATE("$U$"&amp;CM$392)),INDIRECT(CONCATENATE("$U$"&amp;CM$391)),
IF($K394=INDIRECT(CONCATENATE("$T$"&amp;CM$392)),INDIRECT(CONCATENATE("$T$"&amp;CM$391)),
IF($K394=INDIRECT(CONCATENATE("$S$"&amp;CM$392)),INDIRECT(CONCATENATE("$S$"&amp;CM$391)),
IF($K394=INDIRECT(CONCATENATE("$R$"&amp;CM$392)),INDIRECT(CONCATENATE("$R$"&amp;CM$391)),
IF($K394=INDIRECT(CONCATENATE("$Q$"&amp;CM$392)),INDIRECT(CONCATENATE("$Q$"&amp;CM$391)),
IF($K394=INDIRECT(CONCATENATE("$P$"&amp;CM$392)),INDIRECT(CONCATENATE("$P$"&amp;CM$391)),
IF($K394=INDIRECT(CONCATENATE("$O$"&amp;CM$392)),INDIRECT(CONCATENATE("$O$"&amp;CM$391)),
IF($K394=INDIRECT(CONCATENATE("$N$"&amp;CM$392)),INDIRECT(CONCATENATE("$N$"&amp;CM$391)),
IF($K394=INDIRECT(CONCATENATE("$M$"&amp;CM$392)),INDIRECT(CONCATENATE("$M$"&amp;CM$391)),
IF($K394=INDIRECT(CONCATENATE("$L$"&amp;CM$392)),INDIRECT(CONCATENATE("$L$"&amp;CM$391)),
IF($K394=INDIRECT(CONCATENATE("$K$"&amp;CM$392)),INDIRECT(CONCATENATE("$K$"&amp;CM$391)),
IF($K394=INDIRECT(CONCATENATE("$J$"&amp;CM$392)),INDIRECT(CONCATENATE("$J$"&amp;CM$391)),
IF($K394=INDIRECT(CONCATENATE("$I$"&amp;CM$392)),INDIRECT(CONCATENATE("$I$"&amp;CM$391)),
IF($K394=INDIRECT(CONCATENATE("$H$"&amp;CM$392)),INDIRECT(CONCATENATE("$H$"&amp;CM$391)),
IF($K394=INDIRECT(CONCATENATE("$G$"&amp;CM$392)),INDIRECT(CONCATENATE("$G$"&amp;CM$391)),
IF($K394=INDIRECT(CONCATENATE("$F$"&amp;CM$392)),INDIRECT(CONCATENATE("$F$"&amp;CM$391)),
IF($K394=INDIRECT(CONCATENATE("$E$"&amp;CM$392)),INDIRECT(CONCATENATE("$E$"&amp;CM$391)),
IF($K394=INDIRECT(CONCATENATE("$D$"&amp;CM$392)),INDIRECT(CONCATENATE("$D$"&amp;CM$391)),
IF($K394=INDIRECT(CONCATENATE("$C$"&amp;CM$392)),INDIRECT(CONCATENATE("$C$"&amp;CM$391)),"X")))))))))))))))))))))))))))))))</f>
        <v>X</v>
      </c>
      <c r="IZ394" s="58" t="str">
        <f t="shared" ref="IZ394:IZ428" ca="1" si="1674">IF($K394=INDIRECT(CONCATENATE("$AG$"&amp;CN$392)),INDIRECT(CONCATENATE("$AG$"&amp;CN$391)),
IF($K394=INDIRECT(CONCATENATE("$AF$"&amp;CN$392)),INDIRECT(CONCATENATE("$AF$"&amp;CN$391)),
IF($K394=INDIRECT(CONCATENATE("$AE$"&amp;CN$392)),INDIRECT(CONCATENATE("$AE$"&amp;CN$391)),
IF($K394=INDIRECT(CONCATENATE("$AD$"&amp;CN$392)),INDIRECT(CONCATENATE("$AD$"&amp;CN$391)),
IF($K394=INDIRECT(CONCATENATE("$AC$"&amp;CN$392)),INDIRECT(CONCATENATE("$AC$"&amp;CN$391)),
IF($K394=INDIRECT(CONCATENATE("$AB$"&amp;CN$392)),INDIRECT(CONCATENATE("$AB$"&amp;CN$391)),
IF($K394=INDIRECT(CONCATENATE("$AA$"&amp;CN$392)),INDIRECT(CONCATENATE("$AA$"&amp;CN$391)),
IF($K394=INDIRECT(CONCATENATE("$Z$"&amp;CN$392)),INDIRECT(CONCATENATE("$Z$"&amp;CN$391)),
IF($K394=INDIRECT(CONCATENATE("$Y$"&amp;CN$392)),INDIRECT(CONCATENATE("$Y$"&amp;CN$391)),
IF($K394=INDIRECT(CONCATENATE("$X$"&amp;CN$392)),INDIRECT(CONCATENATE("$X$"&amp;CN$391)),
IF($K394=INDIRECT(CONCATENATE("$W$"&amp;CN$392)),INDIRECT(CONCATENATE("$W$"&amp;CN$391)),
IF($K394=INDIRECT(CONCATENATE("$V$"&amp;CN$392)),INDIRECT(CONCATENATE("$V$"&amp;CN$391)),
IF($K394=INDIRECT(CONCATENATE("$U$"&amp;CN$392)),INDIRECT(CONCATENATE("$U$"&amp;CN$391)),
IF($K394=INDIRECT(CONCATENATE("$T$"&amp;CN$392)),INDIRECT(CONCATENATE("$T$"&amp;CN$391)),
IF($K394=INDIRECT(CONCATENATE("$S$"&amp;CN$392)),INDIRECT(CONCATENATE("$S$"&amp;CN$391)),
IF($K394=INDIRECT(CONCATENATE("$R$"&amp;CN$392)),INDIRECT(CONCATENATE("$R$"&amp;CN$391)),
IF($K394=INDIRECT(CONCATENATE("$Q$"&amp;CN$392)),INDIRECT(CONCATENATE("$Q$"&amp;CN$391)),
IF($K394=INDIRECT(CONCATENATE("$P$"&amp;CN$392)),INDIRECT(CONCATENATE("$P$"&amp;CN$391)),
IF($K394=INDIRECT(CONCATENATE("$O$"&amp;CN$392)),INDIRECT(CONCATENATE("$O$"&amp;CN$391)),
IF($K394=INDIRECT(CONCATENATE("$N$"&amp;CN$392)),INDIRECT(CONCATENATE("$N$"&amp;CN$391)),
IF($K394=INDIRECT(CONCATENATE("$M$"&amp;CN$392)),INDIRECT(CONCATENATE("$M$"&amp;CN$391)),
IF($K394=INDIRECT(CONCATENATE("$L$"&amp;CN$392)),INDIRECT(CONCATENATE("$L$"&amp;CN$391)),
IF($K394=INDIRECT(CONCATENATE("$K$"&amp;CN$392)),INDIRECT(CONCATENATE("$K$"&amp;CN$391)),
IF($K394=INDIRECT(CONCATENATE("$J$"&amp;CN$392)),INDIRECT(CONCATENATE("$J$"&amp;CN$391)),
IF($K394=INDIRECT(CONCATENATE("$I$"&amp;CN$392)),INDIRECT(CONCATENATE("$I$"&amp;CN$391)),
IF($K394=INDIRECT(CONCATENATE("$H$"&amp;CN$392)),INDIRECT(CONCATENATE("$H$"&amp;CN$391)),
IF($K394=INDIRECT(CONCATENATE("$G$"&amp;CN$392)),INDIRECT(CONCATENATE("$G$"&amp;CN$391)),
IF($K394=INDIRECT(CONCATENATE("$F$"&amp;CN$392)),INDIRECT(CONCATENATE("$F$"&amp;CN$391)),
IF($K394=INDIRECT(CONCATENATE("$E$"&amp;CN$392)),INDIRECT(CONCATENATE("$E$"&amp;CN$391)),
IF($K394=INDIRECT(CONCATENATE("$D$"&amp;CN$392)),INDIRECT(CONCATENATE("$D$"&amp;CN$391)),
IF($K394=INDIRECT(CONCATENATE("$C$"&amp;CN$392)),INDIRECT(CONCATENATE("$C$"&amp;CN$391)),"X")))))))))))))))))))))))))))))))</f>
        <v>X</v>
      </c>
      <c r="JA394" s="58" t="str">
        <f t="shared" ref="JA394:JA428" ca="1" si="1675">IF($K394=INDIRECT(CONCATENATE("$AG$"&amp;CO$392)),INDIRECT(CONCATENATE("$AG$"&amp;CO$391)),
IF($K394=INDIRECT(CONCATENATE("$AF$"&amp;CO$392)),INDIRECT(CONCATENATE("$AF$"&amp;CO$391)),
IF($K394=INDIRECT(CONCATENATE("$AE$"&amp;CO$392)),INDIRECT(CONCATENATE("$AE$"&amp;CO$391)),
IF($K394=INDIRECT(CONCATENATE("$AD$"&amp;CO$392)),INDIRECT(CONCATENATE("$AD$"&amp;CO$391)),
IF($K394=INDIRECT(CONCATENATE("$AC$"&amp;CO$392)),INDIRECT(CONCATENATE("$AC$"&amp;CO$391)),
IF($K394=INDIRECT(CONCATENATE("$AB$"&amp;CO$392)),INDIRECT(CONCATENATE("$AB$"&amp;CO$391)),
IF($K394=INDIRECT(CONCATENATE("$AA$"&amp;CO$392)),INDIRECT(CONCATENATE("$AA$"&amp;CO$391)),
IF($K394=INDIRECT(CONCATENATE("$Z$"&amp;CO$392)),INDIRECT(CONCATENATE("$Z$"&amp;CO$391)),
IF($K394=INDIRECT(CONCATENATE("$Y$"&amp;CO$392)),INDIRECT(CONCATENATE("$Y$"&amp;CO$391)),
IF($K394=INDIRECT(CONCATENATE("$X$"&amp;CO$392)),INDIRECT(CONCATENATE("$X$"&amp;CO$391)),
IF($K394=INDIRECT(CONCATENATE("$W$"&amp;CO$392)),INDIRECT(CONCATENATE("$W$"&amp;CO$391)),
IF($K394=INDIRECT(CONCATENATE("$V$"&amp;CO$392)),INDIRECT(CONCATENATE("$V$"&amp;CO$391)),
IF($K394=INDIRECT(CONCATENATE("$U$"&amp;CO$392)),INDIRECT(CONCATENATE("$U$"&amp;CO$391)),
IF($K394=INDIRECT(CONCATENATE("$T$"&amp;CO$392)),INDIRECT(CONCATENATE("$T$"&amp;CO$391)),
IF($K394=INDIRECT(CONCATENATE("$S$"&amp;CO$392)),INDIRECT(CONCATENATE("$S$"&amp;CO$391)),
IF($K394=INDIRECT(CONCATENATE("$R$"&amp;CO$392)),INDIRECT(CONCATENATE("$R$"&amp;CO$391)),
IF($K394=INDIRECT(CONCATENATE("$Q$"&amp;CO$392)),INDIRECT(CONCATENATE("$Q$"&amp;CO$391)),
IF($K394=INDIRECT(CONCATENATE("$P$"&amp;CO$392)),INDIRECT(CONCATENATE("$P$"&amp;CO$391)),
IF($K394=INDIRECT(CONCATENATE("$O$"&amp;CO$392)),INDIRECT(CONCATENATE("$O$"&amp;CO$391)),
IF($K394=INDIRECT(CONCATENATE("$N$"&amp;CO$392)),INDIRECT(CONCATENATE("$N$"&amp;CO$391)),
IF($K394=INDIRECT(CONCATENATE("$M$"&amp;CO$392)),INDIRECT(CONCATENATE("$M$"&amp;CO$391)),
IF($K394=INDIRECT(CONCATENATE("$L$"&amp;CO$392)),INDIRECT(CONCATENATE("$L$"&amp;CO$391)),
IF($K394=INDIRECT(CONCATENATE("$K$"&amp;CO$392)),INDIRECT(CONCATENATE("$K$"&amp;CO$391)),
IF($K394=INDIRECT(CONCATENATE("$J$"&amp;CO$392)),INDIRECT(CONCATENATE("$J$"&amp;CO$391)),
IF($K394=INDIRECT(CONCATENATE("$I$"&amp;CO$392)),INDIRECT(CONCATENATE("$I$"&amp;CO$391)),
IF($K394=INDIRECT(CONCATENATE("$H$"&amp;CO$392)),INDIRECT(CONCATENATE("$H$"&amp;CO$391)),
IF($K394=INDIRECT(CONCATENATE("$G$"&amp;CO$392)),INDIRECT(CONCATENATE("$G$"&amp;CO$391)),
IF($K394=INDIRECT(CONCATENATE("$F$"&amp;CO$392)),INDIRECT(CONCATENATE("$F$"&amp;CO$391)),
IF($K394=INDIRECT(CONCATENATE("$E$"&amp;CO$392)),INDIRECT(CONCATENATE("$E$"&amp;CO$391)),
IF($K394=INDIRECT(CONCATENATE("$D$"&amp;CO$392)),INDIRECT(CONCATENATE("$D$"&amp;CO$391)),
IF($K394=INDIRECT(CONCATENATE("$C$"&amp;CO$392)),INDIRECT(CONCATENATE("$C$"&amp;CO$391)),"X")))))))))))))))))))))))))))))))</f>
        <v>X</v>
      </c>
      <c r="JB394" s="58" t="str">
        <f t="shared" ref="JB394:JB428" ca="1" si="1676">IF($K394=INDIRECT(CONCATENATE("$AG$"&amp;CP$392)),INDIRECT(CONCATENATE("$AG$"&amp;CP$391)),
IF($K394=INDIRECT(CONCATENATE("$AF$"&amp;CP$392)),INDIRECT(CONCATENATE("$AF$"&amp;CP$391)),
IF($K394=INDIRECT(CONCATENATE("$AE$"&amp;CP$392)),INDIRECT(CONCATENATE("$AE$"&amp;CP$391)),
IF($K394=INDIRECT(CONCATENATE("$AD$"&amp;CP$392)),INDIRECT(CONCATENATE("$AD$"&amp;CP$391)),
IF($K394=INDIRECT(CONCATENATE("$AC$"&amp;CP$392)),INDIRECT(CONCATENATE("$AC$"&amp;CP$391)),
IF($K394=INDIRECT(CONCATENATE("$AB$"&amp;CP$392)),INDIRECT(CONCATENATE("$AB$"&amp;CP$391)),
IF($K394=INDIRECT(CONCATENATE("$AA$"&amp;CP$392)),INDIRECT(CONCATENATE("$AA$"&amp;CP$391)),
IF($K394=INDIRECT(CONCATENATE("$Z$"&amp;CP$392)),INDIRECT(CONCATENATE("$Z$"&amp;CP$391)),
IF($K394=INDIRECT(CONCATENATE("$Y$"&amp;CP$392)),INDIRECT(CONCATENATE("$Y$"&amp;CP$391)),
IF($K394=INDIRECT(CONCATENATE("$X$"&amp;CP$392)),INDIRECT(CONCATENATE("$X$"&amp;CP$391)),
IF($K394=INDIRECT(CONCATENATE("$W$"&amp;CP$392)),INDIRECT(CONCATENATE("$W$"&amp;CP$391)),
IF($K394=INDIRECT(CONCATENATE("$V$"&amp;CP$392)),INDIRECT(CONCATENATE("$V$"&amp;CP$391)),
IF($K394=INDIRECT(CONCATENATE("$U$"&amp;CP$392)),INDIRECT(CONCATENATE("$U$"&amp;CP$391)),
IF($K394=INDIRECT(CONCATENATE("$T$"&amp;CP$392)),INDIRECT(CONCATENATE("$T$"&amp;CP$391)),
IF($K394=INDIRECT(CONCATENATE("$S$"&amp;CP$392)),INDIRECT(CONCATENATE("$S$"&amp;CP$391)),
IF($K394=INDIRECT(CONCATENATE("$R$"&amp;CP$392)),INDIRECT(CONCATENATE("$R$"&amp;CP$391)),
IF($K394=INDIRECT(CONCATENATE("$Q$"&amp;CP$392)),INDIRECT(CONCATENATE("$Q$"&amp;CP$391)),
IF($K394=INDIRECT(CONCATENATE("$P$"&amp;CP$392)),INDIRECT(CONCATENATE("$P$"&amp;CP$391)),
IF($K394=INDIRECT(CONCATENATE("$O$"&amp;CP$392)),INDIRECT(CONCATENATE("$O$"&amp;CP$391)),
IF($K394=INDIRECT(CONCATENATE("$N$"&amp;CP$392)),INDIRECT(CONCATENATE("$N$"&amp;CP$391)),
IF($K394=INDIRECT(CONCATENATE("$M$"&amp;CP$392)),INDIRECT(CONCATENATE("$M$"&amp;CP$391)),
IF($K394=INDIRECT(CONCATENATE("$L$"&amp;CP$392)),INDIRECT(CONCATENATE("$L$"&amp;CP$391)),
IF($K394=INDIRECT(CONCATENATE("$K$"&amp;CP$392)),INDIRECT(CONCATENATE("$K$"&amp;CP$391)),
IF($K394=INDIRECT(CONCATENATE("$J$"&amp;CP$392)),INDIRECT(CONCATENATE("$J$"&amp;CP$391)),
IF($K394=INDIRECT(CONCATENATE("$I$"&amp;CP$392)),INDIRECT(CONCATENATE("$I$"&amp;CP$391)),
IF($K394=INDIRECT(CONCATENATE("$H$"&amp;CP$392)),INDIRECT(CONCATENATE("$H$"&amp;CP$391)),
IF($K394=INDIRECT(CONCATENATE("$G$"&amp;CP$392)),INDIRECT(CONCATENATE("$G$"&amp;CP$391)),
IF($K394=INDIRECT(CONCATENATE("$F$"&amp;CP$392)),INDIRECT(CONCATENATE("$F$"&amp;CP$391)),
IF($K394=INDIRECT(CONCATENATE("$E$"&amp;CP$392)),INDIRECT(CONCATENATE("$E$"&amp;CP$391)),
IF($K394=INDIRECT(CONCATENATE("$D$"&amp;CP$392)),INDIRECT(CONCATENATE("$D$"&amp;CP$391)),
IF($K394=INDIRECT(CONCATENATE("$C$"&amp;CP$392)),INDIRECT(CONCATENATE("$C$"&amp;CP$391)),"X")))))))))))))))))))))))))))))))</f>
        <v>X</v>
      </c>
      <c r="JC394" s="58" t="str">
        <f t="shared" ref="JC394:JC428" ca="1" si="1677">IF($K394=INDIRECT(CONCATENATE("$AG$"&amp;CQ$392)),INDIRECT(CONCATENATE("$AG$"&amp;CQ$391)),
IF($K394=INDIRECT(CONCATENATE("$AF$"&amp;CQ$392)),INDIRECT(CONCATENATE("$AF$"&amp;CQ$391)),
IF($K394=INDIRECT(CONCATENATE("$AE$"&amp;CQ$392)),INDIRECT(CONCATENATE("$AE$"&amp;CQ$391)),
IF($K394=INDIRECT(CONCATENATE("$AD$"&amp;CQ$392)),INDIRECT(CONCATENATE("$AD$"&amp;CQ$391)),
IF($K394=INDIRECT(CONCATENATE("$AC$"&amp;CQ$392)),INDIRECT(CONCATENATE("$AC$"&amp;CQ$391)),
IF($K394=INDIRECT(CONCATENATE("$AB$"&amp;CQ$392)),INDIRECT(CONCATENATE("$AB$"&amp;CQ$391)),
IF($K394=INDIRECT(CONCATENATE("$AA$"&amp;CQ$392)),INDIRECT(CONCATENATE("$AA$"&amp;CQ$391)),
IF($K394=INDIRECT(CONCATENATE("$Z$"&amp;CQ$392)),INDIRECT(CONCATENATE("$Z$"&amp;CQ$391)),
IF($K394=INDIRECT(CONCATENATE("$Y$"&amp;CQ$392)),INDIRECT(CONCATENATE("$Y$"&amp;CQ$391)),
IF($K394=INDIRECT(CONCATENATE("$X$"&amp;CQ$392)),INDIRECT(CONCATENATE("$X$"&amp;CQ$391)),
IF($K394=INDIRECT(CONCATENATE("$W$"&amp;CQ$392)),INDIRECT(CONCATENATE("$W$"&amp;CQ$391)),
IF($K394=INDIRECT(CONCATENATE("$V$"&amp;CQ$392)),INDIRECT(CONCATENATE("$V$"&amp;CQ$391)),
IF($K394=INDIRECT(CONCATENATE("$U$"&amp;CQ$392)),INDIRECT(CONCATENATE("$U$"&amp;CQ$391)),
IF($K394=INDIRECT(CONCATENATE("$T$"&amp;CQ$392)),INDIRECT(CONCATENATE("$T$"&amp;CQ$391)),
IF($K394=INDIRECT(CONCATENATE("$S$"&amp;CQ$392)),INDIRECT(CONCATENATE("$S$"&amp;CQ$391)),
IF($K394=INDIRECT(CONCATENATE("$R$"&amp;CQ$392)),INDIRECT(CONCATENATE("$R$"&amp;CQ$391)),
IF($K394=INDIRECT(CONCATENATE("$Q$"&amp;CQ$392)),INDIRECT(CONCATENATE("$Q$"&amp;CQ$391)),
IF($K394=INDIRECT(CONCATENATE("$P$"&amp;CQ$392)),INDIRECT(CONCATENATE("$P$"&amp;CQ$391)),
IF($K394=INDIRECT(CONCATENATE("$O$"&amp;CQ$392)),INDIRECT(CONCATENATE("$O$"&amp;CQ$391)),
IF($K394=INDIRECT(CONCATENATE("$N$"&amp;CQ$392)),INDIRECT(CONCATENATE("$N$"&amp;CQ$391)),
IF($K394=INDIRECT(CONCATENATE("$M$"&amp;CQ$392)),INDIRECT(CONCATENATE("$M$"&amp;CQ$391)),
IF($K394=INDIRECT(CONCATENATE("$L$"&amp;CQ$392)),INDIRECT(CONCATENATE("$L$"&amp;CQ$391)),
IF($K394=INDIRECT(CONCATENATE("$K$"&amp;CQ$392)),INDIRECT(CONCATENATE("$K$"&amp;CQ$391)),
IF($K394=INDIRECT(CONCATENATE("$J$"&amp;CQ$392)),INDIRECT(CONCATENATE("$J$"&amp;CQ$391)),
IF($K394=INDIRECT(CONCATENATE("$I$"&amp;CQ$392)),INDIRECT(CONCATENATE("$I$"&amp;CQ$391)),
IF($K394=INDIRECT(CONCATENATE("$H$"&amp;CQ$392)),INDIRECT(CONCATENATE("$H$"&amp;CQ$391)),
IF($K394=INDIRECT(CONCATENATE("$G$"&amp;CQ$392)),INDIRECT(CONCATENATE("$G$"&amp;CQ$391)),
IF($K394=INDIRECT(CONCATENATE("$F$"&amp;CQ$392)),INDIRECT(CONCATENATE("$F$"&amp;CQ$391)),
IF($K394=INDIRECT(CONCATENATE("$E$"&amp;CQ$392)),INDIRECT(CONCATENATE("$E$"&amp;CQ$391)),
IF($K394=INDIRECT(CONCATENATE("$D$"&amp;CQ$392)),INDIRECT(CONCATENATE("$D$"&amp;CQ$391)),
IF($K394=INDIRECT(CONCATENATE("$C$"&amp;CQ$392)),INDIRECT(CONCATENATE("$C$"&amp;CQ$391)),"X")))))))))))))))))))))))))))))))</f>
        <v>X</v>
      </c>
      <c r="JD394" s="58" t="str">
        <f t="shared" ref="JD394:JD428" ca="1" si="1678">IF($K394=INDIRECT(CONCATENATE("$AG$"&amp;CR$392)),INDIRECT(CONCATENATE("$AG$"&amp;CR$391)),
IF($K394=INDIRECT(CONCATENATE("$AF$"&amp;CR$392)),INDIRECT(CONCATENATE("$AF$"&amp;CR$391)),
IF($K394=INDIRECT(CONCATENATE("$AE$"&amp;CR$392)),INDIRECT(CONCATENATE("$AE$"&amp;CR$391)),
IF($K394=INDIRECT(CONCATENATE("$AD$"&amp;CR$392)),INDIRECT(CONCATENATE("$AD$"&amp;CR$391)),
IF($K394=INDIRECT(CONCATENATE("$AC$"&amp;CR$392)),INDIRECT(CONCATENATE("$AC$"&amp;CR$391)),
IF($K394=INDIRECT(CONCATENATE("$AB$"&amp;CR$392)),INDIRECT(CONCATENATE("$AB$"&amp;CR$391)),
IF($K394=INDIRECT(CONCATENATE("$AA$"&amp;CR$392)),INDIRECT(CONCATENATE("$AA$"&amp;CR$391)),
IF($K394=INDIRECT(CONCATENATE("$Z$"&amp;CR$392)),INDIRECT(CONCATENATE("$Z$"&amp;CR$391)),
IF($K394=INDIRECT(CONCATENATE("$Y$"&amp;CR$392)),INDIRECT(CONCATENATE("$Y$"&amp;CR$391)),
IF($K394=INDIRECT(CONCATENATE("$X$"&amp;CR$392)),INDIRECT(CONCATENATE("$X$"&amp;CR$391)),
IF($K394=INDIRECT(CONCATENATE("$W$"&amp;CR$392)),INDIRECT(CONCATENATE("$W$"&amp;CR$391)),
IF($K394=INDIRECT(CONCATENATE("$V$"&amp;CR$392)),INDIRECT(CONCATENATE("$V$"&amp;CR$391)),
IF($K394=INDIRECT(CONCATENATE("$U$"&amp;CR$392)),INDIRECT(CONCATENATE("$U$"&amp;CR$391)),
IF($K394=INDIRECT(CONCATENATE("$T$"&amp;CR$392)),INDIRECT(CONCATENATE("$T$"&amp;CR$391)),
IF($K394=INDIRECT(CONCATENATE("$S$"&amp;CR$392)),INDIRECT(CONCATENATE("$S$"&amp;CR$391)),
IF($K394=INDIRECT(CONCATENATE("$R$"&amp;CR$392)),INDIRECT(CONCATENATE("$R$"&amp;CR$391)),
IF($K394=INDIRECT(CONCATENATE("$Q$"&amp;CR$392)),INDIRECT(CONCATENATE("$Q$"&amp;CR$391)),
IF($K394=INDIRECT(CONCATENATE("$P$"&amp;CR$392)),INDIRECT(CONCATENATE("$P$"&amp;CR$391)),
IF($K394=INDIRECT(CONCATENATE("$O$"&amp;CR$392)),INDIRECT(CONCATENATE("$O$"&amp;CR$391)),
IF($K394=INDIRECT(CONCATENATE("$N$"&amp;CR$392)),INDIRECT(CONCATENATE("$N$"&amp;CR$391)),
IF($K394=INDIRECT(CONCATENATE("$M$"&amp;CR$392)),INDIRECT(CONCATENATE("$M$"&amp;CR$391)),
IF($K394=INDIRECT(CONCATENATE("$L$"&amp;CR$392)),INDIRECT(CONCATENATE("$L$"&amp;CR$391)),
IF($K394=INDIRECT(CONCATENATE("$K$"&amp;CR$392)),INDIRECT(CONCATENATE("$K$"&amp;CR$391)),
IF($K394=INDIRECT(CONCATENATE("$J$"&amp;CR$392)),INDIRECT(CONCATENATE("$J$"&amp;CR$391)),
IF($K394=INDIRECT(CONCATENATE("$I$"&amp;CR$392)),INDIRECT(CONCATENATE("$I$"&amp;CR$391)),
IF($K394=INDIRECT(CONCATENATE("$H$"&amp;CR$392)),INDIRECT(CONCATENATE("$H$"&amp;CR$391)),
IF($K394=INDIRECT(CONCATENATE("$G$"&amp;CR$392)),INDIRECT(CONCATENATE("$G$"&amp;CR$391)),
IF($K394=INDIRECT(CONCATENATE("$F$"&amp;CR$392)),INDIRECT(CONCATENATE("$F$"&amp;CR$391)),
IF($K394=INDIRECT(CONCATENATE("$E$"&amp;CR$392)),INDIRECT(CONCATENATE("$E$"&amp;CR$391)),
IF($K394=INDIRECT(CONCATENATE("$D$"&amp;CR$392)),INDIRECT(CONCATENATE("$D$"&amp;CR$391)),
IF($K394=INDIRECT(CONCATENATE("$C$"&amp;CR$392)),INDIRECT(CONCATENATE("$C$"&amp;CR$391)),"X")))))))))))))))))))))))))))))))</f>
        <v>X</v>
      </c>
      <c r="JE394" s="58" t="str">
        <f t="shared" ref="JE394:JE428" ca="1" si="1679">IF($K394=INDIRECT(CONCATENATE("$AG$"&amp;CS$392)),INDIRECT(CONCATENATE("$AG$"&amp;CS$391)),
IF($K394=INDIRECT(CONCATENATE("$AF$"&amp;CS$392)),INDIRECT(CONCATENATE("$AF$"&amp;CS$391)),
IF($K394=INDIRECT(CONCATENATE("$AE$"&amp;CS$392)),INDIRECT(CONCATENATE("$AE$"&amp;CS$391)),
IF($K394=INDIRECT(CONCATENATE("$AD$"&amp;CS$392)),INDIRECT(CONCATENATE("$AD$"&amp;CS$391)),
IF($K394=INDIRECT(CONCATENATE("$AC$"&amp;CS$392)),INDIRECT(CONCATENATE("$AC$"&amp;CS$391)),
IF($K394=INDIRECT(CONCATENATE("$AB$"&amp;CS$392)),INDIRECT(CONCATENATE("$AB$"&amp;CS$391)),
IF($K394=INDIRECT(CONCATENATE("$AA$"&amp;CS$392)),INDIRECT(CONCATENATE("$AA$"&amp;CS$391)),
IF($K394=INDIRECT(CONCATENATE("$Z$"&amp;CS$392)),INDIRECT(CONCATENATE("$Z$"&amp;CS$391)),
IF($K394=INDIRECT(CONCATENATE("$Y$"&amp;CS$392)),INDIRECT(CONCATENATE("$Y$"&amp;CS$391)),
IF($K394=INDIRECT(CONCATENATE("$X$"&amp;CS$392)),INDIRECT(CONCATENATE("$X$"&amp;CS$391)),
IF($K394=INDIRECT(CONCATENATE("$W$"&amp;CS$392)),INDIRECT(CONCATENATE("$W$"&amp;CS$391)),
IF($K394=INDIRECT(CONCATENATE("$V$"&amp;CS$392)),INDIRECT(CONCATENATE("$V$"&amp;CS$391)),
IF($K394=INDIRECT(CONCATENATE("$U$"&amp;CS$392)),INDIRECT(CONCATENATE("$U$"&amp;CS$391)),
IF($K394=INDIRECT(CONCATENATE("$T$"&amp;CS$392)),INDIRECT(CONCATENATE("$T$"&amp;CS$391)),
IF($K394=INDIRECT(CONCATENATE("$S$"&amp;CS$392)),INDIRECT(CONCATENATE("$S$"&amp;CS$391)),
IF($K394=INDIRECT(CONCATENATE("$R$"&amp;CS$392)),INDIRECT(CONCATENATE("$R$"&amp;CS$391)),
IF($K394=INDIRECT(CONCATENATE("$Q$"&amp;CS$392)),INDIRECT(CONCATENATE("$Q$"&amp;CS$391)),
IF($K394=INDIRECT(CONCATENATE("$P$"&amp;CS$392)),INDIRECT(CONCATENATE("$P$"&amp;CS$391)),
IF($K394=INDIRECT(CONCATENATE("$O$"&amp;CS$392)),INDIRECT(CONCATENATE("$O$"&amp;CS$391)),
IF($K394=INDIRECT(CONCATENATE("$N$"&amp;CS$392)),INDIRECT(CONCATENATE("$N$"&amp;CS$391)),
IF($K394=INDIRECT(CONCATENATE("$M$"&amp;CS$392)),INDIRECT(CONCATENATE("$M$"&amp;CS$391)),
IF($K394=INDIRECT(CONCATENATE("$L$"&amp;CS$392)),INDIRECT(CONCATENATE("$L$"&amp;CS$391)),
IF($K394=INDIRECT(CONCATENATE("$K$"&amp;CS$392)),INDIRECT(CONCATENATE("$K$"&amp;CS$391)),
IF($K394=INDIRECT(CONCATENATE("$J$"&amp;CS$392)),INDIRECT(CONCATENATE("$J$"&amp;CS$391)),
IF($K394=INDIRECT(CONCATENATE("$I$"&amp;CS$392)),INDIRECT(CONCATENATE("$I$"&amp;CS$391)),
IF($K394=INDIRECT(CONCATENATE("$H$"&amp;CS$392)),INDIRECT(CONCATENATE("$H$"&amp;CS$391)),
IF($K394=INDIRECT(CONCATENATE("$G$"&amp;CS$392)),INDIRECT(CONCATENATE("$G$"&amp;CS$391)),
IF($K394=INDIRECT(CONCATENATE("$F$"&amp;CS$392)),INDIRECT(CONCATENATE("$F$"&amp;CS$391)),
IF($K394=INDIRECT(CONCATENATE("$E$"&amp;CS$392)),INDIRECT(CONCATENATE("$E$"&amp;CS$391)),
IF($K394=INDIRECT(CONCATENATE("$D$"&amp;CS$392)),INDIRECT(CONCATENATE("$D$"&amp;CS$391)),
IF($K394=INDIRECT(CONCATENATE("$C$"&amp;CS$392)),INDIRECT(CONCATENATE("$C$"&amp;CS$391)),"X")))))))))))))))))))))))))))))))</f>
        <v>X</v>
      </c>
      <c r="JF394" s="58" t="str">
        <f t="shared" ref="JF394:JF428" ca="1" si="1680">IF($K394=INDIRECT(CONCATENATE("$AG$"&amp;CT$392)),INDIRECT(CONCATENATE("$AG$"&amp;CT$391)),
IF($K394=INDIRECT(CONCATENATE("$AF$"&amp;CT$392)),INDIRECT(CONCATENATE("$AF$"&amp;CT$391)),
IF($K394=INDIRECT(CONCATENATE("$AE$"&amp;CT$392)),INDIRECT(CONCATENATE("$AE$"&amp;CT$391)),
IF($K394=INDIRECT(CONCATENATE("$AD$"&amp;CT$392)),INDIRECT(CONCATENATE("$AD$"&amp;CT$391)),
IF($K394=INDIRECT(CONCATENATE("$AC$"&amp;CT$392)),INDIRECT(CONCATENATE("$AC$"&amp;CT$391)),
IF($K394=INDIRECT(CONCATENATE("$AB$"&amp;CT$392)),INDIRECT(CONCATENATE("$AB$"&amp;CT$391)),
IF($K394=INDIRECT(CONCATENATE("$AA$"&amp;CT$392)),INDIRECT(CONCATENATE("$AA$"&amp;CT$391)),
IF($K394=INDIRECT(CONCATENATE("$Z$"&amp;CT$392)),INDIRECT(CONCATENATE("$Z$"&amp;CT$391)),
IF($K394=INDIRECT(CONCATENATE("$Y$"&amp;CT$392)),INDIRECT(CONCATENATE("$Y$"&amp;CT$391)),
IF($K394=INDIRECT(CONCATENATE("$X$"&amp;CT$392)),INDIRECT(CONCATENATE("$X$"&amp;CT$391)),
IF($K394=INDIRECT(CONCATENATE("$W$"&amp;CT$392)),INDIRECT(CONCATENATE("$W$"&amp;CT$391)),
IF($K394=INDIRECT(CONCATENATE("$V$"&amp;CT$392)),INDIRECT(CONCATENATE("$V$"&amp;CT$391)),
IF($K394=INDIRECT(CONCATENATE("$U$"&amp;CT$392)),INDIRECT(CONCATENATE("$U$"&amp;CT$391)),
IF($K394=INDIRECT(CONCATENATE("$T$"&amp;CT$392)),INDIRECT(CONCATENATE("$T$"&amp;CT$391)),
IF($K394=INDIRECT(CONCATENATE("$S$"&amp;CT$392)),INDIRECT(CONCATENATE("$S$"&amp;CT$391)),
IF($K394=INDIRECT(CONCATENATE("$R$"&amp;CT$392)),INDIRECT(CONCATENATE("$R$"&amp;CT$391)),
IF($K394=INDIRECT(CONCATENATE("$Q$"&amp;CT$392)),INDIRECT(CONCATENATE("$Q$"&amp;CT$391)),
IF($K394=INDIRECT(CONCATENATE("$P$"&amp;CT$392)),INDIRECT(CONCATENATE("$P$"&amp;CT$391)),
IF($K394=INDIRECT(CONCATENATE("$O$"&amp;CT$392)),INDIRECT(CONCATENATE("$O$"&amp;CT$391)),
IF($K394=INDIRECT(CONCATENATE("$N$"&amp;CT$392)),INDIRECT(CONCATENATE("$N$"&amp;CT$391)),
IF($K394=INDIRECT(CONCATENATE("$M$"&amp;CT$392)),INDIRECT(CONCATENATE("$M$"&amp;CT$391)),
IF($K394=INDIRECT(CONCATENATE("$L$"&amp;CT$392)),INDIRECT(CONCATENATE("$L$"&amp;CT$391)),
IF($K394=INDIRECT(CONCATENATE("$K$"&amp;CT$392)),INDIRECT(CONCATENATE("$K$"&amp;CT$391)),
IF($K394=INDIRECT(CONCATENATE("$J$"&amp;CT$392)),INDIRECT(CONCATENATE("$J$"&amp;CT$391)),
IF($K394=INDIRECT(CONCATENATE("$I$"&amp;CT$392)),INDIRECT(CONCATENATE("$I$"&amp;CT$391)),
IF($K394=INDIRECT(CONCATENATE("$H$"&amp;CT$392)),INDIRECT(CONCATENATE("$H$"&amp;CT$391)),
IF($K394=INDIRECT(CONCATENATE("$G$"&amp;CT$392)),INDIRECT(CONCATENATE("$G$"&amp;CT$391)),
IF($K394=INDIRECT(CONCATENATE("$F$"&amp;CT$392)),INDIRECT(CONCATENATE("$F$"&amp;CT$391)),
IF($K394=INDIRECT(CONCATENATE("$E$"&amp;CT$392)),INDIRECT(CONCATENATE("$E$"&amp;CT$391)),
IF($K394=INDIRECT(CONCATENATE("$D$"&amp;CT$392)),INDIRECT(CONCATENATE("$D$"&amp;CT$391)),
IF($K394=INDIRECT(CONCATENATE("$C$"&amp;CT$392)),INDIRECT(CONCATENATE("$C$"&amp;CT$391)),"X")))))))))))))))))))))))))))))))</f>
        <v>X</v>
      </c>
      <c r="JG394" s="58" t="str">
        <f t="shared" ref="JG394:JG428" ca="1" si="1681">IF($K394=INDIRECT(CONCATENATE("$AG$"&amp;CU$392)),INDIRECT(CONCATENATE("$AG$"&amp;CU$391)),
IF($K394=INDIRECT(CONCATENATE("$AF$"&amp;CU$392)),INDIRECT(CONCATENATE("$AF$"&amp;CU$391)),
IF($K394=INDIRECT(CONCATENATE("$AE$"&amp;CU$392)),INDIRECT(CONCATENATE("$AE$"&amp;CU$391)),
IF($K394=INDIRECT(CONCATENATE("$AD$"&amp;CU$392)),INDIRECT(CONCATENATE("$AD$"&amp;CU$391)),
IF($K394=INDIRECT(CONCATENATE("$AC$"&amp;CU$392)),INDIRECT(CONCATENATE("$AC$"&amp;CU$391)),
IF($K394=INDIRECT(CONCATENATE("$AB$"&amp;CU$392)),INDIRECT(CONCATENATE("$AB$"&amp;CU$391)),
IF($K394=INDIRECT(CONCATENATE("$AA$"&amp;CU$392)),INDIRECT(CONCATENATE("$AA$"&amp;CU$391)),
IF($K394=INDIRECT(CONCATENATE("$Z$"&amp;CU$392)),INDIRECT(CONCATENATE("$Z$"&amp;CU$391)),
IF($K394=INDIRECT(CONCATENATE("$Y$"&amp;CU$392)),INDIRECT(CONCATENATE("$Y$"&amp;CU$391)),
IF($K394=INDIRECT(CONCATENATE("$X$"&amp;CU$392)),INDIRECT(CONCATENATE("$X$"&amp;CU$391)),
IF($K394=INDIRECT(CONCATENATE("$W$"&amp;CU$392)),INDIRECT(CONCATENATE("$W$"&amp;CU$391)),
IF($K394=INDIRECT(CONCATENATE("$V$"&amp;CU$392)),INDIRECT(CONCATENATE("$V$"&amp;CU$391)),
IF($K394=INDIRECT(CONCATENATE("$U$"&amp;CU$392)),INDIRECT(CONCATENATE("$U$"&amp;CU$391)),
IF($K394=INDIRECT(CONCATENATE("$T$"&amp;CU$392)),INDIRECT(CONCATENATE("$T$"&amp;CU$391)),
IF($K394=INDIRECT(CONCATENATE("$S$"&amp;CU$392)),INDIRECT(CONCATENATE("$S$"&amp;CU$391)),
IF($K394=INDIRECT(CONCATENATE("$R$"&amp;CU$392)),INDIRECT(CONCATENATE("$R$"&amp;CU$391)),
IF($K394=INDIRECT(CONCATENATE("$Q$"&amp;CU$392)),INDIRECT(CONCATENATE("$Q$"&amp;CU$391)),
IF($K394=INDIRECT(CONCATENATE("$P$"&amp;CU$392)),INDIRECT(CONCATENATE("$P$"&amp;CU$391)),
IF($K394=INDIRECT(CONCATENATE("$O$"&amp;CU$392)),INDIRECT(CONCATENATE("$O$"&amp;CU$391)),
IF($K394=INDIRECT(CONCATENATE("$N$"&amp;CU$392)),INDIRECT(CONCATENATE("$N$"&amp;CU$391)),
IF($K394=INDIRECT(CONCATENATE("$M$"&amp;CU$392)),INDIRECT(CONCATENATE("$M$"&amp;CU$391)),
IF($K394=INDIRECT(CONCATENATE("$L$"&amp;CU$392)),INDIRECT(CONCATENATE("$L$"&amp;CU$391)),
IF($K394=INDIRECT(CONCATENATE("$K$"&amp;CU$392)),INDIRECT(CONCATENATE("$K$"&amp;CU$391)),
IF($K394=INDIRECT(CONCATENATE("$J$"&amp;CU$392)),INDIRECT(CONCATENATE("$J$"&amp;CU$391)),
IF($K394=INDIRECT(CONCATENATE("$I$"&amp;CU$392)),INDIRECT(CONCATENATE("$I$"&amp;CU$391)),
IF($K394=INDIRECT(CONCATENATE("$H$"&amp;CU$392)),INDIRECT(CONCATENATE("$H$"&amp;CU$391)),
IF($K394=INDIRECT(CONCATENATE("$G$"&amp;CU$392)),INDIRECT(CONCATENATE("$G$"&amp;CU$391)),
IF($K394=INDIRECT(CONCATENATE("$F$"&amp;CU$392)),INDIRECT(CONCATENATE("$F$"&amp;CU$391)),
IF($K394=INDIRECT(CONCATENATE("$E$"&amp;CU$392)),INDIRECT(CONCATENATE("$E$"&amp;CU$391)),
IF($K394=INDIRECT(CONCATENATE("$D$"&amp;CU$392)),INDIRECT(CONCATENATE("$D$"&amp;CU$391)),
IF($K394=INDIRECT(CONCATENATE("$C$"&amp;CU$392)),INDIRECT(CONCATENATE("$C$"&amp;CU$391)),"X")))))))))))))))))))))))))))))))</f>
        <v>X</v>
      </c>
      <c r="JH394" s="58" t="str">
        <f t="shared" ref="JH394:JW428" ca="1" si="1682">IF($K394=INDIRECT(CONCATENATE("$AG$"&amp;CV$392)),INDIRECT(CONCATENATE("$AG$"&amp;CV$391)),
IF($K394=INDIRECT(CONCATENATE("$AF$"&amp;CV$392)),INDIRECT(CONCATENATE("$AF$"&amp;CV$391)),
IF($K394=INDIRECT(CONCATENATE("$AE$"&amp;CV$392)),INDIRECT(CONCATENATE("$AE$"&amp;CV$391)),
IF($K394=INDIRECT(CONCATENATE("$AD$"&amp;CV$392)),INDIRECT(CONCATENATE("$AD$"&amp;CV$391)),
IF($K394=INDIRECT(CONCATENATE("$AC$"&amp;CV$392)),INDIRECT(CONCATENATE("$AC$"&amp;CV$391)),
IF($K394=INDIRECT(CONCATENATE("$AB$"&amp;CV$392)),INDIRECT(CONCATENATE("$AB$"&amp;CV$391)),
IF($K394=INDIRECT(CONCATENATE("$AA$"&amp;CV$392)),INDIRECT(CONCATENATE("$AA$"&amp;CV$391)),
IF($K394=INDIRECT(CONCATENATE("$Z$"&amp;CV$392)),INDIRECT(CONCATENATE("$Z$"&amp;CV$391)),
IF($K394=INDIRECT(CONCATENATE("$Y$"&amp;CV$392)),INDIRECT(CONCATENATE("$Y$"&amp;CV$391)),
IF($K394=INDIRECT(CONCATENATE("$X$"&amp;CV$392)),INDIRECT(CONCATENATE("$X$"&amp;CV$391)),
IF($K394=INDIRECT(CONCATENATE("$W$"&amp;CV$392)),INDIRECT(CONCATENATE("$W$"&amp;CV$391)),
IF($K394=INDIRECT(CONCATENATE("$V$"&amp;CV$392)),INDIRECT(CONCATENATE("$V$"&amp;CV$391)),
IF($K394=INDIRECT(CONCATENATE("$U$"&amp;CV$392)),INDIRECT(CONCATENATE("$U$"&amp;CV$391)),
IF($K394=INDIRECT(CONCATENATE("$T$"&amp;CV$392)),INDIRECT(CONCATENATE("$T$"&amp;CV$391)),
IF($K394=INDIRECT(CONCATENATE("$S$"&amp;CV$392)),INDIRECT(CONCATENATE("$S$"&amp;CV$391)),
IF($K394=INDIRECT(CONCATENATE("$R$"&amp;CV$392)),INDIRECT(CONCATENATE("$R$"&amp;CV$391)),
IF($K394=INDIRECT(CONCATENATE("$Q$"&amp;CV$392)),INDIRECT(CONCATENATE("$Q$"&amp;CV$391)),
IF($K394=INDIRECT(CONCATENATE("$P$"&amp;CV$392)),INDIRECT(CONCATENATE("$P$"&amp;CV$391)),
IF($K394=INDIRECT(CONCATENATE("$O$"&amp;CV$392)),INDIRECT(CONCATENATE("$O$"&amp;CV$391)),
IF($K394=INDIRECT(CONCATENATE("$N$"&amp;CV$392)),INDIRECT(CONCATENATE("$N$"&amp;CV$391)),
IF($K394=INDIRECT(CONCATENATE("$M$"&amp;CV$392)),INDIRECT(CONCATENATE("$M$"&amp;CV$391)),
IF($K394=INDIRECT(CONCATENATE("$L$"&amp;CV$392)),INDIRECT(CONCATENATE("$L$"&amp;CV$391)),
IF($K394=INDIRECT(CONCATENATE("$K$"&amp;CV$392)),INDIRECT(CONCATENATE("$K$"&amp;CV$391)),
IF($K394=INDIRECT(CONCATENATE("$J$"&amp;CV$392)),INDIRECT(CONCATENATE("$J$"&amp;CV$391)),
IF($K394=INDIRECT(CONCATENATE("$I$"&amp;CV$392)),INDIRECT(CONCATENATE("$I$"&amp;CV$391)),
IF($K394=INDIRECT(CONCATENATE("$H$"&amp;CV$392)),INDIRECT(CONCATENATE("$H$"&amp;CV$391)),
IF($K394=INDIRECT(CONCATENATE("$G$"&amp;CV$392)),INDIRECT(CONCATENATE("$G$"&amp;CV$391)),
IF($K394=INDIRECT(CONCATENATE("$F$"&amp;CV$392)),INDIRECT(CONCATENATE("$F$"&amp;CV$391)),
IF($K394=INDIRECT(CONCATENATE("$E$"&amp;CV$392)),INDIRECT(CONCATENATE("$E$"&amp;CV$391)),
IF($K394=INDIRECT(CONCATENATE("$D$"&amp;CV$392)),INDIRECT(CONCATENATE("$D$"&amp;CV$391)),
IF($K394=INDIRECT(CONCATENATE("$C$"&amp;CV$392)),INDIRECT(CONCATENATE("$C$"&amp;CV$391)),"X")))))))))))))))))))))))))))))))</f>
        <v>X</v>
      </c>
      <c r="JI394" s="58" t="str">
        <f t="shared" ref="JI394:JI428" ca="1" si="1683">IF($K394=INDIRECT(CONCATENATE("$AG$"&amp;CW$392)),INDIRECT(CONCATENATE("$AG$"&amp;CW$391)),
IF($K394=INDIRECT(CONCATENATE("$AF$"&amp;CW$392)),INDIRECT(CONCATENATE("$AF$"&amp;CW$391)),
IF($K394=INDIRECT(CONCATENATE("$AE$"&amp;CW$392)),INDIRECT(CONCATENATE("$AE$"&amp;CW$391)),
IF($K394=INDIRECT(CONCATENATE("$AD$"&amp;CW$392)),INDIRECT(CONCATENATE("$AD$"&amp;CW$391)),
IF($K394=INDIRECT(CONCATENATE("$AC$"&amp;CW$392)),INDIRECT(CONCATENATE("$AC$"&amp;CW$391)),
IF($K394=INDIRECT(CONCATENATE("$AB$"&amp;CW$392)),INDIRECT(CONCATENATE("$AB$"&amp;CW$391)),
IF($K394=INDIRECT(CONCATENATE("$AA$"&amp;CW$392)),INDIRECT(CONCATENATE("$AA$"&amp;CW$391)),
IF($K394=INDIRECT(CONCATENATE("$Z$"&amp;CW$392)),INDIRECT(CONCATENATE("$Z$"&amp;CW$391)),
IF($K394=INDIRECT(CONCATENATE("$Y$"&amp;CW$392)),INDIRECT(CONCATENATE("$Y$"&amp;CW$391)),
IF($K394=INDIRECT(CONCATENATE("$X$"&amp;CW$392)),INDIRECT(CONCATENATE("$X$"&amp;CW$391)),
IF($K394=INDIRECT(CONCATENATE("$W$"&amp;CW$392)),INDIRECT(CONCATENATE("$W$"&amp;CW$391)),
IF($K394=INDIRECT(CONCATENATE("$V$"&amp;CW$392)),INDIRECT(CONCATENATE("$V$"&amp;CW$391)),
IF($K394=INDIRECT(CONCATENATE("$U$"&amp;CW$392)),INDIRECT(CONCATENATE("$U$"&amp;CW$391)),
IF($K394=INDIRECT(CONCATENATE("$T$"&amp;CW$392)),INDIRECT(CONCATENATE("$T$"&amp;CW$391)),
IF($K394=INDIRECT(CONCATENATE("$S$"&amp;CW$392)),INDIRECT(CONCATENATE("$S$"&amp;CW$391)),
IF($K394=INDIRECT(CONCATENATE("$R$"&amp;CW$392)),INDIRECT(CONCATENATE("$R$"&amp;CW$391)),
IF($K394=INDIRECT(CONCATENATE("$Q$"&amp;CW$392)),INDIRECT(CONCATENATE("$Q$"&amp;CW$391)),
IF($K394=INDIRECT(CONCATENATE("$P$"&amp;CW$392)),INDIRECT(CONCATENATE("$P$"&amp;CW$391)),
IF($K394=INDIRECT(CONCATENATE("$O$"&amp;CW$392)),INDIRECT(CONCATENATE("$O$"&amp;CW$391)),
IF($K394=INDIRECT(CONCATENATE("$N$"&amp;CW$392)),INDIRECT(CONCATENATE("$N$"&amp;CW$391)),
IF($K394=INDIRECT(CONCATENATE("$M$"&amp;CW$392)),INDIRECT(CONCATENATE("$M$"&amp;CW$391)),
IF($K394=INDIRECT(CONCATENATE("$L$"&amp;CW$392)),INDIRECT(CONCATENATE("$L$"&amp;CW$391)),
IF($K394=INDIRECT(CONCATENATE("$K$"&amp;CW$392)),INDIRECT(CONCATENATE("$K$"&amp;CW$391)),
IF($K394=INDIRECT(CONCATENATE("$J$"&amp;CW$392)),INDIRECT(CONCATENATE("$J$"&amp;CW$391)),
IF($K394=INDIRECT(CONCATENATE("$I$"&amp;CW$392)),INDIRECT(CONCATENATE("$I$"&amp;CW$391)),
IF($K394=INDIRECT(CONCATENATE("$H$"&amp;CW$392)),INDIRECT(CONCATENATE("$H$"&amp;CW$391)),
IF($K394=INDIRECT(CONCATENATE("$G$"&amp;CW$392)),INDIRECT(CONCATENATE("$G$"&amp;CW$391)),
IF($K394=INDIRECT(CONCATENATE("$F$"&amp;CW$392)),INDIRECT(CONCATENATE("$F$"&amp;CW$391)),
IF($K394=INDIRECT(CONCATENATE("$E$"&amp;CW$392)),INDIRECT(CONCATENATE("$E$"&amp;CW$391)),
IF($K394=INDIRECT(CONCATENATE("$D$"&amp;CW$392)),INDIRECT(CONCATENATE("$D$"&amp;CW$391)),
IF($K394=INDIRECT(CONCATENATE("$C$"&amp;CW$392)),INDIRECT(CONCATENATE("$C$"&amp;CW$391)),"X")))))))))))))))))))))))))))))))</f>
        <v>X</v>
      </c>
      <c r="JJ394" s="58" t="str">
        <f t="shared" ref="JJ394:JJ428" ca="1" si="1684">IF($K394=INDIRECT(CONCATENATE("$AG$"&amp;CX$392)),INDIRECT(CONCATENATE("$AG$"&amp;CX$391)),
IF($K394=INDIRECT(CONCATENATE("$AF$"&amp;CX$392)),INDIRECT(CONCATENATE("$AF$"&amp;CX$391)),
IF($K394=INDIRECT(CONCATENATE("$AE$"&amp;CX$392)),INDIRECT(CONCATENATE("$AE$"&amp;CX$391)),
IF($K394=INDIRECT(CONCATENATE("$AD$"&amp;CX$392)),INDIRECT(CONCATENATE("$AD$"&amp;CX$391)),
IF($K394=INDIRECT(CONCATENATE("$AC$"&amp;CX$392)),INDIRECT(CONCATENATE("$AC$"&amp;CX$391)),
IF($K394=INDIRECT(CONCATENATE("$AB$"&amp;CX$392)),INDIRECT(CONCATENATE("$AB$"&amp;CX$391)),
IF($K394=INDIRECT(CONCATENATE("$AA$"&amp;CX$392)),INDIRECT(CONCATENATE("$AA$"&amp;CX$391)),
IF($K394=INDIRECT(CONCATENATE("$Z$"&amp;CX$392)),INDIRECT(CONCATENATE("$Z$"&amp;CX$391)),
IF($K394=INDIRECT(CONCATENATE("$Y$"&amp;CX$392)),INDIRECT(CONCATENATE("$Y$"&amp;CX$391)),
IF($K394=INDIRECT(CONCATENATE("$X$"&amp;CX$392)),INDIRECT(CONCATENATE("$X$"&amp;CX$391)),
IF($K394=INDIRECT(CONCATENATE("$W$"&amp;CX$392)),INDIRECT(CONCATENATE("$W$"&amp;CX$391)),
IF($K394=INDIRECT(CONCATENATE("$V$"&amp;CX$392)),INDIRECT(CONCATENATE("$V$"&amp;CX$391)),
IF($K394=INDIRECT(CONCATENATE("$U$"&amp;CX$392)),INDIRECT(CONCATENATE("$U$"&amp;CX$391)),
IF($K394=INDIRECT(CONCATENATE("$T$"&amp;CX$392)),INDIRECT(CONCATENATE("$T$"&amp;CX$391)),
IF($K394=INDIRECT(CONCATENATE("$S$"&amp;CX$392)),INDIRECT(CONCATENATE("$S$"&amp;CX$391)),
IF($K394=INDIRECT(CONCATENATE("$R$"&amp;CX$392)),INDIRECT(CONCATENATE("$R$"&amp;CX$391)),
IF($K394=INDIRECT(CONCATENATE("$Q$"&amp;CX$392)),INDIRECT(CONCATENATE("$Q$"&amp;CX$391)),
IF($K394=INDIRECT(CONCATENATE("$P$"&amp;CX$392)),INDIRECT(CONCATENATE("$P$"&amp;CX$391)),
IF($K394=INDIRECT(CONCATENATE("$O$"&amp;CX$392)),INDIRECT(CONCATENATE("$O$"&amp;CX$391)),
IF($K394=INDIRECT(CONCATENATE("$N$"&amp;CX$392)),INDIRECT(CONCATENATE("$N$"&amp;CX$391)),
IF($K394=INDIRECT(CONCATENATE("$M$"&amp;CX$392)),INDIRECT(CONCATENATE("$M$"&amp;CX$391)),
IF($K394=INDIRECT(CONCATENATE("$L$"&amp;CX$392)),INDIRECT(CONCATENATE("$L$"&amp;CX$391)),
IF($K394=INDIRECT(CONCATENATE("$K$"&amp;CX$392)),INDIRECT(CONCATENATE("$K$"&amp;CX$391)),
IF($K394=INDIRECT(CONCATENATE("$J$"&amp;CX$392)),INDIRECT(CONCATENATE("$J$"&amp;CX$391)),
IF($K394=INDIRECT(CONCATENATE("$I$"&amp;CX$392)),INDIRECT(CONCATENATE("$I$"&amp;CX$391)),
IF($K394=INDIRECT(CONCATENATE("$H$"&amp;CX$392)),INDIRECT(CONCATENATE("$H$"&amp;CX$391)),
IF($K394=INDIRECT(CONCATENATE("$G$"&amp;CX$392)),INDIRECT(CONCATENATE("$G$"&amp;CX$391)),
IF($K394=INDIRECT(CONCATENATE("$F$"&amp;CX$392)),INDIRECT(CONCATENATE("$F$"&amp;CX$391)),
IF($K394=INDIRECT(CONCATENATE("$E$"&amp;CX$392)),INDIRECT(CONCATENATE("$E$"&amp;CX$391)),
IF($K394=INDIRECT(CONCATENATE("$D$"&amp;CX$392)),INDIRECT(CONCATENATE("$D$"&amp;CX$391)),
IF($K394=INDIRECT(CONCATENATE("$C$"&amp;CX$392)),INDIRECT(CONCATENATE("$C$"&amp;CX$391)),"X")))))))))))))))))))))))))))))))</f>
        <v>X</v>
      </c>
      <c r="JK394" s="58" t="str">
        <f t="shared" ref="JK394:JK428" ca="1" si="1685">IF($K394=INDIRECT(CONCATENATE("$AG$"&amp;CY$392)),INDIRECT(CONCATENATE("$AG$"&amp;CY$391)),
IF($K394=INDIRECT(CONCATENATE("$AF$"&amp;CY$392)),INDIRECT(CONCATENATE("$AF$"&amp;CY$391)),
IF($K394=INDIRECT(CONCATENATE("$AE$"&amp;CY$392)),INDIRECT(CONCATENATE("$AE$"&amp;CY$391)),
IF($K394=INDIRECT(CONCATENATE("$AD$"&amp;CY$392)),INDIRECT(CONCATENATE("$AD$"&amp;CY$391)),
IF($K394=INDIRECT(CONCATENATE("$AC$"&amp;CY$392)),INDIRECT(CONCATENATE("$AC$"&amp;CY$391)),
IF($K394=INDIRECT(CONCATENATE("$AB$"&amp;CY$392)),INDIRECT(CONCATENATE("$AB$"&amp;CY$391)),
IF($K394=INDIRECT(CONCATENATE("$AA$"&amp;CY$392)),INDIRECT(CONCATENATE("$AA$"&amp;CY$391)),
IF($K394=INDIRECT(CONCATENATE("$Z$"&amp;CY$392)),INDIRECT(CONCATENATE("$Z$"&amp;CY$391)),
IF($K394=INDIRECT(CONCATENATE("$Y$"&amp;CY$392)),INDIRECT(CONCATENATE("$Y$"&amp;CY$391)),
IF($K394=INDIRECT(CONCATENATE("$X$"&amp;CY$392)),INDIRECT(CONCATENATE("$X$"&amp;CY$391)),
IF($K394=INDIRECT(CONCATENATE("$W$"&amp;CY$392)),INDIRECT(CONCATENATE("$W$"&amp;CY$391)),
IF($K394=INDIRECT(CONCATENATE("$V$"&amp;CY$392)),INDIRECT(CONCATENATE("$V$"&amp;CY$391)),
IF($K394=INDIRECT(CONCATENATE("$U$"&amp;CY$392)),INDIRECT(CONCATENATE("$U$"&amp;CY$391)),
IF($K394=INDIRECT(CONCATENATE("$T$"&amp;CY$392)),INDIRECT(CONCATENATE("$T$"&amp;CY$391)),
IF($K394=INDIRECT(CONCATENATE("$S$"&amp;CY$392)),INDIRECT(CONCATENATE("$S$"&amp;CY$391)),
IF($K394=INDIRECT(CONCATENATE("$R$"&amp;CY$392)),INDIRECT(CONCATENATE("$R$"&amp;CY$391)),
IF($K394=INDIRECT(CONCATENATE("$Q$"&amp;CY$392)),INDIRECT(CONCATENATE("$Q$"&amp;CY$391)),
IF($K394=INDIRECT(CONCATENATE("$P$"&amp;CY$392)),INDIRECT(CONCATENATE("$P$"&amp;CY$391)),
IF($K394=INDIRECT(CONCATENATE("$O$"&amp;CY$392)),INDIRECT(CONCATENATE("$O$"&amp;CY$391)),
IF($K394=INDIRECT(CONCATENATE("$N$"&amp;CY$392)),INDIRECT(CONCATENATE("$N$"&amp;CY$391)),
IF($K394=INDIRECT(CONCATENATE("$M$"&amp;CY$392)),INDIRECT(CONCATENATE("$M$"&amp;CY$391)),
IF($K394=INDIRECT(CONCATENATE("$L$"&amp;CY$392)),INDIRECT(CONCATENATE("$L$"&amp;CY$391)),
IF($K394=INDIRECT(CONCATENATE("$K$"&amp;CY$392)),INDIRECT(CONCATENATE("$K$"&amp;CY$391)),
IF($K394=INDIRECT(CONCATENATE("$J$"&amp;CY$392)),INDIRECT(CONCATENATE("$J$"&amp;CY$391)),
IF($K394=INDIRECT(CONCATENATE("$I$"&amp;CY$392)),INDIRECT(CONCATENATE("$I$"&amp;CY$391)),
IF($K394=INDIRECT(CONCATENATE("$H$"&amp;CY$392)),INDIRECT(CONCATENATE("$H$"&amp;CY$391)),
IF($K394=INDIRECT(CONCATENATE("$G$"&amp;CY$392)),INDIRECT(CONCATENATE("$G$"&amp;CY$391)),
IF($K394=INDIRECT(CONCATENATE("$F$"&amp;CY$392)),INDIRECT(CONCATENATE("$F$"&amp;CY$391)),
IF($K394=INDIRECT(CONCATENATE("$E$"&amp;CY$392)),INDIRECT(CONCATENATE("$E$"&amp;CY$391)),
IF($K394=INDIRECT(CONCATENATE("$D$"&amp;CY$392)),INDIRECT(CONCATENATE("$D$"&amp;CY$391)),
IF($K394=INDIRECT(CONCATENATE("$C$"&amp;CY$392)),INDIRECT(CONCATENATE("$C$"&amp;CY$391)),"X")))))))))))))))))))))))))))))))</f>
        <v>X</v>
      </c>
      <c r="JL394" s="58" t="str">
        <f t="shared" ref="JL394:JL428" ca="1" si="1686">IF($K394=INDIRECT(CONCATENATE("$AG$"&amp;CZ$392)),INDIRECT(CONCATENATE("$AG$"&amp;CZ$391)),
IF($K394=INDIRECT(CONCATENATE("$AF$"&amp;CZ$392)),INDIRECT(CONCATENATE("$AF$"&amp;CZ$391)),
IF($K394=INDIRECT(CONCATENATE("$AE$"&amp;CZ$392)),INDIRECT(CONCATENATE("$AE$"&amp;CZ$391)),
IF($K394=INDIRECT(CONCATENATE("$AD$"&amp;CZ$392)),INDIRECT(CONCATENATE("$AD$"&amp;CZ$391)),
IF($K394=INDIRECT(CONCATENATE("$AC$"&amp;CZ$392)),INDIRECT(CONCATENATE("$AC$"&amp;CZ$391)),
IF($K394=INDIRECT(CONCATENATE("$AB$"&amp;CZ$392)),INDIRECT(CONCATENATE("$AB$"&amp;CZ$391)),
IF($K394=INDIRECT(CONCATENATE("$AA$"&amp;CZ$392)),INDIRECT(CONCATENATE("$AA$"&amp;CZ$391)),
IF($K394=INDIRECT(CONCATENATE("$Z$"&amp;CZ$392)),INDIRECT(CONCATENATE("$Z$"&amp;CZ$391)),
IF($K394=INDIRECT(CONCATENATE("$Y$"&amp;CZ$392)),INDIRECT(CONCATENATE("$Y$"&amp;CZ$391)),
IF($K394=INDIRECT(CONCATENATE("$X$"&amp;CZ$392)),INDIRECT(CONCATENATE("$X$"&amp;CZ$391)),
IF($K394=INDIRECT(CONCATENATE("$W$"&amp;CZ$392)),INDIRECT(CONCATENATE("$W$"&amp;CZ$391)),
IF($K394=INDIRECT(CONCATENATE("$V$"&amp;CZ$392)),INDIRECT(CONCATENATE("$V$"&amp;CZ$391)),
IF($K394=INDIRECT(CONCATENATE("$U$"&amp;CZ$392)),INDIRECT(CONCATENATE("$U$"&amp;CZ$391)),
IF($K394=INDIRECT(CONCATENATE("$T$"&amp;CZ$392)),INDIRECT(CONCATENATE("$T$"&amp;CZ$391)),
IF($K394=INDIRECT(CONCATENATE("$S$"&amp;CZ$392)),INDIRECT(CONCATENATE("$S$"&amp;CZ$391)),
IF($K394=INDIRECT(CONCATENATE("$R$"&amp;CZ$392)),INDIRECT(CONCATENATE("$R$"&amp;CZ$391)),
IF($K394=INDIRECT(CONCATENATE("$Q$"&amp;CZ$392)),INDIRECT(CONCATENATE("$Q$"&amp;CZ$391)),
IF($K394=INDIRECT(CONCATENATE("$P$"&amp;CZ$392)),INDIRECT(CONCATENATE("$P$"&amp;CZ$391)),
IF($K394=INDIRECT(CONCATENATE("$O$"&amp;CZ$392)),INDIRECT(CONCATENATE("$O$"&amp;CZ$391)),
IF($K394=INDIRECT(CONCATENATE("$N$"&amp;CZ$392)),INDIRECT(CONCATENATE("$N$"&amp;CZ$391)),
IF($K394=INDIRECT(CONCATENATE("$M$"&amp;CZ$392)),INDIRECT(CONCATENATE("$M$"&amp;CZ$391)),
IF($K394=INDIRECT(CONCATENATE("$L$"&amp;CZ$392)),INDIRECT(CONCATENATE("$L$"&amp;CZ$391)),
IF($K394=INDIRECT(CONCATENATE("$K$"&amp;CZ$392)),INDIRECT(CONCATENATE("$K$"&amp;CZ$391)),
IF($K394=INDIRECT(CONCATENATE("$J$"&amp;CZ$392)),INDIRECT(CONCATENATE("$J$"&amp;CZ$391)),
IF($K394=INDIRECT(CONCATENATE("$I$"&amp;CZ$392)),INDIRECT(CONCATENATE("$I$"&amp;CZ$391)),
IF($K394=INDIRECT(CONCATENATE("$H$"&amp;CZ$392)),INDIRECT(CONCATENATE("$H$"&amp;CZ$391)),
IF($K394=INDIRECT(CONCATENATE("$G$"&amp;CZ$392)),INDIRECT(CONCATENATE("$G$"&amp;CZ$391)),
IF($K394=INDIRECT(CONCATENATE("$F$"&amp;CZ$392)),INDIRECT(CONCATENATE("$F$"&amp;CZ$391)),
IF($K394=INDIRECT(CONCATENATE("$E$"&amp;CZ$392)),INDIRECT(CONCATENATE("$E$"&amp;CZ$391)),
IF($K394=INDIRECT(CONCATENATE("$D$"&amp;CZ$392)),INDIRECT(CONCATENATE("$D$"&amp;CZ$391)),
IF($K394=INDIRECT(CONCATENATE("$C$"&amp;CZ$392)),INDIRECT(CONCATENATE("$C$"&amp;CZ$391)),"X")))))))))))))))))))))))))))))))</f>
        <v>X</v>
      </c>
      <c r="JM394" s="58" t="str">
        <f t="shared" ref="JM394:JM428" ca="1" si="1687">IF($K394=INDIRECT(CONCATENATE("$AG$"&amp;DA$392)),INDIRECT(CONCATENATE("$AG$"&amp;DA$391)),
IF($K394=INDIRECT(CONCATENATE("$AF$"&amp;DA$392)),INDIRECT(CONCATENATE("$AF$"&amp;DA$391)),
IF($K394=INDIRECT(CONCATENATE("$AE$"&amp;DA$392)),INDIRECT(CONCATENATE("$AE$"&amp;DA$391)),
IF($K394=INDIRECT(CONCATENATE("$AD$"&amp;DA$392)),INDIRECT(CONCATENATE("$AD$"&amp;DA$391)),
IF($K394=INDIRECT(CONCATENATE("$AC$"&amp;DA$392)),INDIRECT(CONCATENATE("$AC$"&amp;DA$391)),
IF($K394=INDIRECT(CONCATENATE("$AB$"&amp;DA$392)),INDIRECT(CONCATENATE("$AB$"&amp;DA$391)),
IF($K394=INDIRECT(CONCATENATE("$AA$"&amp;DA$392)),INDIRECT(CONCATENATE("$AA$"&amp;DA$391)),
IF($K394=INDIRECT(CONCATENATE("$Z$"&amp;DA$392)),INDIRECT(CONCATENATE("$Z$"&amp;DA$391)),
IF($K394=INDIRECT(CONCATENATE("$Y$"&amp;DA$392)),INDIRECT(CONCATENATE("$Y$"&amp;DA$391)),
IF($K394=INDIRECT(CONCATENATE("$X$"&amp;DA$392)),INDIRECT(CONCATENATE("$X$"&amp;DA$391)),
IF($K394=INDIRECT(CONCATENATE("$W$"&amp;DA$392)),INDIRECT(CONCATENATE("$W$"&amp;DA$391)),
IF($K394=INDIRECT(CONCATENATE("$V$"&amp;DA$392)),INDIRECT(CONCATENATE("$V$"&amp;DA$391)),
IF($K394=INDIRECT(CONCATENATE("$U$"&amp;DA$392)),INDIRECT(CONCATENATE("$U$"&amp;DA$391)),
IF($K394=INDIRECT(CONCATENATE("$T$"&amp;DA$392)),INDIRECT(CONCATENATE("$T$"&amp;DA$391)),
IF($K394=INDIRECT(CONCATENATE("$S$"&amp;DA$392)),INDIRECT(CONCATENATE("$S$"&amp;DA$391)),
IF($K394=INDIRECT(CONCATENATE("$R$"&amp;DA$392)),INDIRECT(CONCATENATE("$R$"&amp;DA$391)),
IF($K394=INDIRECT(CONCATENATE("$Q$"&amp;DA$392)),INDIRECT(CONCATENATE("$Q$"&amp;DA$391)),
IF($K394=INDIRECT(CONCATENATE("$P$"&amp;DA$392)),INDIRECT(CONCATENATE("$P$"&amp;DA$391)),
IF($K394=INDIRECT(CONCATENATE("$O$"&amp;DA$392)),INDIRECT(CONCATENATE("$O$"&amp;DA$391)),
IF($K394=INDIRECT(CONCATENATE("$N$"&amp;DA$392)),INDIRECT(CONCATENATE("$N$"&amp;DA$391)),
IF($K394=INDIRECT(CONCATENATE("$M$"&amp;DA$392)),INDIRECT(CONCATENATE("$M$"&amp;DA$391)),
IF($K394=INDIRECT(CONCATENATE("$L$"&amp;DA$392)),INDIRECT(CONCATENATE("$L$"&amp;DA$391)),
IF($K394=INDIRECT(CONCATENATE("$K$"&amp;DA$392)),INDIRECT(CONCATENATE("$K$"&amp;DA$391)),
IF($K394=INDIRECT(CONCATENATE("$J$"&amp;DA$392)),INDIRECT(CONCATENATE("$J$"&amp;DA$391)),
IF($K394=INDIRECT(CONCATENATE("$I$"&amp;DA$392)),INDIRECT(CONCATENATE("$I$"&amp;DA$391)),
IF($K394=INDIRECT(CONCATENATE("$H$"&amp;DA$392)),INDIRECT(CONCATENATE("$H$"&amp;DA$391)),
IF($K394=INDIRECT(CONCATENATE("$G$"&amp;DA$392)),INDIRECT(CONCATENATE("$G$"&amp;DA$391)),
IF($K394=INDIRECT(CONCATENATE("$F$"&amp;DA$392)),INDIRECT(CONCATENATE("$F$"&amp;DA$391)),
IF($K394=INDIRECT(CONCATENATE("$E$"&amp;DA$392)),INDIRECT(CONCATENATE("$E$"&amp;DA$391)),
IF($K394=INDIRECT(CONCATENATE("$D$"&amp;DA$392)),INDIRECT(CONCATENATE("$D$"&amp;DA$391)),
IF($K394=INDIRECT(CONCATENATE("$C$"&amp;DA$392)),INDIRECT(CONCATENATE("$C$"&amp;DA$391)),"X")))))))))))))))))))))))))))))))</f>
        <v>X</v>
      </c>
      <c r="JN394" s="58" t="str">
        <f t="shared" ref="JN394:JN428" ca="1" si="1688">IF($K394=INDIRECT(CONCATENATE("$AG$"&amp;DB$392)),INDIRECT(CONCATENATE("$AG$"&amp;DB$391)),
IF($K394=INDIRECT(CONCATENATE("$AF$"&amp;DB$392)),INDIRECT(CONCATENATE("$AF$"&amp;DB$391)),
IF($K394=INDIRECT(CONCATENATE("$AE$"&amp;DB$392)),INDIRECT(CONCATENATE("$AE$"&amp;DB$391)),
IF($K394=INDIRECT(CONCATENATE("$AD$"&amp;DB$392)),INDIRECT(CONCATENATE("$AD$"&amp;DB$391)),
IF($K394=INDIRECT(CONCATENATE("$AC$"&amp;DB$392)),INDIRECT(CONCATENATE("$AC$"&amp;DB$391)),
IF($K394=INDIRECT(CONCATENATE("$AB$"&amp;DB$392)),INDIRECT(CONCATENATE("$AB$"&amp;DB$391)),
IF($K394=INDIRECT(CONCATENATE("$AA$"&amp;DB$392)),INDIRECT(CONCATENATE("$AA$"&amp;DB$391)),
IF($K394=INDIRECT(CONCATENATE("$Z$"&amp;DB$392)),INDIRECT(CONCATENATE("$Z$"&amp;DB$391)),
IF($K394=INDIRECT(CONCATENATE("$Y$"&amp;DB$392)),INDIRECT(CONCATENATE("$Y$"&amp;DB$391)),
IF($K394=INDIRECT(CONCATENATE("$X$"&amp;DB$392)),INDIRECT(CONCATENATE("$X$"&amp;DB$391)),
IF($K394=INDIRECT(CONCATENATE("$W$"&amp;DB$392)),INDIRECT(CONCATENATE("$W$"&amp;DB$391)),
IF($K394=INDIRECT(CONCATENATE("$V$"&amp;DB$392)),INDIRECT(CONCATENATE("$V$"&amp;DB$391)),
IF($K394=INDIRECT(CONCATENATE("$U$"&amp;DB$392)),INDIRECT(CONCATENATE("$U$"&amp;DB$391)),
IF($K394=INDIRECT(CONCATENATE("$T$"&amp;DB$392)),INDIRECT(CONCATENATE("$T$"&amp;DB$391)),
IF($K394=INDIRECT(CONCATENATE("$S$"&amp;DB$392)),INDIRECT(CONCATENATE("$S$"&amp;DB$391)),
IF($K394=INDIRECT(CONCATENATE("$R$"&amp;DB$392)),INDIRECT(CONCATENATE("$R$"&amp;DB$391)),
IF($K394=INDIRECT(CONCATENATE("$Q$"&amp;DB$392)),INDIRECT(CONCATENATE("$Q$"&amp;DB$391)),
IF($K394=INDIRECT(CONCATENATE("$P$"&amp;DB$392)),INDIRECT(CONCATENATE("$P$"&amp;DB$391)),
IF($K394=INDIRECT(CONCATENATE("$O$"&amp;DB$392)),INDIRECT(CONCATENATE("$O$"&amp;DB$391)),
IF($K394=INDIRECT(CONCATENATE("$N$"&amp;DB$392)),INDIRECT(CONCATENATE("$N$"&amp;DB$391)),
IF($K394=INDIRECT(CONCATENATE("$M$"&amp;DB$392)),INDIRECT(CONCATENATE("$M$"&amp;DB$391)),
IF($K394=INDIRECT(CONCATENATE("$L$"&amp;DB$392)),INDIRECT(CONCATENATE("$L$"&amp;DB$391)),
IF($K394=INDIRECT(CONCATENATE("$K$"&amp;DB$392)),INDIRECT(CONCATENATE("$K$"&amp;DB$391)),
IF($K394=INDIRECT(CONCATENATE("$J$"&amp;DB$392)),INDIRECT(CONCATENATE("$J$"&amp;DB$391)),
IF($K394=INDIRECT(CONCATENATE("$I$"&amp;DB$392)),INDIRECT(CONCATENATE("$I$"&amp;DB$391)),
IF($K394=INDIRECT(CONCATENATE("$H$"&amp;DB$392)),INDIRECT(CONCATENATE("$H$"&amp;DB$391)),
IF($K394=INDIRECT(CONCATENATE("$G$"&amp;DB$392)),INDIRECT(CONCATENATE("$G$"&amp;DB$391)),
IF($K394=INDIRECT(CONCATENATE("$F$"&amp;DB$392)),INDIRECT(CONCATENATE("$F$"&amp;DB$391)),
IF($K394=INDIRECT(CONCATENATE("$E$"&amp;DB$392)),INDIRECT(CONCATENATE("$E$"&amp;DB$391)),
IF($K394=INDIRECT(CONCATENATE("$D$"&amp;DB$392)),INDIRECT(CONCATENATE("$D$"&amp;DB$391)),
IF($K394=INDIRECT(CONCATENATE("$C$"&amp;DB$392)),INDIRECT(CONCATENATE("$C$"&amp;DB$391)),"X")))))))))))))))))))))))))))))))</f>
        <v>X</v>
      </c>
      <c r="JO394" s="58" t="str">
        <f t="shared" ref="JO394:JO428" ca="1" si="1689">IF($K394=INDIRECT(CONCATENATE("$AG$"&amp;DC$392)),INDIRECT(CONCATENATE("$AG$"&amp;DC$391)),
IF($K394=INDIRECT(CONCATENATE("$AF$"&amp;DC$392)),INDIRECT(CONCATENATE("$AF$"&amp;DC$391)),
IF($K394=INDIRECT(CONCATENATE("$AE$"&amp;DC$392)),INDIRECT(CONCATENATE("$AE$"&amp;DC$391)),
IF($K394=INDIRECT(CONCATENATE("$AD$"&amp;DC$392)),INDIRECT(CONCATENATE("$AD$"&amp;DC$391)),
IF($K394=INDIRECT(CONCATENATE("$AC$"&amp;DC$392)),INDIRECT(CONCATENATE("$AC$"&amp;DC$391)),
IF($K394=INDIRECT(CONCATENATE("$AB$"&amp;DC$392)),INDIRECT(CONCATENATE("$AB$"&amp;DC$391)),
IF($K394=INDIRECT(CONCATENATE("$AA$"&amp;DC$392)),INDIRECT(CONCATENATE("$AA$"&amp;DC$391)),
IF($K394=INDIRECT(CONCATENATE("$Z$"&amp;DC$392)),INDIRECT(CONCATENATE("$Z$"&amp;DC$391)),
IF($K394=INDIRECT(CONCATENATE("$Y$"&amp;DC$392)),INDIRECT(CONCATENATE("$Y$"&amp;DC$391)),
IF($K394=INDIRECT(CONCATENATE("$X$"&amp;DC$392)),INDIRECT(CONCATENATE("$X$"&amp;DC$391)),
IF($K394=INDIRECT(CONCATENATE("$W$"&amp;DC$392)),INDIRECT(CONCATENATE("$W$"&amp;DC$391)),
IF($K394=INDIRECT(CONCATENATE("$V$"&amp;DC$392)),INDIRECT(CONCATENATE("$V$"&amp;DC$391)),
IF($K394=INDIRECT(CONCATENATE("$U$"&amp;DC$392)),INDIRECT(CONCATENATE("$U$"&amp;DC$391)),
IF($K394=INDIRECT(CONCATENATE("$T$"&amp;DC$392)),INDIRECT(CONCATENATE("$T$"&amp;DC$391)),
IF($K394=INDIRECT(CONCATENATE("$S$"&amp;DC$392)),INDIRECT(CONCATENATE("$S$"&amp;DC$391)),
IF($K394=INDIRECT(CONCATENATE("$R$"&amp;DC$392)),INDIRECT(CONCATENATE("$R$"&amp;DC$391)),
IF($K394=INDIRECT(CONCATENATE("$Q$"&amp;DC$392)),INDIRECT(CONCATENATE("$Q$"&amp;DC$391)),
IF($K394=INDIRECT(CONCATENATE("$P$"&amp;DC$392)),INDIRECT(CONCATENATE("$P$"&amp;DC$391)),
IF($K394=INDIRECT(CONCATENATE("$O$"&amp;DC$392)),INDIRECT(CONCATENATE("$O$"&amp;DC$391)),
IF($K394=INDIRECT(CONCATENATE("$N$"&amp;DC$392)),INDIRECT(CONCATENATE("$N$"&amp;DC$391)),
IF($K394=INDIRECT(CONCATENATE("$M$"&amp;DC$392)),INDIRECT(CONCATENATE("$M$"&amp;DC$391)),
IF($K394=INDIRECT(CONCATENATE("$L$"&amp;DC$392)),INDIRECT(CONCATENATE("$L$"&amp;DC$391)),
IF($K394=INDIRECT(CONCATENATE("$K$"&amp;DC$392)),INDIRECT(CONCATENATE("$K$"&amp;DC$391)),
IF($K394=INDIRECT(CONCATENATE("$J$"&amp;DC$392)),INDIRECT(CONCATENATE("$J$"&amp;DC$391)),
IF($K394=INDIRECT(CONCATENATE("$I$"&amp;DC$392)),INDIRECT(CONCATENATE("$I$"&amp;DC$391)),
IF($K394=INDIRECT(CONCATENATE("$H$"&amp;DC$392)),INDIRECT(CONCATENATE("$H$"&amp;DC$391)),
IF($K394=INDIRECT(CONCATENATE("$G$"&amp;DC$392)),INDIRECT(CONCATENATE("$G$"&amp;DC$391)),
IF($K394=INDIRECT(CONCATENATE("$F$"&amp;DC$392)),INDIRECT(CONCATENATE("$F$"&amp;DC$391)),
IF($K394=INDIRECT(CONCATENATE("$E$"&amp;DC$392)),INDIRECT(CONCATENATE("$E$"&amp;DC$391)),
IF($K394=INDIRECT(CONCATENATE("$D$"&amp;DC$392)),INDIRECT(CONCATENATE("$D$"&amp;DC$391)),
IF($K394=INDIRECT(CONCATENATE("$C$"&amp;DC$392)),INDIRECT(CONCATENATE("$C$"&amp;DC$391)),"X")))))))))))))))))))))))))))))))</f>
        <v>X</v>
      </c>
      <c r="JP394" s="58" t="str">
        <f t="shared" ref="JP394:JP428" ca="1" si="1690">IF($K394=INDIRECT(CONCATENATE("$AG$"&amp;DD$392)),INDIRECT(CONCATENATE("$AG$"&amp;DD$391)),
IF($K394=INDIRECT(CONCATENATE("$AF$"&amp;DD$392)),INDIRECT(CONCATENATE("$AF$"&amp;DD$391)),
IF($K394=INDIRECT(CONCATENATE("$AE$"&amp;DD$392)),INDIRECT(CONCATENATE("$AE$"&amp;DD$391)),
IF($K394=INDIRECT(CONCATENATE("$AD$"&amp;DD$392)),INDIRECT(CONCATENATE("$AD$"&amp;DD$391)),
IF($K394=INDIRECT(CONCATENATE("$AC$"&amp;DD$392)),INDIRECT(CONCATENATE("$AC$"&amp;DD$391)),
IF($K394=INDIRECT(CONCATENATE("$AB$"&amp;DD$392)),INDIRECT(CONCATENATE("$AB$"&amp;DD$391)),
IF($K394=INDIRECT(CONCATENATE("$AA$"&amp;DD$392)),INDIRECT(CONCATENATE("$AA$"&amp;DD$391)),
IF($K394=INDIRECT(CONCATENATE("$Z$"&amp;DD$392)),INDIRECT(CONCATENATE("$Z$"&amp;DD$391)),
IF($K394=INDIRECT(CONCATENATE("$Y$"&amp;DD$392)),INDIRECT(CONCATENATE("$Y$"&amp;DD$391)),
IF($K394=INDIRECT(CONCATENATE("$X$"&amp;DD$392)),INDIRECT(CONCATENATE("$X$"&amp;DD$391)),
IF($K394=INDIRECT(CONCATENATE("$W$"&amp;DD$392)),INDIRECT(CONCATENATE("$W$"&amp;DD$391)),
IF($K394=INDIRECT(CONCATENATE("$V$"&amp;DD$392)),INDIRECT(CONCATENATE("$V$"&amp;DD$391)),
IF($K394=INDIRECT(CONCATENATE("$U$"&amp;DD$392)),INDIRECT(CONCATENATE("$U$"&amp;DD$391)),
IF($K394=INDIRECT(CONCATENATE("$T$"&amp;DD$392)),INDIRECT(CONCATENATE("$T$"&amp;DD$391)),
IF($K394=INDIRECT(CONCATENATE("$S$"&amp;DD$392)),INDIRECT(CONCATENATE("$S$"&amp;DD$391)),
IF($K394=INDIRECT(CONCATENATE("$R$"&amp;DD$392)),INDIRECT(CONCATENATE("$R$"&amp;DD$391)),
IF($K394=INDIRECT(CONCATENATE("$Q$"&amp;DD$392)),INDIRECT(CONCATENATE("$Q$"&amp;DD$391)),
IF($K394=INDIRECT(CONCATENATE("$P$"&amp;DD$392)),INDIRECT(CONCATENATE("$P$"&amp;DD$391)),
IF($K394=INDIRECT(CONCATENATE("$O$"&amp;DD$392)),INDIRECT(CONCATENATE("$O$"&amp;DD$391)),
IF($K394=INDIRECT(CONCATENATE("$N$"&amp;DD$392)),INDIRECT(CONCATENATE("$N$"&amp;DD$391)),
IF($K394=INDIRECT(CONCATENATE("$M$"&amp;DD$392)),INDIRECT(CONCATENATE("$M$"&amp;DD$391)),
IF($K394=INDIRECT(CONCATENATE("$L$"&amp;DD$392)),INDIRECT(CONCATENATE("$L$"&amp;DD$391)),
IF($K394=INDIRECT(CONCATENATE("$K$"&amp;DD$392)),INDIRECT(CONCATENATE("$K$"&amp;DD$391)),
IF($K394=INDIRECT(CONCATENATE("$J$"&amp;DD$392)),INDIRECT(CONCATENATE("$J$"&amp;DD$391)),
IF($K394=INDIRECT(CONCATENATE("$I$"&amp;DD$392)),INDIRECT(CONCATENATE("$I$"&amp;DD$391)),
IF($K394=INDIRECT(CONCATENATE("$H$"&amp;DD$392)),INDIRECT(CONCATENATE("$H$"&amp;DD$391)),
IF($K394=INDIRECT(CONCATENATE("$G$"&amp;DD$392)),INDIRECT(CONCATENATE("$G$"&amp;DD$391)),
IF($K394=INDIRECT(CONCATENATE("$F$"&amp;DD$392)),INDIRECT(CONCATENATE("$F$"&amp;DD$391)),
IF($K394=INDIRECT(CONCATENATE("$E$"&amp;DD$392)),INDIRECT(CONCATENATE("$E$"&amp;DD$391)),
IF($K394=INDIRECT(CONCATENATE("$D$"&amp;DD$392)),INDIRECT(CONCATENATE("$D$"&amp;DD$391)),
IF($K394=INDIRECT(CONCATENATE("$C$"&amp;DD$392)),INDIRECT(CONCATENATE("$C$"&amp;DD$391)),"X")))))))))))))))))))))))))))))))</f>
        <v>X</v>
      </c>
      <c r="JQ394" s="58" t="str">
        <f t="shared" ref="JQ394:JQ428" ca="1" si="1691">IF($K394=INDIRECT(CONCATENATE("$AG$"&amp;DE$392)),INDIRECT(CONCATENATE("$AG$"&amp;DE$391)),
IF($K394=INDIRECT(CONCATENATE("$AF$"&amp;DE$392)),INDIRECT(CONCATENATE("$AF$"&amp;DE$391)),
IF($K394=INDIRECT(CONCATENATE("$AE$"&amp;DE$392)),INDIRECT(CONCATENATE("$AE$"&amp;DE$391)),
IF($K394=INDIRECT(CONCATENATE("$AD$"&amp;DE$392)),INDIRECT(CONCATENATE("$AD$"&amp;DE$391)),
IF($K394=INDIRECT(CONCATENATE("$AC$"&amp;DE$392)),INDIRECT(CONCATENATE("$AC$"&amp;DE$391)),
IF($K394=INDIRECT(CONCATENATE("$AB$"&amp;DE$392)),INDIRECT(CONCATENATE("$AB$"&amp;DE$391)),
IF($K394=INDIRECT(CONCATENATE("$AA$"&amp;DE$392)),INDIRECT(CONCATENATE("$AA$"&amp;DE$391)),
IF($K394=INDIRECT(CONCATENATE("$Z$"&amp;DE$392)),INDIRECT(CONCATENATE("$Z$"&amp;DE$391)),
IF($K394=INDIRECT(CONCATENATE("$Y$"&amp;DE$392)),INDIRECT(CONCATENATE("$Y$"&amp;DE$391)),
IF($K394=INDIRECT(CONCATENATE("$X$"&amp;DE$392)),INDIRECT(CONCATENATE("$X$"&amp;DE$391)),
IF($K394=INDIRECT(CONCATENATE("$W$"&amp;DE$392)),INDIRECT(CONCATENATE("$W$"&amp;DE$391)),
IF($K394=INDIRECT(CONCATENATE("$V$"&amp;DE$392)),INDIRECT(CONCATENATE("$V$"&amp;DE$391)),
IF($K394=INDIRECT(CONCATENATE("$U$"&amp;DE$392)),INDIRECT(CONCATENATE("$U$"&amp;DE$391)),
IF($K394=INDIRECT(CONCATENATE("$T$"&amp;DE$392)),INDIRECT(CONCATENATE("$T$"&amp;DE$391)),
IF($K394=INDIRECT(CONCATENATE("$S$"&amp;DE$392)),INDIRECT(CONCATENATE("$S$"&amp;DE$391)),
IF($K394=INDIRECT(CONCATENATE("$R$"&amp;DE$392)),INDIRECT(CONCATENATE("$R$"&amp;DE$391)),
IF($K394=INDIRECT(CONCATENATE("$Q$"&amp;DE$392)),INDIRECT(CONCATENATE("$Q$"&amp;DE$391)),
IF($K394=INDIRECT(CONCATENATE("$P$"&amp;DE$392)),INDIRECT(CONCATENATE("$P$"&amp;DE$391)),
IF($K394=INDIRECT(CONCATENATE("$O$"&amp;DE$392)),INDIRECT(CONCATENATE("$O$"&amp;DE$391)),
IF($K394=INDIRECT(CONCATENATE("$N$"&amp;DE$392)),INDIRECT(CONCATENATE("$N$"&amp;DE$391)),
IF($K394=INDIRECT(CONCATENATE("$M$"&amp;DE$392)),INDIRECT(CONCATENATE("$M$"&amp;DE$391)),
IF($K394=INDIRECT(CONCATENATE("$L$"&amp;DE$392)),INDIRECT(CONCATENATE("$L$"&amp;DE$391)),
IF($K394=INDIRECT(CONCATENATE("$K$"&amp;DE$392)),INDIRECT(CONCATENATE("$K$"&amp;DE$391)),
IF($K394=INDIRECT(CONCATENATE("$J$"&amp;DE$392)),INDIRECT(CONCATENATE("$J$"&amp;DE$391)),
IF($K394=INDIRECT(CONCATENATE("$I$"&amp;DE$392)),INDIRECT(CONCATENATE("$I$"&amp;DE$391)),
IF($K394=INDIRECT(CONCATENATE("$H$"&amp;DE$392)),INDIRECT(CONCATENATE("$H$"&amp;DE$391)),
IF($K394=INDIRECT(CONCATENATE("$G$"&amp;DE$392)),INDIRECT(CONCATENATE("$G$"&amp;DE$391)),
IF($K394=INDIRECT(CONCATENATE("$F$"&amp;DE$392)),INDIRECT(CONCATENATE("$F$"&amp;DE$391)),
IF($K394=INDIRECT(CONCATENATE("$E$"&amp;DE$392)),INDIRECT(CONCATENATE("$E$"&amp;DE$391)),
IF($K394=INDIRECT(CONCATENATE("$D$"&amp;DE$392)),INDIRECT(CONCATENATE("$D$"&amp;DE$391)),
IF($K394=INDIRECT(CONCATENATE("$C$"&amp;DE$392)),INDIRECT(CONCATENATE("$C$"&amp;DE$391)),"X")))))))))))))))))))))))))))))))</f>
        <v>X</v>
      </c>
      <c r="JR394" s="58" t="str">
        <f t="shared" ref="JR394:JR428" ca="1" si="1692">IF($K394=INDIRECT(CONCATENATE("$AG$"&amp;DF$392)),INDIRECT(CONCATENATE("$AG$"&amp;DF$391)),
IF($K394=INDIRECT(CONCATENATE("$AF$"&amp;DF$392)),INDIRECT(CONCATENATE("$AF$"&amp;DF$391)),
IF($K394=INDIRECT(CONCATENATE("$AE$"&amp;DF$392)),INDIRECT(CONCATENATE("$AE$"&amp;DF$391)),
IF($K394=INDIRECT(CONCATENATE("$AD$"&amp;DF$392)),INDIRECT(CONCATENATE("$AD$"&amp;DF$391)),
IF($K394=INDIRECT(CONCATENATE("$AC$"&amp;DF$392)),INDIRECT(CONCATENATE("$AC$"&amp;DF$391)),
IF($K394=INDIRECT(CONCATENATE("$AB$"&amp;DF$392)),INDIRECT(CONCATENATE("$AB$"&amp;DF$391)),
IF($K394=INDIRECT(CONCATENATE("$AA$"&amp;DF$392)),INDIRECT(CONCATENATE("$AA$"&amp;DF$391)),
IF($K394=INDIRECT(CONCATENATE("$Z$"&amp;DF$392)),INDIRECT(CONCATENATE("$Z$"&amp;DF$391)),
IF($K394=INDIRECT(CONCATENATE("$Y$"&amp;DF$392)),INDIRECT(CONCATENATE("$Y$"&amp;DF$391)),
IF($K394=INDIRECT(CONCATENATE("$X$"&amp;DF$392)),INDIRECT(CONCATENATE("$X$"&amp;DF$391)),
IF($K394=INDIRECT(CONCATENATE("$W$"&amp;DF$392)),INDIRECT(CONCATENATE("$W$"&amp;DF$391)),
IF($K394=INDIRECT(CONCATENATE("$V$"&amp;DF$392)),INDIRECT(CONCATENATE("$V$"&amp;DF$391)),
IF($K394=INDIRECT(CONCATENATE("$U$"&amp;DF$392)),INDIRECT(CONCATENATE("$U$"&amp;DF$391)),
IF($K394=INDIRECT(CONCATENATE("$T$"&amp;DF$392)),INDIRECT(CONCATENATE("$T$"&amp;DF$391)),
IF($K394=INDIRECT(CONCATENATE("$S$"&amp;DF$392)),INDIRECT(CONCATENATE("$S$"&amp;DF$391)),
IF($K394=INDIRECT(CONCATENATE("$R$"&amp;DF$392)),INDIRECT(CONCATENATE("$R$"&amp;DF$391)),
IF($K394=INDIRECT(CONCATENATE("$Q$"&amp;DF$392)),INDIRECT(CONCATENATE("$Q$"&amp;DF$391)),
IF($K394=INDIRECT(CONCATENATE("$P$"&amp;DF$392)),INDIRECT(CONCATENATE("$P$"&amp;DF$391)),
IF($K394=INDIRECT(CONCATENATE("$O$"&amp;DF$392)),INDIRECT(CONCATENATE("$O$"&amp;DF$391)),
IF($K394=INDIRECT(CONCATENATE("$N$"&amp;DF$392)),INDIRECT(CONCATENATE("$N$"&amp;DF$391)),
IF($K394=INDIRECT(CONCATENATE("$M$"&amp;DF$392)),INDIRECT(CONCATENATE("$M$"&amp;DF$391)),
IF($K394=INDIRECT(CONCATENATE("$L$"&amp;DF$392)),INDIRECT(CONCATENATE("$L$"&amp;DF$391)),
IF($K394=INDIRECT(CONCATENATE("$K$"&amp;DF$392)),INDIRECT(CONCATENATE("$K$"&amp;DF$391)),
IF($K394=INDIRECT(CONCATENATE("$J$"&amp;DF$392)),INDIRECT(CONCATENATE("$J$"&amp;DF$391)),
IF($K394=INDIRECT(CONCATENATE("$I$"&amp;DF$392)),INDIRECT(CONCATENATE("$I$"&amp;DF$391)),
IF($K394=INDIRECT(CONCATENATE("$H$"&amp;DF$392)),INDIRECT(CONCATENATE("$H$"&amp;DF$391)),
IF($K394=INDIRECT(CONCATENATE("$G$"&amp;DF$392)),INDIRECT(CONCATENATE("$G$"&amp;DF$391)),
IF($K394=INDIRECT(CONCATENATE("$F$"&amp;DF$392)),INDIRECT(CONCATENATE("$F$"&amp;DF$391)),
IF($K394=INDIRECT(CONCATENATE("$E$"&amp;DF$392)),INDIRECT(CONCATENATE("$E$"&amp;DF$391)),
IF($K394=INDIRECT(CONCATENATE("$D$"&amp;DF$392)),INDIRECT(CONCATENATE("$D$"&amp;DF$391)),
IF($K394=INDIRECT(CONCATENATE("$C$"&amp;DF$392)),INDIRECT(CONCATENATE("$C$"&amp;DF$391)),"X")))))))))))))))))))))))))))))))</f>
        <v>X</v>
      </c>
      <c r="JS394" s="58" t="str">
        <f t="shared" ref="JS394:JS428" ca="1" si="1693">IF($K394=INDIRECT(CONCATENATE("$AG$"&amp;DG$392)),INDIRECT(CONCATENATE("$AG$"&amp;DG$391)),
IF($K394=INDIRECT(CONCATENATE("$AF$"&amp;DG$392)),INDIRECT(CONCATENATE("$AF$"&amp;DG$391)),
IF($K394=INDIRECT(CONCATENATE("$AE$"&amp;DG$392)),INDIRECT(CONCATENATE("$AE$"&amp;DG$391)),
IF($K394=INDIRECT(CONCATENATE("$AD$"&amp;DG$392)),INDIRECT(CONCATENATE("$AD$"&amp;DG$391)),
IF($K394=INDIRECT(CONCATENATE("$AC$"&amp;DG$392)),INDIRECT(CONCATENATE("$AC$"&amp;DG$391)),
IF($K394=INDIRECT(CONCATENATE("$AB$"&amp;DG$392)),INDIRECT(CONCATENATE("$AB$"&amp;DG$391)),
IF($K394=INDIRECT(CONCATENATE("$AA$"&amp;DG$392)),INDIRECT(CONCATENATE("$AA$"&amp;DG$391)),
IF($K394=INDIRECT(CONCATENATE("$Z$"&amp;DG$392)),INDIRECT(CONCATENATE("$Z$"&amp;DG$391)),
IF($K394=INDIRECT(CONCATENATE("$Y$"&amp;DG$392)),INDIRECT(CONCATENATE("$Y$"&amp;DG$391)),
IF($K394=INDIRECT(CONCATENATE("$X$"&amp;DG$392)),INDIRECT(CONCATENATE("$X$"&amp;DG$391)),
IF($K394=INDIRECT(CONCATENATE("$W$"&amp;DG$392)),INDIRECT(CONCATENATE("$W$"&amp;DG$391)),
IF($K394=INDIRECT(CONCATENATE("$V$"&amp;DG$392)),INDIRECT(CONCATENATE("$V$"&amp;DG$391)),
IF($K394=INDIRECT(CONCATENATE("$U$"&amp;DG$392)),INDIRECT(CONCATENATE("$U$"&amp;DG$391)),
IF($K394=INDIRECT(CONCATENATE("$T$"&amp;DG$392)),INDIRECT(CONCATENATE("$T$"&amp;DG$391)),
IF($K394=INDIRECT(CONCATENATE("$S$"&amp;DG$392)),INDIRECT(CONCATENATE("$S$"&amp;DG$391)),
IF($K394=INDIRECT(CONCATENATE("$R$"&amp;DG$392)),INDIRECT(CONCATENATE("$R$"&amp;DG$391)),
IF($K394=INDIRECT(CONCATENATE("$Q$"&amp;DG$392)),INDIRECT(CONCATENATE("$Q$"&amp;DG$391)),
IF($K394=INDIRECT(CONCATENATE("$P$"&amp;DG$392)),INDIRECT(CONCATENATE("$P$"&amp;DG$391)),
IF($K394=INDIRECT(CONCATENATE("$O$"&amp;DG$392)),INDIRECT(CONCATENATE("$O$"&amp;DG$391)),
IF($K394=INDIRECT(CONCATENATE("$N$"&amp;DG$392)),INDIRECT(CONCATENATE("$N$"&amp;DG$391)),
IF($K394=INDIRECT(CONCATENATE("$M$"&amp;DG$392)),INDIRECT(CONCATENATE("$M$"&amp;DG$391)),
IF($K394=INDIRECT(CONCATENATE("$L$"&amp;DG$392)),INDIRECT(CONCATENATE("$L$"&amp;DG$391)),
IF($K394=INDIRECT(CONCATENATE("$K$"&amp;DG$392)),INDIRECT(CONCATENATE("$K$"&amp;DG$391)),
IF($K394=INDIRECT(CONCATENATE("$J$"&amp;DG$392)),INDIRECT(CONCATENATE("$J$"&amp;DG$391)),
IF($K394=INDIRECT(CONCATENATE("$I$"&amp;DG$392)),INDIRECT(CONCATENATE("$I$"&amp;DG$391)),
IF($K394=INDIRECT(CONCATENATE("$H$"&amp;DG$392)),INDIRECT(CONCATENATE("$H$"&amp;DG$391)),
IF($K394=INDIRECT(CONCATENATE("$G$"&amp;DG$392)),INDIRECT(CONCATENATE("$G$"&amp;DG$391)),
IF($K394=INDIRECT(CONCATENATE("$F$"&amp;DG$392)),INDIRECT(CONCATENATE("$F$"&amp;DG$391)),
IF($K394=INDIRECT(CONCATENATE("$E$"&amp;DG$392)),INDIRECT(CONCATENATE("$E$"&amp;DG$391)),
IF($K394=INDIRECT(CONCATENATE("$D$"&amp;DG$392)),INDIRECT(CONCATENATE("$D$"&amp;DG$391)),
IF($K394=INDIRECT(CONCATENATE("$C$"&amp;DG$392)),INDIRECT(CONCATENATE("$C$"&amp;DG$391)),"X")))))))))))))))))))))))))))))))</f>
        <v>X</v>
      </c>
      <c r="JT394" s="58" t="str">
        <f t="shared" ref="JT394:JT428" ca="1" si="1694">IF($K394=INDIRECT(CONCATENATE("$AG$"&amp;DH$392)),INDIRECT(CONCATENATE("$AG$"&amp;DH$391)),
IF($K394=INDIRECT(CONCATENATE("$AF$"&amp;DH$392)),INDIRECT(CONCATENATE("$AF$"&amp;DH$391)),
IF($K394=INDIRECT(CONCATENATE("$AE$"&amp;DH$392)),INDIRECT(CONCATENATE("$AE$"&amp;DH$391)),
IF($K394=INDIRECT(CONCATENATE("$AD$"&amp;DH$392)),INDIRECT(CONCATENATE("$AD$"&amp;DH$391)),
IF($K394=INDIRECT(CONCATENATE("$AC$"&amp;DH$392)),INDIRECT(CONCATENATE("$AC$"&amp;DH$391)),
IF($K394=INDIRECT(CONCATENATE("$AB$"&amp;DH$392)),INDIRECT(CONCATENATE("$AB$"&amp;DH$391)),
IF($K394=INDIRECT(CONCATENATE("$AA$"&amp;DH$392)),INDIRECT(CONCATENATE("$AA$"&amp;DH$391)),
IF($K394=INDIRECT(CONCATENATE("$Z$"&amp;DH$392)),INDIRECT(CONCATENATE("$Z$"&amp;DH$391)),
IF($K394=INDIRECT(CONCATENATE("$Y$"&amp;DH$392)),INDIRECT(CONCATENATE("$Y$"&amp;DH$391)),
IF($K394=INDIRECT(CONCATENATE("$X$"&amp;DH$392)),INDIRECT(CONCATENATE("$X$"&amp;DH$391)),
IF($K394=INDIRECT(CONCATENATE("$W$"&amp;DH$392)),INDIRECT(CONCATENATE("$W$"&amp;DH$391)),
IF($K394=INDIRECT(CONCATENATE("$V$"&amp;DH$392)),INDIRECT(CONCATENATE("$V$"&amp;DH$391)),
IF($K394=INDIRECT(CONCATENATE("$U$"&amp;DH$392)),INDIRECT(CONCATENATE("$U$"&amp;DH$391)),
IF($K394=INDIRECT(CONCATENATE("$T$"&amp;DH$392)),INDIRECT(CONCATENATE("$T$"&amp;DH$391)),
IF($K394=INDIRECT(CONCATENATE("$S$"&amp;DH$392)),INDIRECT(CONCATENATE("$S$"&amp;DH$391)),
IF($K394=INDIRECT(CONCATENATE("$R$"&amp;DH$392)),INDIRECT(CONCATENATE("$R$"&amp;DH$391)),
IF($K394=INDIRECT(CONCATENATE("$Q$"&amp;DH$392)),INDIRECT(CONCATENATE("$Q$"&amp;DH$391)),
IF($K394=INDIRECT(CONCATENATE("$P$"&amp;DH$392)),INDIRECT(CONCATENATE("$P$"&amp;DH$391)),
IF($K394=INDIRECT(CONCATENATE("$O$"&amp;DH$392)),INDIRECT(CONCATENATE("$O$"&amp;DH$391)),
IF($K394=INDIRECT(CONCATENATE("$N$"&amp;DH$392)),INDIRECT(CONCATENATE("$N$"&amp;DH$391)),
IF($K394=INDIRECT(CONCATENATE("$M$"&amp;DH$392)),INDIRECT(CONCATENATE("$M$"&amp;DH$391)),
IF($K394=INDIRECT(CONCATENATE("$L$"&amp;DH$392)),INDIRECT(CONCATENATE("$L$"&amp;DH$391)),
IF($K394=INDIRECT(CONCATENATE("$K$"&amp;DH$392)),INDIRECT(CONCATENATE("$K$"&amp;DH$391)),
IF($K394=INDIRECT(CONCATENATE("$J$"&amp;DH$392)),INDIRECT(CONCATENATE("$J$"&amp;DH$391)),
IF($K394=INDIRECT(CONCATENATE("$I$"&amp;DH$392)),INDIRECT(CONCATENATE("$I$"&amp;DH$391)),
IF($K394=INDIRECT(CONCATENATE("$H$"&amp;DH$392)),INDIRECT(CONCATENATE("$H$"&amp;DH$391)),
IF($K394=INDIRECT(CONCATENATE("$G$"&amp;DH$392)),INDIRECT(CONCATENATE("$G$"&amp;DH$391)),
IF($K394=INDIRECT(CONCATENATE("$F$"&amp;DH$392)),INDIRECT(CONCATENATE("$F$"&amp;DH$391)),
IF($K394=INDIRECT(CONCATENATE("$E$"&amp;DH$392)),INDIRECT(CONCATENATE("$E$"&amp;DH$391)),
IF($K394=INDIRECT(CONCATENATE("$D$"&amp;DH$392)),INDIRECT(CONCATENATE("$D$"&amp;DH$391)),
IF($K394=INDIRECT(CONCATENATE("$C$"&amp;DH$392)),INDIRECT(CONCATENATE("$C$"&amp;DH$391)),"X")))))))))))))))))))))))))))))))</f>
        <v>X</v>
      </c>
      <c r="JU394" s="58" t="str">
        <f t="shared" ref="JU394:JU428" ca="1" si="1695">IF($K394=INDIRECT(CONCATENATE("$AG$"&amp;DI$392)),INDIRECT(CONCATENATE("$AG$"&amp;DI$391)),
IF($K394=INDIRECT(CONCATENATE("$AF$"&amp;DI$392)),INDIRECT(CONCATENATE("$AF$"&amp;DI$391)),
IF($K394=INDIRECT(CONCATENATE("$AE$"&amp;DI$392)),INDIRECT(CONCATENATE("$AE$"&amp;DI$391)),
IF($K394=INDIRECT(CONCATENATE("$AD$"&amp;DI$392)),INDIRECT(CONCATENATE("$AD$"&amp;DI$391)),
IF($K394=INDIRECT(CONCATENATE("$AC$"&amp;DI$392)),INDIRECT(CONCATENATE("$AC$"&amp;DI$391)),
IF($K394=INDIRECT(CONCATENATE("$AB$"&amp;DI$392)),INDIRECT(CONCATENATE("$AB$"&amp;DI$391)),
IF($K394=INDIRECT(CONCATENATE("$AA$"&amp;DI$392)),INDIRECT(CONCATENATE("$AA$"&amp;DI$391)),
IF($K394=INDIRECT(CONCATENATE("$Z$"&amp;DI$392)),INDIRECT(CONCATENATE("$Z$"&amp;DI$391)),
IF($K394=INDIRECT(CONCATENATE("$Y$"&amp;DI$392)),INDIRECT(CONCATENATE("$Y$"&amp;DI$391)),
IF($K394=INDIRECT(CONCATENATE("$X$"&amp;DI$392)),INDIRECT(CONCATENATE("$X$"&amp;DI$391)),
IF($K394=INDIRECT(CONCATENATE("$W$"&amp;DI$392)),INDIRECT(CONCATENATE("$W$"&amp;DI$391)),
IF($K394=INDIRECT(CONCATENATE("$V$"&amp;DI$392)),INDIRECT(CONCATENATE("$V$"&amp;DI$391)),
IF($K394=INDIRECT(CONCATENATE("$U$"&amp;DI$392)),INDIRECT(CONCATENATE("$U$"&amp;DI$391)),
IF($K394=INDIRECT(CONCATENATE("$T$"&amp;DI$392)),INDIRECT(CONCATENATE("$T$"&amp;DI$391)),
IF($K394=INDIRECT(CONCATENATE("$S$"&amp;DI$392)),INDIRECT(CONCATENATE("$S$"&amp;DI$391)),
IF($K394=INDIRECT(CONCATENATE("$R$"&amp;DI$392)),INDIRECT(CONCATENATE("$R$"&amp;DI$391)),
IF($K394=INDIRECT(CONCATENATE("$Q$"&amp;DI$392)),INDIRECT(CONCATENATE("$Q$"&amp;DI$391)),
IF($K394=INDIRECT(CONCATENATE("$P$"&amp;DI$392)),INDIRECT(CONCATENATE("$P$"&amp;DI$391)),
IF($K394=INDIRECT(CONCATENATE("$O$"&amp;DI$392)),INDIRECT(CONCATENATE("$O$"&amp;DI$391)),
IF($K394=INDIRECT(CONCATENATE("$N$"&amp;DI$392)),INDIRECT(CONCATENATE("$N$"&amp;DI$391)),
IF($K394=INDIRECT(CONCATENATE("$M$"&amp;DI$392)),INDIRECT(CONCATENATE("$M$"&amp;DI$391)),
IF($K394=INDIRECT(CONCATENATE("$L$"&amp;DI$392)),INDIRECT(CONCATENATE("$L$"&amp;DI$391)),
IF($K394=INDIRECT(CONCATENATE("$K$"&amp;DI$392)),INDIRECT(CONCATENATE("$K$"&amp;DI$391)),
IF($K394=INDIRECT(CONCATENATE("$J$"&amp;DI$392)),INDIRECT(CONCATENATE("$J$"&amp;DI$391)),
IF($K394=INDIRECT(CONCATENATE("$I$"&amp;DI$392)),INDIRECT(CONCATENATE("$I$"&amp;DI$391)),
IF($K394=INDIRECT(CONCATENATE("$H$"&amp;DI$392)),INDIRECT(CONCATENATE("$H$"&amp;DI$391)),
IF($K394=INDIRECT(CONCATENATE("$G$"&amp;DI$392)),INDIRECT(CONCATENATE("$G$"&amp;DI$391)),
IF($K394=INDIRECT(CONCATENATE("$F$"&amp;DI$392)),INDIRECT(CONCATENATE("$F$"&amp;DI$391)),
IF($K394=INDIRECT(CONCATENATE("$E$"&amp;DI$392)),INDIRECT(CONCATENATE("$E$"&amp;DI$391)),
IF($K394=INDIRECT(CONCATENATE("$D$"&amp;DI$392)),INDIRECT(CONCATENATE("$D$"&amp;DI$391)),
IF($K394=INDIRECT(CONCATENATE("$C$"&amp;DI$392)),INDIRECT(CONCATENATE("$C$"&amp;DI$391)),"X")))))))))))))))))))))))))))))))</f>
        <v>X</v>
      </c>
      <c r="JV394" s="58" t="str">
        <f t="shared" ref="JV394:JV428" ca="1" si="1696">IF($K394=INDIRECT(CONCATENATE("$AG$"&amp;DJ$392)),INDIRECT(CONCATENATE("$AG$"&amp;DJ$391)),
IF($K394=INDIRECT(CONCATENATE("$AF$"&amp;DJ$392)),INDIRECT(CONCATENATE("$AF$"&amp;DJ$391)),
IF($K394=INDIRECT(CONCATENATE("$AE$"&amp;DJ$392)),INDIRECT(CONCATENATE("$AE$"&amp;DJ$391)),
IF($K394=INDIRECT(CONCATENATE("$AD$"&amp;DJ$392)),INDIRECT(CONCATENATE("$AD$"&amp;DJ$391)),
IF($K394=INDIRECT(CONCATENATE("$AC$"&amp;DJ$392)),INDIRECT(CONCATENATE("$AC$"&amp;DJ$391)),
IF($K394=INDIRECT(CONCATENATE("$AB$"&amp;DJ$392)),INDIRECT(CONCATENATE("$AB$"&amp;DJ$391)),
IF($K394=INDIRECT(CONCATENATE("$AA$"&amp;DJ$392)),INDIRECT(CONCATENATE("$AA$"&amp;DJ$391)),
IF($K394=INDIRECT(CONCATENATE("$Z$"&amp;DJ$392)),INDIRECT(CONCATENATE("$Z$"&amp;DJ$391)),
IF($K394=INDIRECT(CONCATENATE("$Y$"&amp;DJ$392)),INDIRECT(CONCATENATE("$Y$"&amp;DJ$391)),
IF($K394=INDIRECT(CONCATENATE("$X$"&amp;DJ$392)),INDIRECT(CONCATENATE("$X$"&amp;DJ$391)),
IF($K394=INDIRECT(CONCATENATE("$W$"&amp;DJ$392)),INDIRECT(CONCATENATE("$W$"&amp;DJ$391)),
IF($K394=INDIRECT(CONCATENATE("$V$"&amp;DJ$392)),INDIRECT(CONCATENATE("$V$"&amp;DJ$391)),
IF($K394=INDIRECT(CONCATENATE("$U$"&amp;DJ$392)),INDIRECT(CONCATENATE("$U$"&amp;DJ$391)),
IF($K394=INDIRECT(CONCATENATE("$T$"&amp;DJ$392)),INDIRECT(CONCATENATE("$T$"&amp;DJ$391)),
IF($K394=INDIRECT(CONCATENATE("$S$"&amp;DJ$392)),INDIRECT(CONCATENATE("$S$"&amp;DJ$391)),
IF($K394=INDIRECT(CONCATENATE("$R$"&amp;DJ$392)),INDIRECT(CONCATENATE("$R$"&amp;DJ$391)),
IF($K394=INDIRECT(CONCATENATE("$Q$"&amp;DJ$392)),INDIRECT(CONCATENATE("$Q$"&amp;DJ$391)),
IF($K394=INDIRECT(CONCATENATE("$P$"&amp;DJ$392)),INDIRECT(CONCATENATE("$P$"&amp;DJ$391)),
IF($K394=INDIRECT(CONCATENATE("$O$"&amp;DJ$392)),INDIRECT(CONCATENATE("$O$"&amp;DJ$391)),
IF($K394=INDIRECT(CONCATENATE("$N$"&amp;DJ$392)),INDIRECT(CONCATENATE("$N$"&amp;DJ$391)),
IF($K394=INDIRECT(CONCATENATE("$M$"&amp;DJ$392)),INDIRECT(CONCATENATE("$M$"&amp;DJ$391)),
IF($K394=INDIRECT(CONCATENATE("$L$"&amp;DJ$392)),INDIRECT(CONCATENATE("$L$"&amp;DJ$391)),
IF($K394=INDIRECT(CONCATENATE("$K$"&amp;DJ$392)),INDIRECT(CONCATENATE("$K$"&amp;DJ$391)),
IF($K394=INDIRECT(CONCATENATE("$J$"&amp;DJ$392)),INDIRECT(CONCATENATE("$J$"&amp;DJ$391)),
IF($K394=INDIRECT(CONCATENATE("$I$"&amp;DJ$392)),INDIRECT(CONCATENATE("$I$"&amp;DJ$391)),
IF($K394=INDIRECT(CONCATENATE("$H$"&amp;DJ$392)),INDIRECT(CONCATENATE("$H$"&amp;DJ$391)),
IF($K394=INDIRECT(CONCATENATE("$G$"&amp;DJ$392)),INDIRECT(CONCATENATE("$G$"&amp;DJ$391)),
IF($K394=INDIRECT(CONCATENATE("$F$"&amp;DJ$392)),INDIRECT(CONCATENATE("$F$"&amp;DJ$391)),
IF($K394=INDIRECT(CONCATENATE("$E$"&amp;DJ$392)),INDIRECT(CONCATENATE("$E$"&amp;DJ$391)),
IF($K394=INDIRECT(CONCATENATE("$D$"&amp;DJ$392)),INDIRECT(CONCATENATE("$D$"&amp;DJ$391)),
IF($K394=INDIRECT(CONCATENATE("$C$"&amp;DJ$392)),INDIRECT(CONCATENATE("$C$"&amp;DJ$391)),"X")))))))))))))))))))))))))))))))</f>
        <v>X</v>
      </c>
      <c r="JW394" s="58" t="str">
        <f t="shared" ref="JW394:JW428" ca="1" si="1697">IF($K394=INDIRECT(CONCATENATE("$AG$"&amp;DK$392)),INDIRECT(CONCATENATE("$AG$"&amp;DK$391)),
IF($K394=INDIRECT(CONCATENATE("$AF$"&amp;DK$392)),INDIRECT(CONCATENATE("$AF$"&amp;DK$391)),
IF($K394=INDIRECT(CONCATENATE("$AE$"&amp;DK$392)),INDIRECT(CONCATENATE("$AE$"&amp;DK$391)),
IF($K394=INDIRECT(CONCATENATE("$AD$"&amp;DK$392)),INDIRECT(CONCATENATE("$AD$"&amp;DK$391)),
IF($K394=INDIRECT(CONCATENATE("$AC$"&amp;DK$392)),INDIRECT(CONCATENATE("$AC$"&amp;DK$391)),
IF($K394=INDIRECT(CONCATENATE("$AB$"&amp;DK$392)),INDIRECT(CONCATENATE("$AB$"&amp;DK$391)),
IF($K394=INDIRECT(CONCATENATE("$AA$"&amp;DK$392)),INDIRECT(CONCATENATE("$AA$"&amp;DK$391)),
IF($K394=INDIRECT(CONCATENATE("$Z$"&amp;DK$392)),INDIRECT(CONCATENATE("$Z$"&amp;DK$391)),
IF($K394=INDIRECT(CONCATENATE("$Y$"&amp;DK$392)),INDIRECT(CONCATENATE("$Y$"&amp;DK$391)),
IF($K394=INDIRECT(CONCATENATE("$X$"&amp;DK$392)),INDIRECT(CONCATENATE("$X$"&amp;DK$391)),
IF($K394=INDIRECT(CONCATENATE("$W$"&amp;DK$392)),INDIRECT(CONCATENATE("$W$"&amp;DK$391)),
IF($K394=INDIRECT(CONCATENATE("$V$"&amp;DK$392)),INDIRECT(CONCATENATE("$V$"&amp;DK$391)),
IF($K394=INDIRECT(CONCATENATE("$U$"&amp;DK$392)),INDIRECT(CONCATENATE("$U$"&amp;DK$391)),
IF($K394=INDIRECT(CONCATENATE("$T$"&amp;DK$392)),INDIRECT(CONCATENATE("$T$"&amp;DK$391)),
IF($K394=INDIRECT(CONCATENATE("$S$"&amp;DK$392)),INDIRECT(CONCATENATE("$S$"&amp;DK$391)),
IF($K394=INDIRECT(CONCATENATE("$R$"&amp;DK$392)),INDIRECT(CONCATENATE("$R$"&amp;DK$391)),
IF($K394=INDIRECT(CONCATENATE("$Q$"&amp;DK$392)),INDIRECT(CONCATENATE("$Q$"&amp;DK$391)),
IF($K394=INDIRECT(CONCATENATE("$P$"&amp;DK$392)),INDIRECT(CONCATENATE("$P$"&amp;DK$391)),
IF($K394=INDIRECT(CONCATENATE("$O$"&amp;DK$392)),INDIRECT(CONCATENATE("$O$"&amp;DK$391)),
IF($K394=INDIRECT(CONCATENATE("$N$"&amp;DK$392)),INDIRECT(CONCATENATE("$N$"&amp;DK$391)),
IF($K394=INDIRECT(CONCATENATE("$M$"&amp;DK$392)),INDIRECT(CONCATENATE("$M$"&amp;DK$391)),
IF($K394=INDIRECT(CONCATENATE("$L$"&amp;DK$392)),INDIRECT(CONCATENATE("$L$"&amp;DK$391)),
IF($K394=INDIRECT(CONCATENATE("$K$"&amp;DK$392)),INDIRECT(CONCATENATE("$K$"&amp;DK$391)),
IF($K394=INDIRECT(CONCATENATE("$J$"&amp;DK$392)),INDIRECT(CONCATENATE("$J$"&amp;DK$391)),
IF($K394=INDIRECT(CONCATENATE("$I$"&amp;DK$392)),INDIRECT(CONCATENATE("$I$"&amp;DK$391)),
IF($K394=INDIRECT(CONCATENATE("$H$"&amp;DK$392)),INDIRECT(CONCATENATE("$H$"&amp;DK$391)),
IF($K394=INDIRECT(CONCATENATE("$G$"&amp;DK$392)),INDIRECT(CONCATENATE("$G$"&amp;DK$391)),
IF($K394=INDIRECT(CONCATENATE("$F$"&amp;DK$392)),INDIRECT(CONCATENATE("$F$"&amp;DK$391)),
IF($K394=INDIRECT(CONCATENATE("$E$"&amp;DK$392)),INDIRECT(CONCATENATE("$E$"&amp;DK$391)),
IF($K394=INDIRECT(CONCATENATE("$D$"&amp;DK$392)),INDIRECT(CONCATENATE("$D$"&amp;DK$391)),
IF($K394=INDIRECT(CONCATENATE("$C$"&amp;DK$392)),INDIRECT(CONCATENATE("$C$"&amp;DK$391)),"X")))))))))))))))))))))))))))))))</f>
        <v>X</v>
      </c>
      <c r="JX394" s="58" t="str">
        <f t="shared" ref="JX394:KM428" ca="1" si="1698">IF($K394=INDIRECT(CONCATENATE("$AG$"&amp;DL$392)),INDIRECT(CONCATENATE("$AG$"&amp;DL$391)),
IF($K394=INDIRECT(CONCATENATE("$AF$"&amp;DL$392)),INDIRECT(CONCATENATE("$AF$"&amp;DL$391)),
IF($K394=INDIRECT(CONCATENATE("$AE$"&amp;DL$392)),INDIRECT(CONCATENATE("$AE$"&amp;DL$391)),
IF($K394=INDIRECT(CONCATENATE("$AD$"&amp;DL$392)),INDIRECT(CONCATENATE("$AD$"&amp;DL$391)),
IF($K394=INDIRECT(CONCATENATE("$AC$"&amp;DL$392)),INDIRECT(CONCATENATE("$AC$"&amp;DL$391)),
IF($K394=INDIRECT(CONCATENATE("$AB$"&amp;DL$392)),INDIRECT(CONCATENATE("$AB$"&amp;DL$391)),
IF($K394=INDIRECT(CONCATENATE("$AA$"&amp;DL$392)),INDIRECT(CONCATENATE("$AA$"&amp;DL$391)),
IF($K394=INDIRECT(CONCATENATE("$Z$"&amp;DL$392)),INDIRECT(CONCATENATE("$Z$"&amp;DL$391)),
IF($K394=INDIRECT(CONCATENATE("$Y$"&amp;DL$392)),INDIRECT(CONCATENATE("$Y$"&amp;DL$391)),
IF($K394=INDIRECT(CONCATENATE("$X$"&amp;DL$392)),INDIRECT(CONCATENATE("$X$"&amp;DL$391)),
IF($K394=INDIRECT(CONCATENATE("$W$"&amp;DL$392)),INDIRECT(CONCATENATE("$W$"&amp;DL$391)),
IF($K394=INDIRECT(CONCATENATE("$V$"&amp;DL$392)),INDIRECT(CONCATENATE("$V$"&amp;DL$391)),
IF($K394=INDIRECT(CONCATENATE("$U$"&amp;DL$392)),INDIRECT(CONCATENATE("$U$"&amp;DL$391)),
IF($K394=INDIRECT(CONCATENATE("$T$"&amp;DL$392)),INDIRECT(CONCATENATE("$T$"&amp;DL$391)),
IF($K394=INDIRECT(CONCATENATE("$S$"&amp;DL$392)),INDIRECT(CONCATENATE("$S$"&amp;DL$391)),
IF($K394=INDIRECT(CONCATENATE("$R$"&amp;DL$392)),INDIRECT(CONCATENATE("$R$"&amp;DL$391)),
IF($K394=INDIRECT(CONCATENATE("$Q$"&amp;DL$392)),INDIRECT(CONCATENATE("$Q$"&amp;DL$391)),
IF($K394=INDIRECT(CONCATENATE("$P$"&amp;DL$392)),INDIRECT(CONCATENATE("$P$"&amp;DL$391)),
IF($K394=INDIRECT(CONCATENATE("$O$"&amp;DL$392)),INDIRECT(CONCATENATE("$O$"&amp;DL$391)),
IF($K394=INDIRECT(CONCATENATE("$N$"&amp;DL$392)),INDIRECT(CONCATENATE("$N$"&amp;DL$391)),
IF($K394=INDIRECT(CONCATENATE("$M$"&amp;DL$392)),INDIRECT(CONCATENATE("$M$"&amp;DL$391)),
IF($K394=INDIRECT(CONCATENATE("$L$"&amp;DL$392)),INDIRECT(CONCATENATE("$L$"&amp;DL$391)),
IF($K394=INDIRECT(CONCATENATE("$K$"&amp;DL$392)),INDIRECT(CONCATENATE("$K$"&amp;DL$391)),
IF($K394=INDIRECT(CONCATENATE("$J$"&amp;DL$392)),INDIRECT(CONCATENATE("$J$"&amp;DL$391)),
IF($K394=INDIRECT(CONCATENATE("$I$"&amp;DL$392)),INDIRECT(CONCATENATE("$I$"&amp;DL$391)),
IF($K394=INDIRECT(CONCATENATE("$H$"&amp;DL$392)),INDIRECT(CONCATENATE("$H$"&amp;DL$391)),
IF($K394=INDIRECT(CONCATENATE("$G$"&amp;DL$392)),INDIRECT(CONCATENATE("$G$"&amp;DL$391)),
IF($K394=INDIRECT(CONCATENATE("$F$"&amp;DL$392)),INDIRECT(CONCATENATE("$F$"&amp;DL$391)),
IF($K394=INDIRECT(CONCATENATE("$E$"&amp;DL$392)),INDIRECT(CONCATENATE("$E$"&amp;DL$391)),
IF($K394=INDIRECT(CONCATENATE("$D$"&amp;DL$392)),INDIRECT(CONCATENATE("$D$"&amp;DL$391)),
IF($K394=INDIRECT(CONCATENATE("$C$"&amp;DL$392)),INDIRECT(CONCATENATE("$C$"&amp;DL$391)),"X")))))))))))))))))))))))))))))))</f>
        <v>X</v>
      </c>
      <c r="JY394" s="58" t="str">
        <f t="shared" ref="JY394:JY428" ca="1" si="1699">IF($K394=INDIRECT(CONCATENATE("$AG$"&amp;DM$392)),INDIRECT(CONCATENATE("$AG$"&amp;DM$391)),
IF($K394=INDIRECT(CONCATENATE("$AF$"&amp;DM$392)),INDIRECT(CONCATENATE("$AF$"&amp;DM$391)),
IF($K394=INDIRECT(CONCATENATE("$AE$"&amp;DM$392)),INDIRECT(CONCATENATE("$AE$"&amp;DM$391)),
IF($K394=INDIRECT(CONCATENATE("$AD$"&amp;DM$392)),INDIRECT(CONCATENATE("$AD$"&amp;DM$391)),
IF($K394=INDIRECT(CONCATENATE("$AC$"&amp;DM$392)),INDIRECT(CONCATENATE("$AC$"&amp;DM$391)),
IF($K394=INDIRECT(CONCATENATE("$AB$"&amp;DM$392)),INDIRECT(CONCATENATE("$AB$"&amp;DM$391)),
IF($K394=INDIRECT(CONCATENATE("$AA$"&amp;DM$392)),INDIRECT(CONCATENATE("$AA$"&amp;DM$391)),
IF($K394=INDIRECT(CONCATENATE("$Z$"&amp;DM$392)),INDIRECT(CONCATENATE("$Z$"&amp;DM$391)),
IF($K394=INDIRECT(CONCATENATE("$Y$"&amp;DM$392)),INDIRECT(CONCATENATE("$Y$"&amp;DM$391)),
IF($K394=INDIRECT(CONCATENATE("$X$"&amp;DM$392)),INDIRECT(CONCATENATE("$X$"&amp;DM$391)),
IF($K394=INDIRECT(CONCATENATE("$W$"&amp;DM$392)),INDIRECT(CONCATENATE("$W$"&amp;DM$391)),
IF($K394=INDIRECT(CONCATENATE("$V$"&amp;DM$392)),INDIRECT(CONCATENATE("$V$"&amp;DM$391)),
IF($K394=INDIRECT(CONCATENATE("$U$"&amp;DM$392)),INDIRECT(CONCATENATE("$U$"&amp;DM$391)),
IF($K394=INDIRECT(CONCATENATE("$T$"&amp;DM$392)),INDIRECT(CONCATENATE("$T$"&amp;DM$391)),
IF($K394=INDIRECT(CONCATENATE("$S$"&amp;DM$392)),INDIRECT(CONCATENATE("$S$"&amp;DM$391)),
IF($K394=INDIRECT(CONCATENATE("$R$"&amp;DM$392)),INDIRECT(CONCATENATE("$R$"&amp;DM$391)),
IF($K394=INDIRECT(CONCATENATE("$Q$"&amp;DM$392)),INDIRECT(CONCATENATE("$Q$"&amp;DM$391)),
IF($K394=INDIRECT(CONCATENATE("$P$"&amp;DM$392)),INDIRECT(CONCATENATE("$P$"&amp;DM$391)),
IF($K394=INDIRECT(CONCATENATE("$O$"&amp;DM$392)),INDIRECT(CONCATENATE("$O$"&amp;DM$391)),
IF($K394=INDIRECT(CONCATENATE("$N$"&amp;DM$392)),INDIRECT(CONCATENATE("$N$"&amp;DM$391)),
IF($K394=INDIRECT(CONCATENATE("$M$"&amp;DM$392)),INDIRECT(CONCATENATE("$M$"&amp;DM$391)),
IF($K394=INDIRECT(CONCATENATE("$L$"&amp;DM$392)),INDIRECT(CONCATENATE("$L$"&amp;DM$391)),
IF($K394=INDIRECT(CONCATENATE("$K$"&amp;DM$392)),INDIRECT(CONCATENATE("$K$"&amp;DM$391)),
IF($K394=INDIRECT(CONCATENATE("$J$"&amp;DM$392)),INDIRECT(CONCATENATE("$J$"&amp;DM$391)),
IF($K394=INDIRECT(CONCATENATE("$I$"&amp;DM$392)),INDIRECT(CONCATENATE("$I$"&amp;DM$391)),
IF($K394=INDIRECT(CONCATENATE("$H$"&amp;DM$392)),INDIRECT(CONCATENATE("$H$"&amp;DM$391)),
IF($K394=INDIRECT(CONCATENATE("$G$"&amp;DM$392)),INDIRECT(CONCATENATE("$G$"&amp;DM$391)),
IF($K394=INDIRECT(CONCATENATE("$F$"&amp;DM$392)),INDIRECT(CONCATENATE("$F$"&amp;DM$391)),
IF($K394=INDIRECT(CONCATENATE("$E$"&amp;DM$392)),INDIRECT(CONCATENATE("$E$"&amp;DM$391)),
IF($K394=INDIRECT(CONCATENATE("$D$"&amp;DM$392)),INDIRECT(CONCATENATE("$D$"&amp;DM$391)),
IF($K394=INDIRECT(CONCATENATE("$C$"&amp;DM$392)),INDIRECT(CONCATENATE("$C$"&amp;DM$391)),"X")))))))))))))))))))))))))))))))</f>
        <v>X</v>
      </c>
      <c r="JZ394" s="58" t="str">
        <f t="shared" ref="JZ394:JZ428" ca="1" si="1700">IF($K394=INDIRECT(CONCATENATE("$AG$"&amp;DN$392)),INDIRECT(CONCATENATE("$AG$"&amp;DN$391)),
IF($K394=INDIRECT(CONCATENATE("$AF$"&amp;DN$392)),INDIRECT(CONCATENATE("$AF$"&amp;DN$391)),
IF($K394=INDIRECT(CONCATENATE("$AE$"&amp;DN$392)),INDIRECT(CONCATENATE("$AE$"&amp;DN$391)),
IF($K394=INDIRECT(CONCATENATE("$AD$"&amp;DN$392)),INDIRECT(CONCATENATE("$AD$"&amp;DN$391)),
IF($K394=INDIRECT(CONCATENATE("$AC$"&amp;DN$392)),INDIRECT(CONCATENATE("$AC$"&amp;DN$391)),
IF($K394=INDIRECT(CONCATENATE("$AB$"&amp;DN$392)),INDIRECT(CONCATENATE("$AB$"&amp;DN$391)),
IF($K394=INDIRECT(CONCATENATE("$AA$"&amp;DN$392)),INDIRECT(CONCATENATE("$AA$"&amp;DN$391)),
IF($K394=INDIRECT(CONCATENATE("$Z$"&amp;DN$392)),INDIRECT(CONCATENATE("$Z$"&amp;DN$391)),
IF($K394=INDIRECT(CONCATENATE("$Y$"&amp;DN$392)),INDIRECT(CONCATENATE("$Y$"&amp;DN$391)),
IF($K394=INDIRECT(CONCATENATE("$X$"&amp;DN$392)),INDIRECT(CONCATENATE("$X$"&amp;DN$391)),
IF($K394=INDIRECT(CONCATENATE("$W$"&amp;DN$392)),INDIRECT(CONCATENATE("$W$"&amp;DN$391)),
IF($K394=INDIRECT(CONCATENATE("$V$"&amp;DN$392)),INDIRECT(CONCATENATE("$V$"&amp;DN$391)),
IF($K394=INDIRECT(CONCATENATE("$U$"&amp;DN$392)),INDIRECT(CONCATENATE("$U$"&amp;DN$391)),
IF($K394=INDIRECT(CONCATENATE("$T$"&amp;DN$392)),INDIRECT(CONCATENATE("$T$"&amp;DN$391)),
IF($K394=INDIRECT(CONCATENATE("$S$"&amp;DN$392)),INDIRECT(CONCATENATE("$S$"&amp;DN$391)),
IF($K394=INDIRECT(CONCATENATE("$R$"&amp;DN$392)),INDIRECT(CONCATENATE("$R$"&amp;DN$391)),
IF($K394=INDIRECT(CONCATENATE("$Q$"&amp;DN$392)),INDIRECT(CONCATENATE("$Q$"&amp;DN$391)),
IF($K394=INDIRECT(CONCATENATE("$P$"&amp;DN$392)),INDIRECT(CONCATENATE("$P$"&amp;DN$391)),
IF($K394=INDIRECT(CONCATENATE("$O$"&amp;DN$392)),INDIRECT(CONCATENATE("$O$"&amp;DN$391)),
IF($K394=INDIRECT(CONCATENATE("$N$"&amp;DN$392)),INDIRECT(CONCATENATE("$N$"&amp;DN$391)),
IF($K394=INDIRECT(CONCATENATE("$M$"&amp;DN$392)),INDIRECT(CONCATENATE("$M$"&amp;DN$391)),
IF($K394=INDIRECT(CONCATENATE("$L$"&amp;DN$392)),INDIRECT(CONCATENATE("$L$"&amp;DN$391)),
IF($K394=INDIRECT(CONCATENATE("$K$"&amp;DN$392)),INDIRECT(CONCATENATE("$K$"&amp;DN$391)),
IF($K394=INDIRECT(CONCATENATE("$J$"&amp;DN$392)),INDIRECT(CONCATENATE("$J$"&amp;DN$391)),
IF($K394=INDIRECT(CONCATENATE("$I$"&amp;DN$392)),INDIRECT(CONCATENATE("$I$"&amp;DN$391)),
IF($K394=INDIRECT(CONCATENATE("$H$"&amp;DN$392)),INDIRECT(CONCATENATE("$H$"&amp;DN$391)),
IF($K394=INDIRECT(CONCATENATE("$G$"&amp;DN$392)),INDIRECT(CONCATENATE("$G$"&amp;DN$391)),
IF($K394=INDIRECT(CONCATENATE("$F$"&amp;DN$392)),INDIRECT(CONCATENATE("$F$"&amp;DN$391)),
IF($K394=INDIRECT(CONCATENATE("$E$"&amp;DN$392)),INDIRECT(CONCATENATE("$E$"&amp;DN$391)),
IF($K394=INDIRECT(CONCATENATE("$D$"&amp;DN$392)),INDIRECT(CONCATENATE("$D$"&amp;DN$391)),
IF($K394=INDIRECT(CONCATENATE("$C$"&amp;DN$392)),INDIRECT(CONCATENATE("$C$"&amp;DN$391)),"X")))))))))))))))))))))))))))))))</f>
        <v>X</v>
      </c>
      <c r="KA394" s="58" t="str">
        <f t="shared" ref="KA394:KA428" ca="1" si="1701">IF($K394=INDIRECT(CONCATENATE("$AG$"&amp;DO$392)),INDIRECT(CONCATENATE("$AG$"&amp;DO$391)),
IF($K394=INDIRECT(CONCATENATE("$AF$"&amp;DO$392)),INDIRECT(CONCATENATE("$AF$"&amp;DO$391)),
IF($K394=INDIRECT(CONCATENATE("$AE$"&amp;DO$392)),INDIRECT(CONCATENATE("$AE$"&amp;DO$391)),
IF($K394=INDIRECT(CONCATENATE("$AD$"&amp;DO$392)),INDIRECT(CONCATENATE("$AD$"&amp;DO$391)),
IF($K394=INDIRECT(CONCATENATE("$AC$"&amp;DO$392)),INDIRECT(CONCATENATE("$AC$"&amp;DO$391)),
IF($K394=INDIRECT(CONCATENATE("$AB$"&amp;DO$392)),INDIRECT(CONCATENATE("$AB$"&amp;DO$391)),
IF($K394=INDIRECT(CONCATENATE("$AA$"&amp;DO$392)),INDIRECT(CONCATENATE("$AA$"&amp;DO$391)),
IF($K394=INDIRECT(CONCATENATE("$Z$"&amp;DO$392)),INDIRECT(CONCATENATE("$Z$"&amp;DO$391)),
IF($K394=INDIRECT(CONCATENATE("$Y$"&amp;DO$392)),INDIRECT(CONCATENATE("$Y$"&amp;DO$391)),
IF($K394=INDIRECT(CONCATENATE("$X$"&amp;DO$392)),INDIRECT(CONCATENATE("$X$"&amp;DO$391)),
IF($K394=INDIRECT(CONCATENATE("$W$"&amp;DO$392)),INDIRECT(CONCATENATE("$W$"&amp;DO$391)),
IF($K394=INDIRECT(CONCATENATE("$V$"&amp;DO$392)),INDIRECT(CONCATENATE("$V$"&amp;DO$391)),
IF($K394=INDIRECT(CONCATENATE("$U$"&amp;DO$392)),INDIRECT(CONCATENATE("$U$"&amp;DO$391)),
IF($K394=INDIRECT(CONCATENATE("$T$"&amp;DO$392)),INDIRECT(CONCATENATE("$T$"&amp;DO$391)),
IF($K394=INDIRECT(CONCATENATE("$S$"&amp;DO$392)),INDIRECT(CONCATENATE("$S$"&amp;DO$391)),
IF($K394=INDIRECT(CONCATENATE("$R$"&amp;DO$392)),INDIRECT(CONCATENATE("$R$"&amp;DO$391)),
IF($K394=INDIRECT(CONCATENATE("$Q$"&amp;DO$392)),INDIRECT(CONCATENATE("$Q$"&amp;DO$391)),
IF($K394=INDIRECT(CONCATENATE("$P$"&amp;DO$392)),INDIRECT(CONCATENATE("$P$"&amp;DO$391)),
IF($K394=INDIRECT(CONCATENATE("$O$"&amp;DO$392)),INDIRECT(CONCATENATE("$O$"&amp;DO$391)),
IF($K394=INDIRECT(CONCATENATE("$N$"&amp;DO$392)),INDIRECT(CONCATENATE("$N$"&amp;DO$391)),
IF($K394=INDIRECT(CONCATENATE("$M$"&amp;DO$392)),INDIRECT(CONCATENATE("$M$"&amp;DO$391)),
IF($K394=INDIRECT(CONCATENATE("$L$"&amp;DO$392)),INDIRECT(CONCATENATE("$L$"&amp;DO$391)),
IF($K394=INDIRECT(CONCATENATE("$K$"&amp;DO$392)),INDIRECT(CONCATENATE("$K$"&amp;DO$391)),
IF($K394=INDIRECT(CONCATENATE("$J$"&amp;DO$392)),INDIRECT(CONCATENATE("$J$"&amp;DO$391)),
IF($K394=INDIRECT(CONCATENATE("$I$"&amp;DO$392)),INDIRECT(CONCATENATE("$I$"&amp;DO$391)),
IF($K394=INDIRECT(CONCATENATE("$H$"&amp;DO$392)),INDIRECT(CONCATENATE("$H$"&amp;DO$391)),
IF($K394=INDIRECT(CONCATENATE("$G$"&amp;DO$392)),INDIRECT(CONCATENATE("$G$"&amp;DO$391)),
IF($K394=INDIRECT(CONCATENATE("$F$"&amp;DO$392)),INDIRECT(CONCATENATE("$F$"&amp;DO$391)),
IF($K394=INDIRECT(CONCATENATE("$E$"&amp;DO$392)),INDIRECT(CONCATENATE("$E$"&amp;DO$391)),
IF($K394=INDIRECT(CONCATENATE("$D$"&amp;DO$392)),INDIRECT(CONCATENATE("$D$"&amp;DO$391)),
IF($K394=INDIRECT(CONCATENATE("$C$"&amp;DO$392)),INDIRECT(CONCATENATE("$C$"&amp;DO$391)),"X")))))))))))))))))))))))))))))))</f>
        <v>X</v>
      </c>
      <c r="KB394" s="58" t="str">
        <f t="shared" ref="KB394:KB428" ca="1" si="1702">IF($K394=INDIRECT(CONCATENATE("$AG$"&amp;DP$392)),INDIRECT(CONCATENATE("$AG$"&amp;DP$391)),
IF($K394=INDIRECT(CONCATENATE("$AF$"&amp;DP$392)),INDIRECT(CONCATENATE("$AF$"&amp;DP$391)),
IF($K394=INDIRECT(CONCATENATE("$AE$"&amp;DP$392)),INDIRECT(CONCATENATE("$AE$"&amp;DP$391)),
IF($K394=INDIRECT(CONCATENATE("$AD$"&amp;DP$392)),INDIRECT(CONCATENATE("$AD$"&amp;DP$391)),
IF($K394=INDIRECT(CONCATENATE("$AC$"&amp;DP$392)),INDIRECT(CONCATENATE("$AC$"&amp;DP$391)),
IF($K394=INDIRECT(CONCATENATE("$AB$"&amp;DP$392)),INDIRECT(CONCATENATE("$AB$"&amp;DP$391)),
IF($K394=INDIRECT(CONCATENATE("$AA$"&amp;DP$392)),INDIRECT(CONCATENATE("$AA$"&amp;DP$391)),
IF($K394=INDIRECT(CONCATENATE("$Z$"&amp;DP$392)),INDIRECT(CONCATENATE("$Z$"&amp;DP$391)),
IF($K394=INDIRECT(CONCATENATE("$Y$"&amp;DP$392)),INDIRECT(CONCATENATE("$Y$"&amp;DP$391)),
IF($K394=INDIRECT(CONCATENATE("$X$"&amp;DP$392)),INDIRECT(CONCATENATE("$X$"&amp;DP$391)),
IF($K394=INDIRECT(CONCATENATE("$W$"&amp;DP$392)),INDIRECT(CONCATENATE("$W$"&amp;DP$391)),
IF($K394=INDIRECT(CONCATENATE("$V$"&amp;DP$392)),INDIRECT(CONCATENATE("$V$"&amp;DP$391)),
IF($K394=INDIRECT(CONCATENATE("$U$"&amp;DP$392)),INDIRECT(CONCATENATE("$U$"&amp;DP$391)),
IF($K394=INDIRECT(CONCATENATE("$T$"&amp;DP$392)),INDIRECT(CONCATENATE("$T$"&amp;DP$391)),
IF($K394=INDIRECT(CONCATENATE("$S$"&amp;DP$392)),INDIRECT(CONCATENATE("$S$"&amp;DP$391)),
IF($K394=INDIRECT(CONCATENATE("$R$"&amp;DP$392)),INDIRECT(CONCATENATE("$R$"&amp;DP$391)),
IF($K394=INDIRECT(CONCATENATE("$Q$"&amp;DP$392)),INDIRECT(CONCATENATE("$Q$"&amp;DP$391)),
IF($K394=INDIRECT(CONCATENATE("$P$"&amp;DP$392)),INDIRECT(CONCATENATE("$P$"&amp;DP$391)),
IF($K394=INDIRECT(CONCATENATE("$O$"&amp;DP$392)),INDIRECT(CONCATENATE("$O$"&amp;DP$391)),
IF($K394=INDIRECT(CONCATENATE("$N$"&amp;DP$392)),INDIRECT(CONCATENATE("$N$"&amp;DP$391)),
IF($K394=INDIRECT(CONCATENATE("$M$"&amp;DP$392)),INDIRECT(CONCATENATE("$M$"&amp;DP$391)),
IF($K394=INDIRECT(CONCATENATE("$L$"&amp;DP$392)),INDIRECT(CONCATENATE("$L$"&amp;DP$391)),
IF($K394=INDIRECT(CONCATENATE("$K$"&amp;DP$392)),INDIRECT(CONCATENATE("$K$"&amp;DP$391)),
IF($K394=INDIRECT(CONCATENATE("$J$"&amp;DP$392)),INDIRECT(CONCATENATE("$J$"&amp;DP$391)),
IF($K394=INDIRECT(CONCATENATE("$I$"&amp;DP$392)),INDIRECT(CONCATENATE("$I$"&amp;DP$391)),
IF($K394=INDIRECT(CONCATENATE("$H$"&amp;DP$392)),INDIRECT(CONCATENATE("$H$"&amp;DP$391)),
IF($K394=INDIRECT(CONCATENATE("$G$"&amp;DP$392)),INDIRECT(CONCATENATE("$G$"&amp;DP$391)),
IF($K394=INDIRECT(CONCATENATE("$F$"&amp;DP$392)),INDIRECT(CONCATENATE("$F$"&amp;DP$391)),
IF($K394=INDIRECT(CONCATENATE("$E$"&amp;DP$392)),INDIRECT(CONCATENATE("$E$"&amp;DP$391)),
IF($K394=INDIRECT(CONCATENATE("$D$"&amp;DP$392)),INDIRECT(CONCATENATE("$D$"&amp;DP$391)),
IF($K394=INDIRECT(CONCATENATE("$C$"&amp;DP$392)),INDIRECT(CONCATENATE("$C$"&amp;DP$391)),"X")))))))))))))))))))))))))))))))</f>
        <v>X</v>
      </c>
      <c r="KC394" s="58" t="str">
        <f t="shared" ref="KC394:KC428" ca="1" si="1703">IF($K394=INDIRECT(CONCATENATE("$AG$"&amp;DQ$392)),INDIRECT(CONCATENATE("$AG$"&amp;DQ$391)),
IF($K394=INDIRECT(CONCATENATE("$AF$"&amp;DQ$392)),INDIRECT(CONCATENATE("$AF$"&amp;DQ$391)),
IF($K394=INDIRECT(CONCATENATE("$AE$"&amp;DQ$392)),INDIRECT(CONCATENATE("$AE$"&amp;DQ$391)),
IF($K394=INDIRECT(CONCATENATE("$AD$"&amp;DQ$392)),INDIRECT(CONCATENATE("$AD$"&amp;DQ$391)),
IF($K394=INDIRECT(CONCATENATE("$AC$"&amp;DQ$392)),INDIRECT(CONCATENATE("$AC$"&amp;DQ$391)),
IF($K394=INDIRECT(CONCATENATE("$AB$"&amp;DQ$392)),INDIRECT(CONCATENATE("$AB$"&amp;DQ$391)),
IF($K394=INDIRECT(CONCATENATE("$AA$"&amp;DQ$392)),INDIRECT(CONCATENATE("$AA$"&amp;DQ$391)),
IF($K394=INDIRECT(CONCATENATE("$Z$"&amp;DQ$392)),INDIRECT(CONCATENATE("$Z$"&amp;DQ$391)),
IF($K394=INDIRECT(CONCATENATE("$Y$"&amp;DQ$392)),INDIRECT(CONCATENATE("$Y$"&amp;DQ$391)),
IF($K394=INDIRECT(CONCATENATE("$X$"&amp;DQ$392)),INDIRECT(CONCATENATE("$X$"&amp;DQ$391)),
IF($K394=INDIRECT(CONCATENATE("$W$"&amp;DQ$392)),INDIRECT(CONCATENATE("$W$"&amp;DQ$391)),
IF($K394=INDIRECT(CONCATENATE("$V$"&amp;DQ$392)),INDIRECT(CONCATENATE("$V$"&amp;DQ$391)),
IF($K394=INDIRECT(CONCATENATE("$U$"&amp;DQ$392)),INDIRECT(CONCATENATE("$U$"&amp;DQ$391)),
IF($K394=INDIRECT(CONCATENATE("$T$"&amp;DQ$392)),INDIRECT(CONCATENATE("$T$"&amp;DQ$391)),
IF($K394=INDIRECT(CONCATENATE("$S$"&amp;DQ$392)),INDIRECT(CONCATENATE("$S$"&amp;DQ$391)),
IF($K394=INDIRECT(CONCATENATE("$R$"&amp;DQ$392)),INDIRECT(CONCATENATE("$R$"&amp;DQ$391)),
IF($K394=INDIRECT(CONCATENATE("$Q$"&amp;DQ$392)),INDIRECT(CONCATENATE("$Q$"&amp;DQ$391)),
IF($K394=INDIRECT(CONCATENATE("$P$"&amp;DQ$392)),INDIRECT(CONCATENATE("$P$"&amp;DQ$391)),
IF($K394=INDIRECT(CONCATENATE("$O$"&amp;DQ$392)),INDIRECT(CONCATENATE("$O$"&amp;DQ$391)),
IF($K394=INDIRECT(CONCATENATE("$N$"&amp;DQ$392)),INDIRECT(CONCATENATE("$N$"&amp;DQ$391)),
IF($K394=INDIRECT(CONCATENATE("$M$"&amp;DQ$392)),INDIRECT(CONCATENATE("$M$"&amp;DQ$391)),
IF($K394=INDIRECT(CONCATENATE("$L$"&amp;DQ$392)),INDIRECT(CONCATENATE("$L$"&amp;DQ$391)),
IF($K394=INDIRECT(CONCATENATE("$K$"&amp;DQ$392)),INDIRECT(CONCATENATE("$K$"&amp;DQ$391)),
IF($K394=INDIRECT(CONCATENATE("$J$"&amp;DQ$392)),INDIRECT(CONCATENATE("$J$"&amp;DQ$391)),
IF($K394=INDIRECT(CONCATENATE("$I$"&amp;DQ$392)),INDIRECT(CONCATENATE("$I$"&amp;DQ$391)),
IF($K394=INDIRECT(CONCATENATE("$H$"&amp;DQ$392)),INDIRECT(CONCATENATE("$H$"&amp;DQ$391)),
IF($K394=INDIRECT(CONCATENATE("$G$"&amp;DQ$392)),INDIRECT(CONCATENATE("$G$"&amp;DQ$391)),
IF($K394=INDIRECT(CONCATENATE("$F$"&amp;DQ$392)),INDIRECT(CONCATENATE("$F$"&amp;DQ$391)),
IF($K394=INDIRECT(CONCATENATE("$E$"&amp;DQ$392)),INDIRECT(CONCATENATE("$E$"&amp;DQ$391)),
IF($K394=INDIRECT(CONCATENATE("$D$"&amp;DQ$392)),INDIRECT(CONCATENATE("$D$"&amp;DQ$391)),
IF($K394=INDIRECT(CONCATENATE("$C$"&amp;DQ$392)),INDIRECT(CONCATENATE("$C$"&amp;DQ$391)),"X")))))))))))))))))))))))))))))))</f>
        <v>X</v>
      </c>
      <c r="KD394" s="58" t="str">
        <f t="shared" ref="KD394:KD428" ca="1" si="1704">IF($K394=INDIRECT(CONCATENATE("$AG$"&amp;DR$392)),INDIRECT(CONCATENATE("$AG$"&amp;DR$391)),
IF($K394=INDIRECT(CONCATENATE("$AF$"&amp;DR$392)),INDIRECT(CONCATENATE("$AF$"&amp;DR$391)),
IF($K394=INDIRECT(CONCATENATE("$AE$"&amp;DR$392)),INDIRECT(CONCATENATE("$AE$"&amp;DR$391)),
IF($K394=INDIRECT(CONCATENATE("$AD$"&amp;DR$392)),INDIRECT(CONCATENATE("$AD$"&amp;DR$391)),
IF($K394=INDIRECT(CONCATENATE("$AC$"&amp;DR$392)),INDIRECT(CONCATENATE("$AC$"&amp;DR$391)),
IF($K394=INDIRECT(CONCATENATE("$AB$"&amp;DR$392)),INDIRECT(CONCATENATE("$AB$"&amp;DR$391)),
IF($K394=INDIRECT(CONCATENATE("$AA$"&amp;DR$392)),INDIRECT(CONCATENATE("$AA$"&amp;DR$391)),
IF($K394=INDIRECT(CONCATENATE("$Z$"&amp;DR$392)),INDIRECT(CONCATENATE("$Z$"&amp;DR$391)),
IF($K394=INDIRECT(CONCATENATE("$Y$"&amp;DR$392)),INDIRECT(CONCATENATE("$Y$"&amp;DR$391)),
IF($K394=INDIRECT(CONCATENATE("$X$"&amp;DR$392)),INDIRECT(CONCATENATE("$X$"&amp;DR$391)),
IF($K394=INDIRECT(CONCATENATE("$W$"&amp;DR$392)),INDIRECT(CONCATENATE("$W$"&amp;DR$391)),
IF($K394=INDIRECT(CONCATENATE("$V$"&amp;DR$392)),INDIRECT(CONCATENATE("$V$"&amp;DR$391)),
IF($K394=INDIRECT(CONCATENATE("$U$"&amp;DR$392)),INDIRECT(CONCATENATE("$U$"&amp;DR$391)),
IF($K394=INDIRECT(CONCATENATE("$T$"&amp;DR$392)),INDIRECT(CONCATENATE("$T$"&amp;DR$391)),
IF($K394=INDIRECT(CONCATENATE("$S$"&amp;DR$392)),INDIRECT(CONCATENATE("$S$"&amp;DR$391)),
IF($K394=INDIRECT(CONCATENATE("$R$"&amp;DR$392)),INDIRECT(CONCATENATE("$R$"&amp;DR$391)),
IF($K394=INDIRECT(CONCATENATE("$Q$"&amp;DR$392)),INDIRECT(CONCATENATE("$Q$"&amp;DR$391)),
IF($K394=INDIRECT(CONCATENATE("$P$"&amp;DR$392)),INDIRECT(CONCATENATE("$P$"&amp;DR$391)),
IF($K394=INDIRECT(CONCATENATE("$O$"&amp;DR$392)),INDIRECT(CONCATENATE("$O$"&amp;DR$391)),
IF($K394=INDIRECT(CONCATENATE("$N$"&amp;DR$392)),INDIRECT(CONCATENATE("$N$"&amp;DR$391)),
IF($K394=INDIRECT(CONCATENATE("$M$"&amp;DR$392)),INDIRECT(CONCATENATE("$M$"&amp;DR$391)),
IF($K394=INDIRECT(CONCATENATE("$L$"&amp;DR$392)),INDIRECT(CONCATENATE("$L$"&amp;DR$391)),
IF($K394=INDIRECT(CONCATENATE("$K$"&amp;DR$392)),INDIRECT(CONCATENATE("$K$"&amp;DR$391)),
IF($K394=INDIRECT(CONCATENATE("$J$"&amp;DR$392)),INDIRECT(CONCATENATE("$J$"&amp;DR$391)),
IF($K394=INDIRECT(CONCATENATE("$I$"&amp;DR$392)),INDIRECT(CONCATENATE("$I$"&amp;DR$391)),
IF($K394=INDIRECT(CONCATENATE("$H$"&amp;DR$392)),INDIRECT(CONCATENATE("$H$"&amp;DR$391)),
IF($K394=INDIRECT(CONCATENATE("$G$"&amp;DR$392)),INDIRECT(CONCATENATE("$G$"&amp;DR$391)),
IF($K394=INDIRECT(CONCATENATE("$F$"&amp;DR$392)),INDIRECT(CONCATENATE("$F$"&amp;DR$391)),
IF($K394=INDIRECT(CONCATENATE("$E$"&amp;DR$392)),INDIRECT(CONCATENATE("$E$"&amp;DR$391)),
IF($K394=INDIRECT(CONCATENATE("$D$"&amp;DR$392)),INDIRECT(CONCATENATE("$D$"&amp;DR$391)),
IF($K394=INDIRECT(CONCATENATE("$C$"&amp;DR$392)),INDIRECT(CONCATENATE("$C$"&amp;DR$391)),"X")))))))))))))))))))))))))))))))</f>
        <v>X</v>
      </c>
      <c r="KE394" s="58" t="str">
        <f t="shared" ref="KE394:KE428" ca="1" si="1705">IF($K394=INDIRECT(CONCATENATE("$AG$"&amp;DS$392)),INDIRECT(CONCATENATE("$AG$"&amp;DS$391)),
IF($K394=INDIRECT(CONCATENATE("$AF$"&amp;DS$392)),INDIRECT(CONCATENATE("$AF$"&amp;DS$391)),
IF($K394=INDIRECT(CONCATENATE("$AE$"&amp;DS$392)),INDIRECT(CONCATENATE("$AE$"&amp;DS$391)),
IF($K394=INDIRECT(CONCATENATE("$AD$"&amp;DS$392)),INDIRECT(CONCATENATE("$AD$"&amp;DS$391)),
IF($K394=INDIRECT(CONCATENATE("$AC$"&amp;DS$392)),INDIRECT(CONCATENATE("$AC$"&amp;DS$391)),
IF($K394=INDIRECT(CONCATENATE("$AB$"&amp;DS$392)),INDIRECT(CONCATENATE("$AB$"&amp;DS$391)),
IF($K394=INDIRECT(CONCATENATE("$AA$"&amp;DS$392)),INDIRECT(CONCATENATE("$AA$"&amp;DS$391)),
IF($K394=INDIRECT(CONCATENATE("$Z$"&amp;DS$392)),INDIRECT(CONCATENATE("$Z$"&amp;DS$391)),
IF($K394=INDIRECT(CONCATENATE("$Y$"&amp;DS$392)),INDIRECT(CONCATENATE("$Y$"&amp;DS$391)),
IF($K394=INDIRECT(CONCATENATE("$X$"&amp;DS$392)),INDIRECT(CONCATENATE("$X$"&amp;DS$391)),
IF($K394=INDIRECT(CONCATENATE("$W$"&amp;DS$392)),INDIRECT(CONCATENATE("$W$"&amp;DS$391)),
IF($K394=INDIRECT(CONCATENATE("$V$"&amp;DS$392)),INDIRECT(CONCATENATE("$V$"&amp;DS$391)),
IF($K394=INDIRECT(CONCATENATE("$U$"&amp;DS$392)),INDIRECT(CONCATENATE("$U$"&amp;DS$391)),
IF($K394=INDIRECT(CONCATENATE("$T$"&amp;DS$392)),INDIRECT(CONCATENATE("$T$"&amp;DS$391)),
IF($K394=INDIRECT(CONCATENATE("$S$"&amp;DS$392)),INDIRECT(CONCATENATE("$S$"&amp;DS$391)),
IF($K394=INDIRECT(CONCATENATE("$R$"&amp;DS$392)),INDIRECT(CONCATENATE("$R$"&amp;DS$391)),
IF($K394=INDIRECT(CONCATENATE("$Q$"&amp;DS$392)),INDIRECT(CONCATENATE("$Q$"&amp;DS$391)),
IF($K394=INDIRECT(CONCATENATE("$P$"&amp;DS$392)),INDIRECT(CONCATENATE("$P$"&amp;DS$391)),
IF($K394=INDIRECT(CONCATENATE("$O$"&amp;DS$392)),INDIRECT(CONCATENATE("$O$"&amp;DS$391)),
IF($K394=INDIRECT(CONCATENATE("$N$"&amp;DS$392)),INDIRECT(CONCATENATE("$N$"&amp;DS$391)),
IF($K394=INDIRECT(CONCATENATE("$M$"&amp;DS$392)),INDIRECT(CONCATENATE("$M$"&amp;DS$391)),
IF($K394=INDIRECT(CONCATENATE("$L$"&amp;DS$392)),INDIRECT(CONCATENATE("$L$"&amp;DS$391)),
IF($K394=INDIRECT(CONCATENATE("$K$"&amp;DS$392)),INDIRECT(CONCATENATE("$K$"&amp;DS$391)),
IF($K394=INDIRECT(CONCATENATE("$J$"&amp;DS$392)),INDIRECT(CONCATENATE("$J$"&amp;DS$391)),
IF($K394=INDIRECT(CONCATENATE("$I$"&amp;DS$392)),INDIRECT(CONCATENATE("$I$"&amp;DS$391)),
IF($K394=INDIRECT(CONCATENATE("$H$"&amp;DS$392)),INDIRECT(CONCATENATE("$H$"&amp;DS$391)),
IF($K394=INDIRECT(CONCATENATE("$G$"&amp;DS$392)),INDIRECT(CONCATENATE("$G$"&amp;DS$391)),
IF($K394=INDIRECT(CONCATENATE("$F$"&amp;DS$392)),INDIRECT(CONCATENATE("$F$"&amp;DS$391)),
IF($K394=INDIRECT(CONCATENATE("$E$"&amp;DS$392)),INDIRECT(CONCATENATE("$E$"&amp;DS$391)),
IF($K394=INDIRECT(CONCATENATE("$D$"&amp;DS$392)),INDIRECT(CONCATENATE("$D$"&amp;DS$391)),
IF($K394=INDIRECT(CONCATENATE("$C$"&amp;DS$392)),INDIRECT(CONCATENATE("$C$"&amp;DS$391)),"X")))))))))))))))))))))))))))))))</f>
        <v>X</v>
      </c>
      <c r="KF394" s="58" t="str">
        <f t="shared" ref="KF394:KF428" ca="1" si="1706">IF($K394=INDIRECT(CONCATENATE("$AG$"&amp;DT$392)),INDIRECT(CONCATENATE("$AG$"&amp;DT$391)),
IF($K394=INDIRECT(CONCATENATE("$AF$"&amp;DT$392)),INDIRECT(CONCATENATE("$AF$"&amp;DT$391)),
IF($K394=INDIRECT(CONCATENATE("$AE$"&amp;DT$392)),INDIRECT(CONCATENATE("$AE$"&amp;DT$391)),
IF($K394=INDIRECT(CONCATENATE("$AD$"&amp;DT$392)),INDIRECT(CONCATENATE("$AD$"&amp;DT$391)),
IF($K394=INDIRECT(CONCATENATE("$AC$"&amp;DT$392)),INDIRECT(CONCATENATE("$AC$"&amp;DT$391)),
IF($K394=INDIRECT(CONCATENATE("$AB$"&amp;DT$392)),INDIRECT(CONCATENATE("$AB$"&amp;DT$391)),
IF($K394=INDIRECT(CONCATENATE("$AA$"&amp;DT$392)),INDIRECT(CONCATENATE("$AA$"&amp;DT$391)),
IF($K394=INDIRECT(CONCATENATE("$Z$"&amp;DT$392)),INDIRECT(CONCATENATE("$Z$"&amp;DT$391)),
IF($K394=INDIRECT(CONCATENATE("$Y$"&amp;DT$392)),INDIRECT(CONCATENATE("$Y$"&amp;DT$391)),
IF($K394=INDIRECT(CONCATENATE("$X$"&amp;DT$392)),INDIRECT(CONCATENATE("$X$"&amp;DT$391)),
IF($K394=INDIRECT(CONCATENATE("$W$"&amp;DT$392)),INDIRECT(CONCATENATE("$W$"&amp;DT$391)),
IF($K394=INDIRECT(CONCATENATE("$V$"&amp;DT$392)),INDIRECT(CONCATENATE("$V$"&amp;DT$391)),
IF($K394=INDIRECT(CONCATENATE("$U$"&amp;DT$392)),INDIRECT(CONCATENATE("$U$"&amp;DT$391)),
IF($K394=INDIRECT(CONCATENATE("$T$"&amp;DT$392)),INDIRECT(CONCATENATE("$T$"&amp;DT$391)),
IF($K394=INDIRECT(CONCATENATE("$S$"&amp;DT$392)),INDIRECT(CONCATENATE("$S$"&amp;DT$391)),
IF($K394=INDIRECT(CONCATENATE("$R$"&amp;DT$392)),INDIRECT(CONCATENATE("$R$"&amp;DT$391)),
IF($K394=INDIRECT(CONCATENATE("$Q$"&amp;DT$392)),INDIRECT(CONCATENATE("$Q$"&amp;DT$391)),
IF($K394=INDIRECT(CONCATENATE("$P$"&amp;DT$392)),INDIRECT(CONCATENATE("$P$"&amp;DT$391)),
IF($K394=INDIRECT(CONCATENATE("$O$"&amp;DT$392)),INDIRECT(CONCATENATE("$O$"&amp;DT$391)),
IF($K394=INDIRECT(CONCATENATE("$N$"&amp;DT$392)),INDIRECT(CONCATENATE("$N$"&amp;DT$391)),
IF($K394=INDIRECT(CONCATENATE("$M$"&amp;DT$392)),INDIRECT(CONCATENATE("$M$"&amp;DT$391)),
IF($K394=INDIRECT(CONCATENATE("$L$"&amp;DT$392)),INDIRECT(CONCATENATE("$L$"&amp;DT$391)),
IF($K394=INDIRECT(CONCATENATE("$K$"&amp;DT$392)),INDIRECT(CONCATENATE("$K$"&amp;DT$391)),
IF($K394=INDIRECT(CONCATENATE("$J$"&amp;DT$392)),INDIRECT(CONCATENATE("$J$"&amp;DT$391)),
IF($K394=INDIRECT(CONCATENATE("$I$"&amp;DT$392)),INDIRECT(CONCATENATE("$I$"&amp;DT$391)),
IF($K394=INDIRECT(CONCATENATE("$H$"&amp;DT$392)),INDIRECT(CONCATENATE("$H$"&amp;DT$391)),
IF($K394=INDIRECT(CONCATENATE("$G$"&amp;DT$392)),INDIRECT(CONCATENATE("$G$"&amp;DT$391)),
IF($K394=INDIRECT(CONCATENATE("$F$"&amp;DT$392)),INDIRECT(CONCATENATE("$F$"&amp;DT$391)),
IF($K394=INDIRECT(CONCATENATE("$E$"&amp;DT$392)),INDIRECT(CONCATENATE("$E$"&amp;DT$391)),
IF($K394=INDIRECT(CONCATENATE("$D$"&amp;DT$392)),INDIRECT(CONCATENATE("$D$"&amp;DT$391)),
IF($K394=INDIRECT(CONCATENATE("$C$"&amp;DT$392)),INDIRECT(CONCATENATE("$C$"&amp;DT$391)),"X")))))))))))))))))))))))))))))))</f>
        <v>X</v>
      </c>
      <c r="KG394" s="58" t="str">
        <f t="shared" ref="KG394:KG428" ca="1" si="1707">IF($K394=INDIRECT(CONCATENATE("$AG$"&amp;DU$392)),INDIRECT(CONCATENATE("$AG$"&amp;DU$391)),
IF($K394=INDIRECT(CONCATENATE("$AF$"&amp;DU$392)),INDIRECT(CONCATENATE("$AF$"&amp;DU$391)),
IF($K394=INDIRECT(CONCATENATE("$AE$"&amp;DU$392)),INDIRECT(CONCATENATE("$AE$"&amp;DU$391)),
IF($K394=INDIRECT(CONCATENATE("$AD$"&amp;DU$392)),INDIRECT(CONCATENATE("$AD$"&amp;DU$391)),
IF($K394=INDIRECT(CONCATENATE("$AC$"&amp;DU$392)),INDIRECT(CONCATENATE("$AC$"&amp;DU$391)),
IF($K394=INDIRECT(CONCATENATE("$AB$"&amp;DU$392)),INDIRECT(CONCATENATE("$AB$"&amp;DU$391)),
IF($K394=INDIRECT(CONCATENATE("$AA$"&amp;DU$392)),INDIRECT(CONCATENATE("$AA$"&amp;DU$391)),
IF($K394=INDIRECT(CONCATENATE("$Z$"&amp;DU$392)),INDIRECT(CONCATENATE("$Z$"&amp;DU$391)),
IF($K394=INDIRECT(CONCATENATE("$Y$"&amp;DU$392)),INDIRECT(CONCATENATE("$Y$"&amp;DU$391)),
IF($K394=INDIRECT(CONCATENATE("$X$"&amp;DU$392)),INDIRECT(CONCATENATE("$X$"&amp;DU$391)),
IF($K394=INDIRECT(CONCATENATE("$W$"&amp;DU$392)),INDIRECT(CONCATENATE("$W$"&amp;DU$391)),
IF($K394=INDIRECT(CONCATENATE("$V$"&amp;DU$392)),INDIRECT(CONCATENATE("$V$"&amp;DU$391)),
IF($K394=INDIRECT(CONCATENATE("$U$"&amp;DU$392)),INDIRECT(CONCATENATE("$U$"&amp;DU$391)),
IF($K394=INDIRECT(CONCATENATE("$T$"&amp;DU$392)),INDIRECT(CONCATENATE("$T$"&amp;DU$391)),
IF($K394=INDIRECT(CONCATENATE("$S$"&amp;DU$392)),INDIRECT(CONCATENATE("$S$"&amp;DU$391)),
IF($K394=INDIRECT(CONCATENATE("$R$"&amp;DU$392)),INDIRECT(CONCATENATE("$R$"&amp;DU$391)),
IF($K394=INDIRECT(CONCATENATE("$Q$"&amp;DU$392)),INDIRECT(CONCATENATE("$Q$"&amp;DU$391)),
IF($K394=INDIRECT(CONCATENATE("$P$"&amp;DU$392)),INDIRECT(CONCATENATE("$P$"&amp;DU$391)),
IF($K394=INDIRECT(CONCATENATE("$O$"&amp;DU$392)),INDIRECT(CONCATENATE("$O$"&amp;DU$391)),
IF($K394=INDIRECT(CONCATENATE("$N$"&amp;DU$392)),INDIRECT(CONCATENATE("$N$"&amp;DU$391)),
IF($K394=INDIRECT(CONCATENATE("$M$"&amp;DU$392)),INDIRECT(CONCATENATE("$M$"&amp;DU$391)),
IF($K394=INDIRECT(CONCATENATE("$L$"&amp;DU$392)),INDIRECT(CONCATENATE("$L$"&amp;DU$391)),
IF($K394=INDIRECT(CONCATENATE("$K$"&amp;DU$392)),INDIRECT(CONCATENATE("$K$"&amp;DU$391)),
IF($K394=INDIRECT(CONCATENATE("$J$"&amp;DU$392)),INDIRECT(CONCATENATE("$J$"&amp;DU$391)),
IF($K394=INDIRECT(CONCATENATE("$I$"&amp;DU$392)),INDIRECT(CONCATENATE("$I$"&amp;DU$391)),
IF($K394=INDIRECT(CONCATENATE("$H$"&amp;DU$392)),INDIRECT(CONCATENATE("$H$"&amp;DU$391)),
IF($K394=INDIRECT(CONCATENATE("$G$"&amp;DU$392)),INDIRECT(CONCATENATE("$G$"&amp;DU$391)),
IF($K394=INDIRECT(CONCATENATE("$F$"&amp;DU$392)),INDIRECT(CONCATENATE("$F$"&amp;DU$391)),
IF($K394=INDIRECT(CONCATENATE("$E$"&amp;DU$392)),INDIRECT(CONCATENATE("$E$"&amp;DU$391)),
IF($K394=INDIRECT(CONCATENATE("$D$"&amp;DU$392)),INDIRECT(CONCATENATE("$D$"&amp;DU$391)),
IF($K394=INDIRECT(CONCATENATE("$C$"&amp;DU$392)),INDIRECT(CONCATENATE("$C$"&amp;DU$391)),"X")))))))))))))))))))))))))))))))</f>
        <v>X</v>
      </c>
      <c r="KH394" s="58" t="str">
        <f t="shared" ref="KH394:KH428" ca="1" si="1708">IF($K394=INDIRECT(CONCATENATE("$AG$"&amp;DV$392)),INDIRECT(CONCATENATE("$AG$"&amp;DV$391)),
IF($K394=INDIRECT(CONCATENATE("$AF$"&amp;DV$392)),INDIRECT(CONCATENATE("$AF$"&amp;DV$391)),
IF($K394=INDIRECT(CONCATENATE("$AE$"&amp;DV$392)),INDIRECT(CONCATENATE("$AE$"&amp;DV$391)),
IF($K394=INDIRECT(CONCATENATE("$AD$"&amp;DV$392)),INDIRECT(CONCATENATE("$AD$"&amp;DV$391)),
IF($K394=INDIRECT(CONCATENATE("$AC$"&amp;DV$392)),INDIRECT(CONCATENATE("$AC$"&amp;DV$391)),
IF($K394=INDIRECT(CONCATENATE("$AB$"&amp;DV$392)),INDIRECT(CONCATENATE("$AB$"&amp;DV$391)),
IF($K394=INDIRECT(CONCATENATE("$AA$"&amp;DV$392)),INDIRECT(CONCATENATE("$AA$"&amp;DV$391)),
IF($K394=INDIRECT(CONCATENATE("$Z$"&amp;DV$392)),INDIRECT(CONCATENATE("$Z$"&amp;DV$391)),
IF($K394=INDIRECT(CONCATENATE("$Y$"&amp;DV$392)),INDIRECT(CONCATENATE("$Y$"&amp;DV$391)),
IF($K394=INDIRECT(CONCATENATE("$X$"&amp;DV$392)),INDIRECT(CONCATENATE("$X$"&amp;DV$391)),
IF($K394=INDIRECT(CONCATENATE("$W$"&amp;DV$392)),INDIRECT(CONCATENATE("$W$"&amp;DV$391)),
IF($K394=INDIRECT(CONCATENATE("$V$"&amp;DV$392)),INDIRECT(CONCATENATE("$V$"&amp;DV$391)),
IF($K394=INDIRECT(CONCATENATE("$U$"&amp;DV$392)),INDIRECT(CONCATENATE("$U$"&amp;DV$391)),
IF($K394=INDIRECT(CONCATENATE("$T$"&amp;DV$392)),INDIRECT(CONCATENATE("$T$"&amp;DV$391)),
IF($K394=INDIRECT(CONCATENATE("$S$"&amp;DV$392)),INDIRECT(CONCATENATE("$S$"&amp;DV$391)),
IF($K394=INDIRECT(CONCATENATE("$R$"&amp;DV$392)),INDIRECT(CONCATENATE("$R$"&amp;DV$391)),
IF($K394=INDIRECT(CONCATENATE("$Q$"&amp;DV$392)),INDIRECT(CONCATENATE("$Q$"&amp;DV$391)),
IF($K394=INDIRECT(CONCATENATE("$P$"&amp;DV$392)),INDIRECT(CONCATENATE("$P$"&amp;DV$391)),
IF($K394=INDIRECT(CONCATENATE("$O$"&amp;DV$392)),INDIRECT(CONCATENATE("$O$"&amp;DV$391)),
IF($K394=INDIRECT(CONCATENATE("$N$"&amp;DV$392)),INDIRECT(CONCATENATE("$N$"&amp;DV$391)),
IF($K394=INDIRECT(CONCATENATE("$M$"&amp;DV$392)),INDIRECT(CONCATENATE("$M$"&amp;DV$391)),
IF($K394=INDIRECT(CONCATENATE("$L$"&amp;DV$392)),INDIRECT(CONCATENATE("$L$"&amp;DV$391)),
IF($K394=INDIRECT(CONCATENATE("$K$"&amp;DV$392)),INDIRECT(CONCATENATE("$K$"&amp;DV$391)),
IF($K394=INDIRECT(CONCATENATE("$J$"&amp;DV$392)),INDIRECT(CONCATENATE("$J$"&amp;DV$391)),
IF($K394=INDIRECT(CONCATENATE("$I$"&amp;DV$392)),INDIRECT(CONCATENATE("$I$"&amp;DV$391)),
IF($K394=INDIRECT(CONCATENATE("$H$"&amp;DV$392)),INDIRECT(CONCATENATE("$H$"&amp;DV$391)),
IF($K394=INDIRECT(CONCATENATE("$G$"&amp;DV$392)),INDIRECT(CONCATENATE("$G$"&amp;DV$391)),
IF($K394=INDIRECT(CONCATENATE("$F$"&amp;DV$392)),INDIRECT(CONCATENATE("$F$"&amp;DV$391)),
IF($K394=INDIRECT(CONCATENATE("$E$"&amp;DV$392)),INDIRECT(CONCATENATE("$E$"&amp;DV$391)),
IF($K394=INDIRECT(CONCATENATE("$D$"&amp;DV$392)),INDIRECT(CONCATENATE("$D$"&amp;DV$391)),
IF($K394=INDIRECT(CONCATENATE("$C$"&amp;DV$392)),INDIRECT(CONCATENATE("$C$"&amp;DV$391)),"X")))))))))))))))))))))))))))))))</f>
        <v>X</v>
      </c>
      <c r="KI394" s="58" t="str">
        <f t="shared" ref="KI394:KI428" ca="1" si="1709">IF($K394=INDIRECT(CONCATENATE("$AG$"&amp;DW$392)),INDIRECT(CONCATENATE("$AG$"&amp;DW$391)),
IF($K394=INDIRECT(CONCATENATE("$AF$"&amp;DW$392)),INDIRECT(CONCATENATE("$AF$"&amp;DW$391)),
IF($K394=INDIRECT(CONCATENATE("$AE$"&amp;DW$392)),INDIRECT(CONCATENATE("$AE$"&amp;DW$391)),
IF($K394=INDIRECT(CONCATENATE("$AD$"&amp;DW$392)),INDIRECT(CONCATENATE("$AD$"&amp;DW$391)),
IF($K394=INDIRECT(CONCATENATE("$AC$"&amp;DW$392)),INDIRECT(CONCATENATE("$AC$"&amp;DW$391)),
IF($K394=INDIRECT(CONCATENATE("$AB$"&amp;DW$392)),INDIRECT(CONCATENATE("$AB$"&amp;DW$391)),
IF($K394=INDIRECT(CONCATENATE("$AA$"&amp;DW$392)),INDIRECT(CONCATENATE("$AA$"&amp;DW$391)),
IF($K394=INDIRECT(CONCATENATE("$Z$"&amp;DW$392)),INDIRECT(CONCATENATE("$Z$"&amp;DW$391)),
IF($K394=INDIRECT(CONCATENATE("$Y$"&amp;DW$392)),INDIRECT(CONCATENATE("$Y$"&amp;DW$391)),
IF($K394=INDIRECT(CONCATENATE("$X$"&amp;DW$392)),INDIRECT(CONCATENATE("$X$"&amp;DW$391)),
IF($K394=INDIRECT(CONCATENATE("$W$"&amp;DW$392)),INDIRECT(CONCATENATE("$W$"&amp;DW$391)),
IF($K394=INDIRECT(CONCATENATE("$V$"&amp;DW$392)),INDIRECT(CONCATENATE("$V$"&amp;DW$391)),
IF($K394=INDIRECT(CONCATENATE("$U$"&amp;DW$392)),INDIRECT(CONCATENATE("$U$"&amp;DW$391)),
IF($K394=INDIRECT(CONCATENATE("$T$"&amp;DW$392)),INDIRECT(CONCATENATE("$T$"&amp;DW$391)),
IF($K394=INDIRECT(CONCATENATE("$S$"&amp;DW$392)),INDIRECT(CONCATENATE("$S$"&amp;DW$391)),
IF($K394=INDIRECT(CONCATENATE("$R$"&amp;DW$392)),INDIRECT(CONCATENATE("$R$"&amp;DW$391)),
IF($K394=INDIRECT(CONCATENATE("$Q$"&amp;DW$392)),INDIRECT(CONCATENATE("$Q$"&amp;DW$391)),
IF($K394=INDIRECT(CONCATENATE("$P$"&amp;DW$392)),INDIRECT(CONCATENATE("$P$"&amp;DW$391)),
IF($K394=INDIRECT(CONCATENATE("$O$"&amp;DW$392)),INDIRECT(CONCATENATE("$O$"&amp;DW$391)),
IF($K394=INDIRECT(CONCATENATE("$N$"&amp;DW$392)),INDIRECT(CONCATENATE("$N$"&amp;DW$391)),
IF($K394=INDIRECT(CONCATENATE("$M$"&amp;DW$392)),INDIRECT(CONCATENATE("$M$"&amp;DW$391)),
IF($K394=INDIRECT(CONCATENATE("$L$"&amp;DW$392)),INDIRECT(CONCATENATE("$L$"&amp;DW$391)),
IF($K394=INDIRECT(CONCATENATE("$K$"&amp;DW$392)),INDIRECT(CONCATENATE("$K$"&amp;DW$391)),
IF($K394=INDIRECT(CONCATENATE("$J$"&amp;DW$392)),INDIRECT(CONCATENATE("$J$"&amp;DW$391)),
IF($K394=INDIRECT(CONCATENATE("$I$"&amp;DW$392)),INDIRECT(CONCATENATE("$I$"&amp;DW$391)),
IF($K394=INDIRECT(CONCATENATE("$H$"&amp;DW$392)),INDIRECT(CONCATENATE("$H$"&amp;DW$391)),
IF($K394=INDIRECT(CONCATENATE("$G$"&amp;DW$392)),INDIRECT(CONCATENATE("$G$"&amp;DW$391)),
IF($K394=INDIRECT(CONCATENATE("$F$"&amp;DW$392)),INDIRECT(CONCATENATE("$F$"&amp;DW$391)),
IF($K394=INDIRECT(CONCATENATE("$E$"&amp;DW$392)),INDIRECT(CONCATENATE("$E$"&amp;DW$391)),
IF($K394=INDIRECT(CONCATENATE("$D$"&amp;DW$392)),INDIRECT(CONCATENATE("$D$"&amp;DW$391)),
IF($K394=INDIRECT(CONCATENATE("$C$"&amp;DW$392)),INDIRECT(CONCATENATE("$C$"&amp;DW$391)),"X")))))))))))))))))))))))))))))))</f>
        <v>X</v>
      </c>
      <c r="KJ394" s="58" t="str">
        <f t="shared" ref="KJ394:KJ428" ca="1" si="1710">IF($K394=INDIRECT(CONCATENATE("$AG$"&amp;DX$392)),INDIRECT(CONCATENATE("$AG$"&amp;DX$391)),
IF($K394=INDIRECT(CONCATENATE("$AF$"&amp;DX$392)),INDIRECT(CONCATENATE("$AF$"&amp;DX$391)),
IF($K394=INDIRECT(CONCATENATE("$AE$"&amp;DX$392)),INDIRECT(CONCATENATE("$AE$"&amp;DX$391)),
IF($K394=INDIRECT(CONCATENATE("$AD$"&amp;DX$392)),INDIRECT(CONCATENATE("$AD$"&amp;DX$391)),
IF($K394=INDIRECT(CONCATENATE("$AC$"&amp;DX$392)),INDIRECT(CONCATENATE("$AC$"&amp;DX$391)),
IF($K394=INDIRECT(CONCATENATE("$AB$"&amp;DX$392)),INDIRECT(CONCATENATE("$AB$"&amp;DX$391)),
IF($K394=INDIRECT(CONCATENATE("$AA$"&amp;DX$392)),INDIRECT(CONCATENATE("$AA$"&amp;DX$391)),
IF($K394=INDIRECT(CONCATENATE("$Z$"&amp;DX$392)),INDIRECT(CONCATENATE("$Z$"&amp;DX$391)),
IF($K394=INDIRECT(CONCATENATE("$Y$"&amp;DX$392)),INDIRECT(CONCATENATE("$Y$"&amp;DX$391)),
IF($K394=INDIRECT(CONCATENATE("$X$"&amp;DX$392)),INDIRECT(CONCATENATE("$X$"&amp;DX$391)),
IF($K394=INDIRECT(CONCATENATE("$W$"&amp;DX$392)),INDIRECT(CONCATENATE("$W$"&amp;DX$391)),
IF($K394=INDIRECT(CONCATENATE("$V$"&amp;DX$392)),INDIRECT(CONCATENATE("$V$"&amp;DX$391)),
IF($K394=INDIRECT(CONCATENATE("$U$"&amp;DX$392)),INDIRECT(CONCATENATE("$U$"&amp;DX$391)),
IF($K394=INDIRECT(CONCATENATE("$T$"&amp;DX$392)),INDIRECT(CONCATENATE("$T$"&amp;DX$391)),
IF($K394=INDIRECT(CONCATENATE("$S$"&amp;DX$392)),INDIRECT(CONCATENATE("$S$"&amp;DX$391)),
IF($K394=INDIRECT(CONCATENATE("$R$"&amp;DX$392)),INDIRECT(CONCATENATE("$R$"&amp;DX$391)),
IF($K394=INDIRECT(CONCATENATE("$Q$"&amp;DX$392)),INDIRECT(CONCATENATE("$Q$"&amp;DX$391)),
IF($K394=INDIRECT(CONCATENATE("$P$"&amp;DX$392)),INDIRECT(CONCATENATE("$P$"&amp;DX$391)),
IF($K394=INDIRECT(CONCATENATE("$O$"&amp;DX$392)),INDIRECT(CONCATENATE("$O$"&amp;DX$391)),
IF($K394=INDIRECT(CONCATENATE("$N$"&amp;DX$392)),INDIRECT(CONCATENATE("$N$"&amp;DX$391)),
IF($K394=INDIRECT(CONCATENATE("$M$"&amp;DX$392)),INDIRECT(CONCATENATE("$M$"&amp;DX$391)),
IF($K394=INDIRECT(CONCATENATE("$L$"&amp;DX$392)),INDIRECT(CONCATENATE("$L$"&amp;DX$391)),
IF($K394=INDIRECT(CONCATENATE("$K$"&amp;DX$392)),INDIRECT(CONCATENATE("$K$"&amp;DX$391)),
IF($K394=INDIRECT(CONCATENATE("$J$"&amp;DX$392)),INDIRECT(CONCATENATE("$J$"&amp;DX$391)),
IF($K394=INDIRECT(CONCATENATE("$I$"&amp;DX$392)),INDIRECT(CONCATENATE("$I$"&amp;DX$391)),
IF($K394=INDIRECT(CONCATENATE("$H$"&amp;DX$392)),INDIRECT(CONCATENATE("$H$"&amp;DX$391)),
IF($K394=INDIRECT(CONCATENATE("$G$"&amp;DX$392)),INDIRECT(CONCATENATE("$G$"&amp;DX$391)),
IF($K394=INDIRECT(CONCATENATE("$F$"&amp;DX$392)),INDIRECT(CONCATENATE("$F$"&amp;DX$391)),
IF($K394=INDIRECT(CONCATENATE("$E$"&amp;DX$392)),INDIRECT(CONCATENATE("$E$"&amp;DX$391)),
IF($K394=INDIRECT(CONCATENATE("$D$"&amp;DX$392)),INDIRECT(CONCATENATE("$D$"&amp;DX$391)),
IF($K394=INDIRECT(CONCATENATE("$C$"&amp;DX$392)),INDIRECT(CONCATENATE("$C$"&amp;DX$391)),"X")))))))))))))))))))))))))))))))</f>
        <v>X</v>
      </c>
      <c r="KK394" s="58" t="str">
        <f t="shared" ref="KK394:KK428" ca="1" si="1711">IF($K394=INDIRECT(CONCATENATE("$AG$"&amp;DY$392)),INDIRECT(CONCATENATE("$AG$"&amp;DY$391)),
IF($K394=INDIRECT(CONCATENATE("$AF$"&amp;DY$392)),INDIRECT(CONCATENATE("$AF$"&amp;DY$391)),
IF($K394=INDIRECT(CONCATENATE("$AE$"&amp;DY$392)),INDIRECT(CONCATENATE("$AE$"&amp;DY$391)),
IF($K394=INDIRECT(CONCATENATE("$AD$"&amp;DY$392)),INDIRECT(CONCATENATE("$AD$"&amp;DY$391)),
IF($K394=INDIRECT(CONCATENATE("$AC$"&amp;DY$392)),INDIRECT(CONCATENATE("$AC$"&amp;DY$391)),
IF($K394=INDIRECT(CONCATENATE("$AB$"&amp;DY$392)),INDIRECT(CONCATENATE("$AB$"&amp;DY$391)),
IF($K394=INDIRECT(CONCATENATE("$AA$"&amp;DY$392)),INDIRECT(CONCATENATE("$AA$"&amp;DY$391)),
IF($K394=INDIRECT(CONCATENATE("$Z$"&amp;DY$392)),INDIRECT(CONCATENATE("$Z$"&amp;DY$391)),
IF($K394=INDIRECT(CONCATENATE("$Y$"&amp;DY$392)),INDIRECT(CONCATENATE("$Y$"&amp;DY$391)),
IF($K394=INDIRECT(CONCATENATE("$X$"&amp;DY$392)),INDIRECT(CONCATENATE("$X$"&amp;DY$391)),
IF($K394=INDIRECT(CONCATENATE("$W$"&amp;DY$392)),INDIRECT(CONCATENATE("$W$"&amp;DY$391)),
IF($K394=INDIRECT(CONCATENATE("$V$"&amp;DY$392)),INDIRECT(CONCATENATE("$V$"&amp;DY$391)),
IF($K394=INDIRECT(CONCATENATE("$U$"&amp;DY$392)),INDIRECT(CONCATENATE("$U$"&amp;DY$391)),
IF($K394=INDIRECT(CONCATENATE("$T$"&amp;DY$392)),INDIRECT(CONCATENATE("$T$"&amp;DY$391)),
IF($K394=INDIRECT(CONCATENATE("$S$"&amp;DY$392)),INDIRECT(CONCATENATE("$S$"&amp;DY$391)),
IF($K394=INDIRECT(CONCATENATE("$R$"&amp;DY$392)),INDIRECT(CONCATENATE("$R$"&amp;DY$391)),
IF($K394=INDIRECT(CONCATENATE("$Q$"&amp;DY$392)),INDIRECT(CONCATENATE("$Q$"&amp;DY$391)),
IF($K394=INDIRECT(CONCATENATE("$P$"&amp;DY$392)),INDIRECT(CONCATENATE("$P$"&amp;DY$391)),
IF($K394=INDIRECT(CONCATENATE("$O$"&amp;DY$392)),INDIRECT(CONCATENATE("$O$"&amp;DY$391)),
IF($K394=INDIRECT(CONCATENATE("$N$"&amp;DY$392)),INDIRECT(CONCATENATE("$N$"&amp;DY$391)),
IF($K394=INDIRECT(CONCATENATE("$M$"&amp;DY$392)),INDIRECT(CONCATENATE("$M$"&amp;DY$391)),
IF($K394=INDIRECT(CONCATENATE("$L$"&amp;DY$392)),INDIRECT(CONCATENATE("$L$"&amp;DY$391)),
IF($K394=INDIRECT(CONCATENATE("$K$"&amp;DY$392)),INDIRECT(CONCATENATE("$K$"&amp;DY$391)),
IF($K394=INDIRECT(CONCATENATE("$J$"&amp;DY$392)),INDIRECT(CONCATENATE("$J$"&amp;DY$391)),
IF($K394=INDIRECT(CONCATENATE("$I$"&amp;DY$392)),INDIRECT(CONCATENATE("$I$"&amp;DY$391)),
IF($K394=INDIRECT(CONCATENATE("$H$"&amp;DY$392)),INDIRECT(CONCATENATE("$H$"&amp;DY$391)),
IF($K394=INDIRECT(CONCATENATE("$G$"&amp;DY$392)),INDIRECT(CONCATENATE("$G$"&amp;DY$391)),
IF($K394=INDIRECT(CONCATENATE("$F$"&amp;DY$392)),INDIRECT(CONCATENATE("$F$"&amp;DY$391)),
IF($K394=INDIRECT(CONCATENATE("$E$"&amp;DY$392)),INDIRECT(CONCATENATE("$E$"&amp;DY$391)),
IF($K394=INDIRECT(CONCATENATE("$D$"&amp;DY$392)),INDIRECT(CONCATENATE("$D$"&amp;DY$391)),
IF($K394=INDIRECT(CONCATENATE("$C$"&amp;DY$392)),INDIRECT(CONCATENATE("$C$"&amp;DY$391)),"X")))))))))))))))))))))))))))))))</f>
        <v>X</v>
      </c>
      <c r="KL394" s="58" t="str">
        <f t="shared" ref="KL394:KL428" ca="1" si="1712">IF($K394=INDIRECT(CONCATENATE("$AG$"&amp;DZ$392)),INDIRECT(CONCATENATE("$AG$"&amp;DZ$391)),
IF($K394=INDIRECT(CONCATENATE("$AF$"&amp;DZ$392)),INDIRECT(CONCATENATE("$AF$"&amp;DZ$391)),
IF($K394=INDIRECT(CONCATENATE("$AE$"&amp;DZ$392)),INDIRECT(CONCATENATE("$AE$"&amp;DZ$391)),
IF($K394=INDIRECT(CONCATENATE("$AD$"&amp;DZ$392)),INDIRECT(CONCATENATE("$AD$"&amp;DZ$391)),
IF($K394=INDIRECT(CONCATENATE("$AC$"&amp;DZ$392)),INDIRECT(CONCATENATE("$AC$"&amp;DZ$391)),
IF($K394=INDIRECT(CONCATENATE("$AB$"&amp;DZ$392)),INDIRECT(CONCATENATE("$AB$"&amp;DZ$391)),
IF($K394=INDIRECT(CONCATENATE("$AA$"&amp;DZ$392)),INDIRECT(CONCATENATE("$AA$"&amp;DZ$391)),
IF($K394=INDIRECT(CONCATENATE("$Z$"&amp;DZ$392)),INDIRECT(CONCATENATE("$Z$"&amp;DZ$391)),
IF($K394=INDIRECT(CONCATENATE("$Y$"&amp;DZ$392)),INDIRECT(CONCATENATE("$Y$"&amp;DZ$391)),
IF($K394=INDIRECT(CONCATENATE("$X$"&amp;DZ$392)),INDIRECT(CONCATENATE("$X$"&amp;DZ$391)),
IF($K394=INDIRECT(CONCATENATE("$W$"&amp;DZ$392)),INDIRECT(CONCATENATE("$W$"&amp;DZ$391)),
IF($K394=INDIRECT(CONCATENATE("$V$"&amp;DZ$392)),INDIRECT(CONCATENATE("$V$"&amp;DZ$391)),
IF($K394=INDIRECT(CONCATENATE("$U$"&amp;DZ$392)),INDIRECT(CONCATENATE("$U$"&amp;DZ$391)),
IF($K394=INDIRECT(CONCATENATE("$T$"&amp;DZ$392)),INDIRECT(CONCATENATE("$T$"&amp;DZ$391)),
IF($K394=INDIRECT(CONCATENATE("$S$"&amp;DZ$392)),INDIRECT(CONCATENATE("$S$"&amp;DZ$391)),
IF($K394=INDIRECT(CONCATENATE("$R$"&amp;DZ$392)),INDIRECT(CONCATENATE("$R$"&amp;DZ$391)),
IF($K394=INDIRECT(CONCATENATE("$Q$"&amp;DZ$392)),INDIRECT(CONCATENATE("$Q$"&amp;DZ$391)),
IF($K394=INDIRECT(CONCATENATE("$P$"&amp;DZ$392)),INDIRECT(CONCATENATE("$P$"&amp;DZ$391)),
IF($K394=INDIRECT(CONCATENATE("$O$"&amp;DZ$392)),INDIRECT(CONCATENATE("$O$"&amp;DZ$391)),
IF($K394=INDIRECT(CONCATENATE("$N$"&amp;DZ$392)),INDIRECT(CONCATENATE("$N$"&amp;DZ$391)),
IF($K394=INDIRECT(CONCATENATE("$M$"&amp;DZ$392)),INDIRECT(CONCATENATE("$M$"&amp;DZ$391)),
IF($K394=INDIRECT(CONCATENATE("$L$"&amp;DZ$392)),INDIRECT(CONCATENATE("$L$"&amp;DZ$391)),
IF($K394=INDIRECT(CONCATENATE("$K$"&amp;DZ$392)),INDIRECT(CONCATENATE("$K$"&amp;DZ$391)),
IF($K394=INDIRECT(CONCATENATE("$J$"&amp;DZ$392)),INDIRECT(CONCATENATE("$J$"&amp;DZ$391)),
IF($K394=INDIRECT(CONCATENATE("$I$"&amp;DZ$392)),INDIRECT(CONCATENATE("$I$"&amp;DZ$391)),
IF($K394=INDIRECT(CONCATENATE("$H$"&amp;DZ$392)),INDIRECT(CONCATENATE("$H$"&amp;DZ$391)),
IF($K394=INDIRECT(CONCATENATE("$G$"&amp;DZ$392)),INDIRECT(CONCATENATE("$G$"&amp;DZ$391)),
IF($K394=INDIRECT(CONCATENATE("$F$"&amp;DZ$392)),INDIRECT(CONCATENATE("$F$"&amp;DZ$391)),
IF($K394=INDIRECT(CONCATENATE("$E$"&amp;DZ$392)),INDIRECT(CONCATENATE("$E$"&amp;DZ$391)),
IF($K394=INDIRECT(CONCATENATE("$D$"&amp;DZ$392)),INDIRECT(CONCATENATE("$D$"&amp;DZ$391)),
IF($K394=INDIRECT(CONCATENATE("$C$"&amp;DZ$392)),INDIRECT(CONCATENATE("$C$"&amp;DZ$391)),"X")))))))))))))))))))))))))))))))</f>
        <v>X</v>
      </c>
      <c r="KM394" s="58" t="str">
        <f t="shared" ref="KM394:KM428" ca="1" si="1713">IF($K394=INDIRECT(CONCATENATE("$AG$"&amp;EA$392)),INDIRECT(CONCATENATE("$AG$"&amp;EA$391)),
IF($K394=INDIRECT(CONCATENATE("$AF$"&amp;EA$392)),INDIRECT(CONCATENATE("$AF$"&amp;EA$391)),
IF($K394=INDIRECT(CONCATENATE("$AE$"&amp;EA$392)),INDIRECT(CONCATENATE("$AE$"&amp;EA$391)),
IF($K394=INDIRECT(CONCATENATE("$AD$"&amp;EA$392)),INDIRECT(CONCATENATE("$AD$"&amp;EA$391)),
IF($K394=INDIRECT(CONCATENATE("$AC$"&amp;EA$392)),INDIRECT(CONCATENATE("$AC$"&amp;EA$391)),
IF($K394=INDIRECT(CONCATENATE("$AB$"&amp;EA$392)),INDIRECT(CONCATENATE("$AB$"&amp;EA$391)),
IF($K394=INDIRECT(CONCATENATE("$AA$"&amp;EA$392)),INDIRECT(CONCATENATE("$AA$"&amp;EA$391)),
IF($K394=INDIRECT(CONCATENATE("$Z$"&amp;EA$392)),INDIRECT(CONCATENATE("$Z$"&amp;EA$391)),
IF($K394=INDIRECT(CONCATENATE("$Y$"&amp;EA$392)),INDIRECT(CONCATENATE("$Y$"&amp;EA$391)),
IF($K394=INDIRECT(CONCATENATE("$X$"&amp;EA$392)),INDIRECT(CONCATENATE("$X$"&amp;EA$391)),
IF($K394=INDIRECT(CONCATENATE("$W$"&amp;EA$392)),INDIRECT(CONCATENATE("$W$"&amp;EA$391)),
IF($K394=INDIRECT(CONCATENATE("$V$"&amp;EA$392)),INDIRECT(CONCATENATE("$V$"&amp;EA$391)),
IF($K394=INDIRECT(CONCATENATE("$U$"&amp;EA$392)),INDIRECT(CONCATENATE("$U$"&amp;EA$391)),
IF($K394=INDIRECT(CONCATENATE("$T$"&amp;EA$392)),INDIRECT(CONCATENATE("$T$"&amp;EA$391)),
IF($K394=INDIRECT(CONCATENATE("$S$"&amp;EA$392)),INDIRECT(CONCATENATE("$S$"&amp;EA$391)),
IF($K394=INDIRECT(CONCATENATE("$R$"&amp;EA$392)),INDIRECT(CONCATENATE("$R$"&amp;EA$391)),
IF($K394=INDIRECT(CONCATENATE("$Q$"&amp;EA$392)),INDIRECT(CONCATENATE("$Q$"&amp;EA$391)),
IF($K394=INDIRECT(CONCATENATE("$P$"&amp;EA$392)),INDIRECT(CONCATENATE("$P$"&amp;EA$391)),
IF($K394=INDIRECT(CONCATENATE("$O$"&amp;EA$392)),INDIRECT(CONCATENATE("$O$"&amp;EA$391)),
IF($K394=INDIRECT(CONCATENATE("$N$"&amp;EA$392)),INDIRECT(CONCATENATE("$N$"&amp;EA$391)),
IF($K394=INDIRECT(CONCATENATE("$M$"&amp;EA$392)),INDIRECT(CONCATENATE("$M$"&amp;EA$391)),
IF($K394=INDIRECT(CONCATENATE("$L$"&amp;EA$392)),INDIRECT(CONCATENATE("$L$"&amp;EA$391)),
IF($K394=INDIRECT(CONCATENATE("$K$"&amp;EA$392)),INDIRECT(CONCATENATE("$K$"&amp;EA$391)),
IF($K394=INDIRECT(CONCATENATE("$J$"&amp;EA$392)),INDIRECT(CONCATENATE("$J$"&amp;EA$391)),
IF($K394=INDIRECT(CONCATENATE("$I$"&amp;EA$392)),INDIRECT(CONCATENATE("$I$"&amp;EA$391)),
IF($K394=INDIRECT(CONCATENATE("$H$"&amp;EA$392)),INDIRECT(CONCATENATE("$H$"&amp;EA$391)),
IF($K394=INDIRECT(CONCATENATE("$G$"&amp;EA$392)),INDIRECT(CONCATENATE("$G$"&amp;EA$391)),
IF($K394=INDIRECT(CONCATENATE("$F$"&amp;EA$392)),INDIRECT(CONCATENATE("$F$"&amp;EA$391)),
IF($K394=INDIRECT(CONCATENATE("$E$"&amp;EA$392)),INDIRECT(CONCATENATE("$E$"&amp;EA$391)),
IF($K394=INDIRECT(CONCATENATE("$D$"&amp;EA$392)),INDIRECT(CONCATENATE("$D$"&amp;EA$391)),
IF($K394=INDIRECT(CONCATENATE("$C$"&amp;EA$392)),INDIRECT(CONCATENATE("$C$"&amp;EA$391)),"X")))))))))))))))))))))))))))))))</f>
        <v>X</v>
      </c>
      <c r="KN394" s="58" t="str">
        <f t="shared" ref="KN394:LC428" ca="1" si="1714">IF($K394=INDIRECT(CONCATENATE("$AG$"&amp;EB$392)),INDIRECT(CONCATENATE("$AG$"&amp;EB$391)),
IF($K394=INDIRECT(CONCATENATE("$AF$"&amp;EB$392)),INDIRECT(CONCATENATE("$AF$"&amp;EB$391)),
IF($K394=INDIRECT(CONCATENATE("$AE$"&amp;EB$392)),INDIRECT(CONCATENATE("$AE$"&amp;EB$391)),
IF($K394=INDIRECT(CONCATENATE("$AD$"&amp;EB$392)),INDIRECT(CONCATENATE("$AD$"&amp;EB$391)),
IF($K394=INDIRECT(CONCATENATE("$AC$"&amp;EB$392)),INDIRECT(CONCATENATE("$AC$"&amp;EB$391)),
IF($K394=INDIRECT(CONCATENATE("$AB$"&amp;EB$392)),INDIRECT(CONCATENATE("$AB$"&amp;EB$391)),
IF($K394=INDIRECT(CONCATENATE("$AA$"&amp;EB$392)),INDIRECT(CONCATENATE("$AA$"&amp;EB$391)),
IF($K394=INDIRECT(CONCATENATE("$Z$"&amp;EB$392)),INDIRECT(CONCATENATE("$Z$"&amp;EB$391)),
IF($K394=INDIRECT(CONCATENATE("$Y$"&amp;EB$392)),INDIRECT(CONCATENATE("$Y$"&amp;EB$391)),
IF($K394=INDIRECT(CONCATENATE("$X$"&amp;EB$392)),INDIRECT(CONCATENATE("$X$"&amp;EB$391)),
IF($K394=INDIRECT(CONCATENATE("$W$"&amp;EB$392)),INDIRECT(CONCATENATE("$W$"&amp;EB$391)),
IF($K394=INDIRECT(CONCATENATE("$V$"&amp;EB$392)),INDIRECT(CONCATENATE("$V$"&amp;EB$391)),
IF($K394=INDIRECT(CONCATENATE("$U$"&amp;EB$392)),INDIRECT(CONCATENATE("$U$"&amp;EB$391)),
IF($K394=INDIRECT(CONCATENATE("$T$"&amp;EB$392)),INDIRECT(CONCATENATE("$T$"&amp;EB$391)),
IF($K394=INDIRECT(CONCATENATE("$S$"&amp;EB$392)),INDIRECT(CONCATENATE("$S$"&amp;EB$391)),
IF($K394=INDIRECT(CONCATENATE("$R$"&amp;EB$392)),INDIRECT(CONCATENATE("$R$"&amp;EB$391)),
IF($K394=INDIRECT(CONCATENATE("$Q$"&amp;EB$392)),INDIRECT(CONCATENATE("$Q$"&amp;EB$391)),
IF($K394=INDIRECT(CONCATENATE("$P$"&amp;EB$392)),INDIRECT(CONCATENATE("$P$"&amp;EB$391)),
IF($K394=INDIRECT(CONCATENATE("$O$"&amp;EB$392)),INDIRECT(CONCATENATE("$O$"&amp;EB$391)),
IF($K394=INDIRECT(CONCATENATE("$N$"&amp;EB$392)),INDIRECT(CONCATENATE("$N$"&amp;EB$391)),
IF($K394=INDIRECT(CONCATENATE("$M$"&amp;EB$392)),INDIRECT(CONCATENATE("$M$"&amp;EB$391)),
IF($K394=INDIRECT(CONCATENATE("$L$"&amp;EB$392)),INDIRECT(CONCATENATE("$L$"&amp;EB$391)),
IF($K394=INDIRECT(CONCATENATE("$K$"&amp;EB$392)),INDIRECT(CONCATENATE("$K$"&amp;EB$391)),
IF($K394=INDIRECT(CONCATENATE("$J$"&amp;EB$392)),INDIRECT(CONCATENATE("$J$"&amp;EB$391)),
IF($K394=INDIRECT(CONCATENATE("$I$"&amp;EB$392)),INDIRECT(CONCATENATE("$I$"&amp;EB$391)),
IF($K394=INDIRECT(CONCATENATE("$H$"&amp;EB$392)),INDIRECT(CONCATENATE("$H$"&amp;EB$391)),
IF($K394=INDIRECT(CONCATENATE("$G$"&amp;EB$392)),INDIRECT(CONCATENATE("$G$"&amp;EB$391)),
IF($K394=INDIRECT(CONCATENATE("$F$"&amp;EB$392)),INDIRECT(CONCATENATE("$F$"&amp;EB$391)),
IF($K394=INDIRECT(CONCATENATE("$E$"&amp;EB$392)),INDIRECT(CONCATENATE("$E$"&amp;EB$391)),
IF($K394=INDIRECT(CONCATENATE("$D$"&amp;EB$392)),INDIRECT(CONCATENATE("$D$"&amp;EB$391)),
IF($K394=INDIRECT(CONCATENATE("$C$"&amp;EB$392)),INDIRECT(CONCATENATE("$C$"&amp;EB$391)),"X")))))))))))))))))))))))))))))))</f>
        <v>X</v>
      </c>
      <c r="KO394" s="58" t="str">
        <f t="shared" ref="KO394:KO428" ca="1" si="1715">IF($K394=INDIRECT(CONCATENATE("$AG$"&amp;EC$392)),INDIRECT(CONCATENATE("$AG$"&amp;EC$391)),
IF($K394=INDIRECT(CONCATENATE("$AF$"&amp;EC$392)),INDIRECT(CONCATENATE("$AF$"&amp;EC$391)),
IF($K394=INDIRECT(CONCATENATE("$AE$"&amp;EC$392)),INDIRECT(CONCATENATE("$AE$"&amp;EC$391)),
IF($K394=INDIRECT(CONCATENATE("$AD$"&amp;EC$392)),INDIRECT(CONCATENATE("$AD$"&amp;EC$391)),
IF($K394=INDIRECT(CONCATENATE("$AC$"&amp;EC$392)),INDIRECT(CONCATENATE("$AC$"&amp;EC$391)),
IF($K394=INDIRECT(CONCATENATE("$AB$"&amp;EC$392)),INDIRECT(CONCATENATE("$AB$"&amp;EC$391)),
IF($K394=INDIRECT(CONCATENATE("$AA$"&amp;EC$392)),INDIRECT(CONCATENATE("$AA$"&amp;EC$391)),
IF($K394=INDIRECT(CONCATENATE("$Z$"&amp;EC$392)),INDIRECT(CONCATENATE("$Z$"&amp;EC$391)),
IF($K394=INDIRECT(CONCATENATE("$Y$"&amp;EC$392)),INDIRECT(CONCATENATE("$Y$"&amp;EC$391)),
IF($K394=INDIRECT(CONCATENATE("$X$"&amp;EC$392)),INDIRECT(CONCATENATE("$X$"&amp;EC$391)),
IF($K394=INDIRECT(CONCATENATE("$W$"&amp;EC$392)),INDIRECT(CONCATENATE("$W$"&amp;EC$391)),
IF($K394=INDIRECT(CONCATENATE("$V$"&amp;EC$392)),INDIRECT(CONCATENATE("$V$"&amp;EC$391)),
IF($K394=INDIRECT(CONCATENATE("$U$"&amp;EC$392)),INDIRECT(CONCATENATE("$U$"&amp;EC$391)),
IF($K394=INDIRECT(CONCATENATE("$T$"&amp;EC$392)),INDIRECT(CONCATENATE("$T$"&amp;EC$391)),
IF($K394=INDIRECT(CONCATENATE("$S$"&amp;EC$392)),INDIRECT(CONCATENATE("$S$"&amp;EC$391)),
IF($K394=INDIRECT(CONCATENATE("$R$"&amp;EC$392)),INDIRECT(CONCATENATE("$R$"&amp;EC$391)),
IF($K394=INDIRECT(CONCATENATE("$Q$"&amp;EC$392)),INDIRECT(CONCATENATE("$Q$"&amp;EC$391)),
IF($K394=INDIRECT(CONCATENATE("$P$"&amp;EC$392)),INDIRECT(CONCATENATE("$P$"&amp;EC$391)),
IF($K394=INDIRECT(CONCATENATE("$O$"&amp;EC$392)),INDIRECT(CONCATENATE("$O$"&amp;EC$391)),
IF($K394=INDIRECT(CONCATENATE("$N$"&amp;EC$392)),INDIRECT(CONCATENATE("$N$"&amp;EC$391)),
IF($K394=INDIRECT(CONCATENATE("$M$"&amp;EC$392)),INDIRECT(CONCATENATE("$M$"&amp;EC$391)),
IF($K394=INDIRECT(CONCATENATE("$L$"&amp;EC$392)),INDIRECT(CONCATENATE("$L$"&amp;EC$391)),
IF($K394=INDIRECT(CONCATENATE("$K$"&amp;EC$392)),INDIRECT(CONCATENATE("$K$"&amp;EC$391)),
IF($K394=INDIRECT(CONCATENATE("$J$"&amp;EC$392)),INDIRECT(CONCATENATE("$J$"&amp;EC$391)),
IF($K394=INDIRECT(CONCATENATE("$I$"&amp;EC$392)),INDIRECT(CONCATENATE("$I$"&amp;EC$391)),
IF($K394=INDIRECT(CONCATENATE("$H$"&amp;EC$392)),INDIRECT(CONCATENATE("$H$"&amp;EC$391)),
IF($K394=INDIRECT(CONCATENATE("$G$"&amp;EC$392)),INDIRECT(CONCATENATE("$G$"&amp;EC$391)),
IF($K394=INDIRECT(CONCATENATE("$F$"&amp;EC$392)),INDIRECT(CONCATENATE("$F$"&amp;EC$391)),
IF($K394=INDIRECT(CONCATENATE("$E$"&amp;EC$392)),INDIRECT(CONCATENATE("$E$"&amp;EC$391)),
IF($K394=INDIRECT(CONCATENATE("$D$"&amp;EC$392)),INDIRECT(CONCATENATE("$D$"&amp;EC$391)),
IF($K394=INDIRECT(CONCATENATE("$C$"&amp;EC$392)),INDIRECT(CONCATENATE("$C$"&amp;EC$391)),"X")))))))))))))))))))))))))))))))</f>
        <v>X</v>
      </c>
      <c r="KP394" s="58" t="str">
        <f t="shared" ref="KP394:KP428" ca="1" si="1716">IF($K394=INDIRECT(CONCATENATE("$AG$"&amp;ED$392)),INDIRECT(CONCATENATE("$AG$"&amp;ED$391)),
IF($K394=INDIRECT(CONCATENATE("$AF$"&amp;ED$392)),INDIRECT(CONCATENATE("$AF$"&amp;ED$391)),
IF($K394=INDIRECT(CONCATENATE("$AE$"&amp;ED$392)),INDIRECT(CONCATENATE("$AE$"&amp;ED$391)),
IF($K394=INDIRECT(CONCATENATE("$AD$"&amp;ED$392)),INDIRECT(CONCATENATE("$AD$"&amp;ED$391)),
IF($K394=INDIRECT(CONCATENATE("$AC$"&amp;ED$392)),INDIRECT(CONCATENATE("$AC$"&amp;ED$391)),
IF($K394=INDIRECT(CONCATENATE("$AB$"&amp;ED$392)),INDIRECT(CONCATENATE("$AB$"&amp;ED$391)),
IF($K394=INDIRECT(CONCATENATE("$AA$"&amp;ED$392)),INDIRECT(CONCATENATE("$AA$"&amp;ED$391)),
IF($K394=INDIRECT(CONCATENATE("$Z$"&amp;ED$392)),INDIRECT(CONCATENATE("$Z$"&amp;ED$391)),
IF($K394=INDIRECT(CONCATENATE("$Y$"&amp;ED$392)),INDIRECT(CONCATENATE("$Y$"&amp;ED$391)),
IF($K394=INDIRECT(CONCATENATE("$X$"&amp;ED$392)),INDIRECT(CONCATENATE("$X$"&amp;ED$391)),
IF($K394=INDIRECT(CONCATENATE("$W$"&amp;ED$392)),INDIRECT(CONCATENATE("$W$"&amp;ED$391)),
IF($K394=INDIRECT(CONCATENATE("$V$"&amp;ED$392)),INDIRECT(CONCATENATE("$V$"&amp;ED$391)),
IF($K394=INDIRECT(CONCATENATE("$U$"&amp;ED$392)),INDIRECT(CONCATENATE("$U$"&amp;ED$391)),
IF($K394=INDIRECT(CONCATENATE("$T$"&amp;ED$392)),INDIRECT(CONCATENATE("$T$"&amp;ED$391)),
IF($K394=INDIRECT(CONCATENATE("$S$"&amp;ED$392)),INDIRECT(CONCATENATE("$S$"&amp;ED$391)),
IF($K394=INDIRECT(CONCATENATE("$R$"&amp;ED$392)),INDIRECT(CONCATENATE("$R$"&amp;ED$391)),
IF($K394=INDIRECT(CONCATENATE("$Q$"&amp;ED$392)),INDIRECT(CONCATENATE("$Q$"&amp;ED$391)),
IF($K394=INDIRECT(CONCATENATE("$P$"&amp;ED$392)),INDIRECT(CONCATENATE("$P$"&amp;ED$391)),
IF($K394=INDIRECT(CONCATENATE("$O$"&amp;ED$392)),INDIRECT(CONCATENATE("$O$"&amp;ED$391)),
IF($K394=INDIRECT(CONCATENATE("$N$"&amp;ED$392)),INDIRECT(CONCATENATE("$N$"&amp;ED$391)),
IF($K394=INDIRECT(CONCATENATE("$M$"&amp;ED$392)),INDIRECT(CONCATENATE("$M$"&amp;ED$391)),
IF($K394=INDIRECT(CONCATENATE("$L$"&amp;ED$392)),INDIRECT(CONCATENATE("$L$"&amp;ED$391)),
IF($K394=INDIRECT(CONCATENATE("$K$"&amp;ED$392)),INDIRECT(CONCATENATE("$K$"&amp;ED$391)),
IF($K394=INDIRECT(CONCATENATE("$J$"&amp;ED$392)),INDIRECT(CONCATENATE("$J$"&amp;ED$391)),
IF($K394=INDIRECT(CONCATENATE("$I$"&amp;ED$392)),INDIRECT(CONCATENATE("$I$"&amp;ED$391)),
IF($K394=INDIRECT(CONCATENATE("$H$"&amp;ED$392)),INDIRECT(CONCATENATE("$H$"&amp;ED$391)),
IF($K394=INDIRECT(CONCATENATE("$G$"&amp;ED$392)),INDIRECT(CONCATENATE("$G$"&amp;ED$391)),
IF($K394=INDIRECT(CONCATENATE("$F$"&amp;ED$392)),INDIRECT(CONCATENATE("$F$"&amp;ED$391)),
IF($K394=INDIRECT(CONCATENATE("$E$"&amp;ED$392)),INDIRECT(CONCATENATE("$E$"&amp;ED$391)),
IF($K394=INDIRECT(CONCATENATE("$D$"&amp;ED$392)),INDIRECT(CONCATENATE("$D$"&amp;ED$391)),
IF($K394=INDIRECT(CONCATENATE("$C$"&amp;ED$392)),INDIRECT(CONCATENATE("$C$"&amp;ED$391)),"X")))))))))))))))))))))))))))))))</f>
        <v>X</v>
      </c>
      <c r="KQ394" s="58" t="str">
        <f t="shared" ref="KQ394:KQ428" ca="1" si="1717">IF($K394=INDIRECT(CONCATENATE("$AG$"&amp;EE$392)),INDIRECT(CONCATENATE("$AG$"&amp;EE$391)),
IF($K394=INDIRECT(CONCATENATE("$AF$"&amp;EE$392)),INDIRECT(CONCATENATE("$AF$"&amp;EE$391)),
IF($K394=INDIRECT(CONCATENATE("$AE$"&amp;EE$392)),INDIRECT(CONCATENATE("$AE$"&amp;EE$391)),
IF($K394=INDIRECT(CONCATENATE("$AD$"&amp;EE$392)),INDIRECT(CONCATENATE("$AD$"&amp;EE$391)),
IF($K394=INDIRECT(CONCATENATE("$AC$"&amp;EE$392)),INDIRECT(CONCATENATE("$AC$"&amp;EE$391)),
IF($K394=INDIRECT(CONCATENATE("$AB$"&amp;EE$392)),INDIRECT(CONCATENATE("$AB$"&amp;EE$391)),
IF($K394=INDIRECT(CONCATENATE("$AA$"&amp;EE$392)),INDIRECT(CONCATENATE("$AA$"&amp;EE$391)),
IF($K394=INDIRECT(CONCATENATE("$Z$"&amp;EE$392)),INDIRECT(CONCATENATE("$Z$"&amp;EE$391)),
IF($K394=INDIRECT(CONCATENATE("$Y$"&amp;EE$392)),INDIRECT(CONCATENATE("$Y$"&amp;EE$391)),
IF($K394=INDIRECT(CONCATENATE("$X$"&amp;EE$392)),INDIRECT(CONCATENATE("$X$"&amp;EE$391)),
IF($K394=INDIRECT(CONCATENATE("$W$"&amp;EE$392)),INDIRECT(CONCATENATE("$W$"&amp;EE$391)),
IF($K394=INDIRECT(CONCATENATE("$V$"&amp;EE$392)),INDIRECT(CONCATENATE("$V$"&amp;EE$391)),
IF($K394=INDIRECT(CONCATENATE("$U$"&amp;EE$392)),INDIRECT(CONCATENATE("$U$"&amp;EE$391)),
IF($K394=INDIRECT(CONCATENATE("$T$"&amp;EE$392)),INDIRECT(CONCATENATE("$T$"&amp;EE$391)),
IF($K394=INDIRECT(CONCATENATE("$S$"&amp;EE$392)),INDIRECT(CONCATENATE("$S$"&amp;EE$391)),
IF($K394=INDIRECT(CONCATENATE("$R$"&amp;EE$392)),INDIRECT(CONCATENATE("$R$"&amp;EE$391)),
IF($K394=INDIRECT(CONCATENATE("$Q$"&amp;EE$392)),INDIRECT(CONCATENATE("$Q$"&amp;EE$391)),
IF($K394=INDIRECT(CONCATENATE("$P$"&amp;EE$392)),INDIRECT(CONCATENATE("$P$"&amp;EE$391)),
IF($K394=INDIRECT(CONCATENATE("$O$"&amp;EE$392)),INDIRECT(CONCATENATE("$O$"&amp;EE$391)),
IF($K394=INDIRECT(CONCATENATE("$N$"&amp;EE$392)),INDIRECT(CONCATENATE("$N$"&amp;EE$391)),
IF($K394=INDIRECT(CONCATENATE("$M$"&amp;EE$392)),INDIRECT(CONCATENATE("$M$"&amp;EE$391)),
IF($K394=INDIRECT(CONCATENATE("$L$"&amp;EE$392)),INDIRECT(CONCATENATE("$L$"&amp;EE$391)),
IF($K394=INDIRECT(CONCATENATE("$K$"&amp;EE$392)),INDIRECT(CONCATENATE("$K$"&amp;EE$391)),
IF($K394=INDIRECT(CONCATENATE("$J$"&amp;EE$392)),INDIRECT(CONCATENATE("$J$"&amp;EE$391)),
IF($K394=INDIRECT(CONCATENATE("$I$"&amp;EE$392)),INDIRECT(CONCATENATE("$I$"&amp;EE$391)),
IF($K394=INDIRECT(CONCATENATE("$H$"&amp;EE$392)),INDIRECT(CONCATENATE("$H$"&amp;EE$391)),
IF($K394=INDIRECT(CONCATENATE("$G$"&amp;EE$392)),INDIRECT(CONCATENATE("$G$"&amp;EE$391)),
IF($K394=INDIRECT(CONCATENATE("$F$"&amp;EE$392)),INDIRECT(CONCATENATE("$F$"&amp;EE$391)),
IF($K394=INDIRECT(CONCATENATE("$E$"&amp;EE$392)),INDIRECT(CONCATENATE("$E$"&amp;EE$391)),
IF($K394=INDIRECT(CONCATENATE("$D$"&amp;EE$392)),INDIRECT(CONCATENATE("$D$"&amp;EE$391)),
IF($K394=INDIRECT(CONCATENATE("$C$"&amp;EE$392)),INDIRECT(CONCATENATE("$C$"&amp;EE$391)),"X")))))))))))))))))))))))))))))))</f>
        <v>X</v>
      </c>
      <c r="KR394" s="58" t="str">
        <f t="shared" ref="KR394:KR428" ca="1" si="1718">IF($K394=INDIRECT(CONCATENATE("$AG$"&amp;EF$392)),INDIRECT(CONCATENATE("$AG$"&amp;EF$391)),
IF($K394=INDIRECT(CONCATENATE("$AF$"&amp;EF$392)),INDIRECT(CONCATENATE("$AF$"&amp;EF$391)),
IF($K394=INDIRECT(CONCATENATE("$AE$"&amp;EF$392)),INDIRECT(CONCATENATE("$AE$"&amp;EF$391)),
IF($K394=INDIRECT(CONCATENATE("$AD$"&amp;EF$392)),INDIRECT(CONCATENATE("$AD$"&amp;EF$391)),
IF($K394=INDIRECT(CONCATENATE("$AC$"&amp;EF$392)),INDIRECT(CONCATENATE("$AC$"&amp;EF$391)),
IF($K394=INDIRECT(CONCATENATE("$AB$"&amp;EF$392)),INDIRECT(CONCATENATE("$AB$"&amp;EF$391)),
IF($K394=INDIRECT(CONCATENATE("$AA$"&amp;EF$392)),INDIRECT(CONCATENATE("$AA$"&amp;EF$391)),
IF($K394=INDIRECT(CONCATENATE("$Z$"&amp;EF$392)),INDIRECT(CONCATENATE("$Z$"&amp;EF$391)),
IF($K394=INDIRECT(CONCATENATE("$Y$"&amp;EF$392)),INDIRECT(CONCATENATE("$Y$"&amp;EF$391)),
IF($K394=INDIRECT(CONCATENATE("$X$"&amp;EF$392)),INDIRECT(CONCATENATE("$X$"&amp;EF$391)),
IF($K394=INDIRECT(CONCATENATE("$W$"&amp;EF$392)),INDIRECT(CONCATENATE("$W$"&amp;EF$391)),
IF($K394=INDIRECT(CONCATENATE("$V$"&amp;EF$392)),INDIRECT(CONCATENATE("$V$"&amp;EF$391)),
IF($K394=INDIRECT(CONCATENATE("$U$"&amp;EF$392)),INDIRECT(CONCATENATE("$U$"&amp;EF$391)),
IF($K394=INDIRECT(CONCATENATE("$T$"&amp;EF$392)),INDIRECT(CONCATENATE("$T$"&amp;EF$391)),
IF($K394=INDIRECT(CONCATENATE("$S$"&amp;EF$392)),INDIRECT(CONCATENATE("$S$"&amp;EF$391)),
IF($K394=INDIRECT(CONCATENATE("$R$"&amp;EF$392)),INDIRECT(CONCATENATE("$R$"&amp;EF$391)),
IF($K394=INDIRECT(CONCATENATE("$Q$"&amp;EF$392)),INDIRECT(CONCATENATE("$Q$"&amp;EF$391)),
IF($K394=INDIRECT(CONCATENATE("$P$"&amp;EF$392)),INDIRECT(CONCATENATE("$P$"&amp;EF$391)),
IF($K394=INDIRECT(CONCATENATE("$O$"&amp;EF$392)),INDIRECT(CONCATENATE("$O$"&amp;EF$391)),
IF($K394=INDIRECT(CONCATENATE("$N$"&amp;EF$392)),INDIRECT(CONCATENATE("$N$"&amp;EF$391)),
IF($K394=INDIRECT(CONCATENATE("$M$"&amp;EF$392)),INDIRECT(CONCATENATE("$M$"&amp;EF$391)),
IF($K394=INDIRECT(CONCATENATE("$L$"&amp;EF$392)),INDIRECT(CONCATENATE("$L$"&amp;EF$391)),
IF($K394=INDIRECT(CONCATENATE("$K$"&amp;EF$392)),INDIRECT(CONCATENATE("$K$"&amp;EF$391)),
IF($K394=INDIRECT(CONCATENATE("$J$"&amp;EF$392)),INDIRECT(CONCATENATE("$J$"&amp;EF$391)),
IF($K394=INDIRECT(CONCATENATE("$I$"&amp;EF$392)),INDIRECT(CONCATENATE("$I$"&amp;EF$391)),
IF($K394=INDIRECT(CONCATENATE("$H$"&amp;EF$392)),INDIRECT(CONCATENATE("$H$"&amp;EF$391)),
IF($K394=INDIRECT(CONCATENATE("$G$"&amp;EF$392)),INDIRECT(CONCATENATE("$G$"&amp;EF$391)),
IF($K394=INDIRECT(CONCATENATE("$F$"&amp;EF$392)),INDIRECT(CONCATENATE("$F$"&amp;EF$391)),
IF($K394=INDIRECT(CONCATENATE("$E$"&amp;EF$392)),INDIRECT(CONCATENATE("$E$"&amp;EF$391)),
IF($K394=INDIRECT(CONCATENATE("$D$"&amp;EF$392)),INDIRECT(CONCATENATE("$D$"&amp;EF$391)),
IF($K394=INDIRECT(CONCATENATE("$C$"&amp;EF$392)),INDIRECT(CONCATENATE("$C$"&amp;EF$391)),"X")))))))))))))))))))))))))))))))</f>
        <v>X</v>
      </c>
      <c r="KS394" s="58" t="str">
        <f t="shared" ref="KS394:KS428" ca="1" si="1719">IF($K394=INDIRECT(CONCATENATE("$AG$"&amp;EG$392)),INDIRECT(CONCATENATE("$AG$"&amp;EG$391)),
IF($K394=INDIRECT(CONCATENATE("$AF$"&amp;EG$392)),INDIRECT(CONCATENATE("$AF$"&amp;EG$391)),
IF($K394=INDIRECT(CONCATENATE("$AE$"&amp;EG$392)),INDIRECT(CONCATENATE("$AE$"&amp;EG$391)),
IF($K394=INDIRECT(CONCATENATE("$AD$"&amp;EG$392)),INDIRECT(CONCATENATE("$AD$"&amp;EG$391)),
IF($K394=INDIRECT(CONCATENATE("$AC$"&amp;EG$392)),INDIRECT(CONCATENATE("$AC$"&amp;EG$391)),
IF($K394=INDIRECT(CONCATENATE("$AB$"&amp;EG$392)),INDIRECT(CONCATENATE("$AB$"&amp;EG$391)),
IF($K394=INDIRECT(CONCATENATE("$AA$"&amp;EG$392)),INDIRECT(CONCATENATE("$AA$"&amp;EG$391)),
IF($K394=INDIRECT(CONCATENATE("$Z$"&amp;EG$392)),INDIRECT(CONCATENATE("$Z$"&amp;EG$391)),
IF($K394=INDIRECT(CONCATENATE("$Y$"&amp;EG$392)),INDIRECT(CONCATENATE("$Y$"&amp;EG$391)),
IF($K394=INDIRECT(CONCATENATE("$X$"&amp;EG$392)),INDIRECT(CONCATENATE("$X$"&amp;EG$391)),
IF($K394=INDIRECT(CONCATENATE("$W$"&amp;EG$392)),INDIRECT(CONCATENATE("$W$"&amp;EG$391)),
IF($K394=INDIRECT(CONCATENATE("$V$"&amp;EG$392)),INDIRECT(CONCATENATE("$V$"&amp;EG$391)),
IF($K394=INDIRECT(CONCATENATE("$U$"&amp;EG$392)),INDIRECT(CONCATENATE("$U$"&amp;EG$391)),
IF($K394=INDIRECT(CONCATENATE("$T$"&amp;EG$392)),INDIRECT(CONCATENATE("$T$"&amp;EG$391)),
IF($K394=INDIRECT(CONCATENATE("$S$"&amp;EG$392)),INDIRECT(CONCATENATE("$S$"&amp;EG$391)),
IF($K394=INDIRECT(CONCATENATE("$R$"&amp;EG$392)),INDIRECT(CONCATENATE("$R$"&amp;EG$391)),
IF($K394=INDIRECT(CONCATENATE("$Q$"&amp;EG$392)),INDIRECT(CONCATENATE("$Q$"&amp;EG$391)),
IF($K394=INDIRECT(CONCATENATE("$P$"&amp;EG$392)),INDIRECT(CONCATENATE("$P$"&amp;EG$391)),
IF($K394=INDIRECT(CONCATENATE("$O$"&amp;EG$392)),INDIRECT(CONCATENATE("$O$"&amp;EG$391)),
IF($K394=INDIRECT(CONCATENATE("$N$"&amp;EG$392)),INDIRECT(CONCATENATE("$N$"&amp;EG$391)),
IF($K394=INDIRECT(CONCATENATE("$M$"&amp;EG$392)),INDIRECT(CONCATENATE("$M$"&amp;EG$391)),
IF($K394=INDIRECT(CONCATENATE("$L$"&amp;EG$392)),INDIRECT(CONCATENATE("$L$"&amp;EG$391)),
IF($K394=INDIRECT(CONCATENATE("$K$"&amp;EG$392)),INDIRECT(CONCATENATE("$K$"&amp;EG$391)),
IF($K394=INDIRECT(CONCATENATE("$J$"&amp;EG$392)),INDIRECT(CONCATENATE("$J$"&amp;EG$391)),
IF($K394=INDIRECT(CONCATENATE("$I$"&amp;EG$392)),INDIRECT(CONCATENATE("$I$"&amp;EG$391)),
IF($K394=INDIRECT(CONCATENATE("$H$"&amp;EG$392)),INDIRECT(CONCATENATE("$H$"&amp;EG$391)),
IF($K394=INDIRECT(CONCATENATE("$G$"&amp;EG$392)),INDIRECT(CONCATENATE("$G$"&amp;EG$391)),
IF($K394=INDIRECT(CONCATENATE("$F$"&amp;EG$392)),INDIRECT(CONCATENATE("$F$"&amp;EG$391)),
IF($K394=INDIRECT(CONCATENATE("$E$"&amp;EG$392)),INDIRECT(CONCATENATE("$E$"&amp;EG$391)),
IF($K394=INDIRECT(CONCATENATE("$D$"&amp;EG$392)),INDIRECT(CONCATENATE("$D$"&amp;EG$391)),
IF($K394=INDIRECT(CONCATENATE("$C$"&amp;EG$392)),INDIRECT(CONCATENATE("$C$"&amp;EG$391)),"X")))))))))))))))))))))))))))))))</f>
        <v>X</v>
      </c>
      <c r="KT394" s="58" t="str">
        <f t="shared" ref="KT394:KT428" ca="1" si="1720">IF($K394=INDIRECT(CONCATENATE("$AG$"&amp;EH$392)),INDIRECT(CONCATENATE("$AG$"&amp;EH$391)),
IF($K394=INDIRECT(CONCATENATE("$AF$"&amp;EH$392)),INDIRECT(CONCATENATE("$AF$"&amp;EH$391)),
IF($K394=INDIRECT(CONCATENATE("$AE$"&amp;EH$392)),INDIRECT(CONCATENATE("$AE$"&amp;EH$391)),
IF($K394=INDIRECT(CONCATENATE("$AD$"&amp;EH$392)),INDIRECT(CONCATENATE("$AD$"&amp;EH$391)),
IF($K394=INDIRECT(CONCATENATE("$AC$"&amp;EH$392)),INDIRECT(CONCATENATE("$AC$"&amp;EH$391)),
IF($K394=INDIRECT(CONCATENATE("$AB$"&amp;EH$392)),INDIRECT(CONCATENATE("$AB$"&amp;EH$391)),
IF($K394=INDIRECT(CONCATENATE("$AA$"&amp;EH$392)),INDIRECT(CONCATENATE("$AA$"&amp;EH$391)),
IF($K394=INDIRECT(CONCATENATE("$Z$"&amp;EH$392)),INDIRECT(CONCATENATE("$Z$"&amp;EH$391)),
IF($K394=INDIRECT(CONCATENATE("$Y$"&amp;EH$392)),INDIRECT(CONCATENATE("$Y$"&amp;EH$391)),
IF($K394=INDIRECT(CONCATENATE("$X$"&amp;EH$392)),INDIRECT(CONCATENATE("$X$"&amp;EH$391)),
IF($K394=INDIRECT(CONCATENATE("$W$"&amp;EH$392)),INDIRECT(CONCATENATE("$W$"&amp;EH$391)),
IF($K394=INDIRECT(CONCATENATE("$V$"&amp;EH$392)),INDIRECT(CONCATENATE("$V$"&amp;EH$391)),
IF($K394=INDIRECT(CONCATENATE("$U$"&amp;EH$392)),INDIRECT(CONCATENATE("$U$"&amp;EH$391)),
IF($K394=INDIRECT(CONCATENATE("$T$"&amp;EH$392)),INDIRECT(CONCATENATE("$T$"&amp;EH$391)),
IF($K394=INDIRECT(CONCATENATE("$S$"&amp;EH$392)),INDIRECT(CONCATENATE("$S$"&amp;EH$391)),
IF($K394=INDIRECT(CONCATENATE("$R$"&amp;EH$392)),INDIRECT(CONCATENATE("$R$"&amp;EH$391)),
IF($K394=INDIRECT(CONCATENATE("$Q$"&amp;EH$392)),INDIRECT(CONCATENATE("$Q$"&amp;EH$391)),
IF($K394=INDIRECT(CONCATENATE("$P$"&amp;EH$392)),INDIRECT(CONCATENATE("$P$"&amp;EH$391)),
IF($K394=INDIRECT(CONCATENATE("$O$"&amp;EH$392)),INDIRECT(CONCATENATE("$O$"&amp;EH$391)),
IF($K394=INDIRECT(CONCATENATE("$N$"&amp;EH$392)),INDIRECT(CONCATENATE("$N$"&amp;EH$391)),
IF($K394=INDIRECT(CONCATENATE("$M$"&amp;EH$392)),INDIRECT(CONCATENATE("$M$"&amp;EH$391)),
IF($K394=INDIRECT(CONCATENATE("$L$"&amp;EH$392)),INDIRECT(CONCATENATE("$L$"&amp;EH$391)),
IF($K394=INDIRECT(CONCATENATE("$K$"&amp;EH$392)),INDIRECT(CONCATENATE("$K$"&amp;EH$391)),
IF($K394=INDIRECT(CONCATENATE("$J$"&amp;EH$392)),INDIRECT(CONCATENATE("$J$"&amp;EH$391)),
IF($K394=INDIRECT(CONCATENATE("$I$"&amp;EH$392)),INDIRECT(CONCATENATE("$I$"&amp;EH$391)),
IF($K394=INDIRECT(CONCATENATE("$H$"&amp;EH$392)),INDIRECT(CONCATENATE("$H$"&amp;EH$391)),
IF($K394=INDIRECT(CONCATENATE("$G$"&amp;EH$392)),INDIRECT(CONCATENATE("$G$"&amp;EH$391)),
IF($K394=INDIRECT(CONCATENATE("$F$"&amp;EH$392)),INDIRECT(CONCATENATE("$F$"&amp;EH$391)),
IF($K394=INDIRECT(CONCATENATE("$E$"&amp;EH$392)),INDIRECT(CONCATENATE("$E$"&amp;EH$391)),
IF($K394=INDIRECT(CONCATENATE("$D$"&amp;EH$392)),INDIRECT(CONCATENATE("$D$"&amp;EH$391)),
IF($K394=INDIRECT(CONCATENATE("$C$"&amp;EH$392)),INDIRECT(CONCATENATE("$C$"&amp;EH$391)),"X")))))))))))))))))))))))))))))))</f>
        <v>X</v>
      </c>
      <c r="KU394" s="58" t="str">
        <f t="shared" ref="KU394:KU428" ca="1" si="1721">IF($K394=INDIRECT(CONCATENATE("$AG$"&amp;EI$392)),INDIRECT(CONCATENATE("$AG$"&amp;EI$391)),
IF($K394=INDIRECT(CONCATENATE("$AF$"&amp;EI$392)),INDIRECT(CONCATENATE("$AF$"&amp;EI$391)),
IF($K394=INDIRECT(CONCATENATE("$AE$"&amp;EI$392)),INDIRECT(CONCATENATE("$AE$"&amp;EI$391)),
IF($K394=INDIRECT(CONCATENATE("$AD$"&amp;EI$392)),INDIRECT(CONCATENATE("$AD$"&amp;EI$391)),
IF($K394=INDIRECT(CONCATENATE("$AC$"&amp;EI$392)),INDIRECT(CONCATENATE("$AC$"&amp;EI$391)),
IF($K394=INDIRECT(CONCATENATE("$AB$"&amp;EI$392)),INDIRECT(CONCATENATE("$AB$"&amp;EI$391)),
IF($K394=INDIRECT(CONCATENATE("$AA$"&amp;EI$392)),INDIRECT(CONCATENATE("$AA$"&amp;EI$391)),
IF($K394=INDIRECT(CONCATENATE("$Z$"&amp;EI$392)),INDIRECT(CONCATENATE("$Z$"&amp;EI$391)),
IF($K394=INDIRECT(CONCATENATE("$Y$"&amp;EI$392)),INDIRECT(CONCATENATE("$Y$"&amp;EI$391)),
IF($K394=INDIRECT(CONCATENATE("$X$"&amp;EI$392)),INDIRECT(CONCATENATE("$X$"&amp;EI$391)),
IF($K394=INDIRECT(CONCATENATE("$W$"&amp;EI$392)),INDIRECT(CONCATENATE("$W$"&amp;EI$391)),
IF($K394=INDIRECT(CONCATENATE("$V$"&amp;EI$392)),INDIRECT(CONCATENATE("$V$"&amp;EI$391)),
IF($K394=INDIRECT(CONCATENATE("$U$"&amp;EI$392)),INDIRECT(CONCATENATE("$U$"&amp;EI$391)),
IF($K394=INDIRECT(CONCATENATE("$T$"&amp;EI$392)),INDIRECT(CONCATENATE("$T$"&amp;EI$391)),
IF($K394=INDIRECT(CONCATENATE("$S$"&amp;EI$392)),INDIRECT(CONCATENATE("$S$"&amp;EI$391)),
IF($K394=INDIRECT(CONCATENATE("$R$"&amp;EI$392)),INDIRECT(CONCATENATE("$R$"&amp;EI$391)),
IF($K394=INDIRECT(CONCATENATE("$Q$"&amp;EI$392)),INDIRECT(CONCATENATE("$Q$"&amp;EI$391)),
IF($K394=INDIRECT(CONCATENATE("$P$"&amp;EI$392)),INDIRECT(CONCATENATE("$P$"&amp;EI$391)),
IF($K394=INDIRECT(CONCATENATE("$O$"&amp;EI$392)),INDIRECT(CONCATENATE("$O$"&amp;EI$391)),
IF($K394=INDIRECT(CONCATENATE("$N$"&amp;EI$392)),INDIRECT(CONCATENATE("$N$"&amp;EI$391)),
IF($K394=INDIRECT(CONCATENATE("$M$"&amp;EI$392)),INDIRECT(CONCATENATE("$M$"&amp;EI$391)),
IF($K394=INDIRECT(CONCATENATE("$L$"&amp;EI$392)),INDIRECT(CONCATENATE("$L$"&amp;EI$391)),
IF($K394=INDIRECT(CONCATENATE("$K$"&amp;EI$392)),INDIRECT(CONCATENATE("$K$"&amp;EI$391)),
IF($K394=INDIRECT(CONCATENATE("$J$"&amp;EI$392)),INDIRECT(CONCATENATE("$J$"&amp;EI$391)),
IF($K394=INDIRECT(CONCATENATE("$I$"&amp;EI$392)),INDIRECT(CONCATENATE("$I$"&amp;EI$391)),
IF($K394=INDIRECT(CONCATENATE("$H$"&amp;EI$392)),INDIRECT(CONCATENATE("$H$"&amp;EI$391)),
IF($K394=INDIRECT(CONCATENATE("$G$"&amp;EI$392)),INDIRECT(CONCATENATE("$G$"&amp;EI$391)),
IF($K394=INDIRECT(CONCATENATE("$F$"&amp;EI$392)),INDIRECT(CONCATENATE("$F$"&amp;EI$391)),
IF($K394=INDIRECT(CONCATENATE("$E$"&amp;EI$392)),INDIRECT(CONCATENATE("$E$"&amp;EI$391)),
IF($K394=INDIRECT(CONCATENATE("$D$"&amp;EI$392)),INDIRECT(CONCATENATE("$D$"&amp;EI$391)),
IF($K394=INDIRECT(CONCATENATE("$C$"&amp;EI$392)),INDIRECT(CONCATENATE("$C$"&amp;EI$391)),"X")))))))))))))))))))))))))))))))</f>
        <v>X</v>
      </c>
      <c r="KV394" s="58" t="str">
        <f t="shared" ref="KV394:KV428" ca="1" si="1722">IF($K394=INDIRECT(CONCATENATE("$AG$"&amp;EJ$392)),INDIRECT(CONCATENATE("$AG$"&amp;EJ$391)),
IF($K394=INDIRECT(CONCATENATE("$AF$"&amp;EJ$392)),INDIRECT(CONCATENATE("$AF$"&amp;EJ$391)),
IF($K394=INDIRECT(CONCATENATE("$AE$"&amp;EJ$392)),INDIRECT(CONCATENATE("$AE$"&amp;EJ$391)),
IF($K394=INDIRECT(CONCATENATE("$AD$"&amp;EJ$392)),INDIRECT(CONCATENATE("$AD$"&amp;EJ$391)),
IF($K394=INDIRECT(CONCATENATE("$AC$"&amp;EJ$392)),INDIRECT(CONCATENATE("$AC$"&amp;EJ$391)),
IF($K394=INDIRECT(CONCATENATE("$AB$"&amp;EJ$392)),INDIRECT(CONCATENATE("$AB$"&amp;EJ$391)),
IF($K394=INDIRECT(CONCATENATE("$AA$"&amp;EJ$392)),INDIRECT(CONCATENATE("$AA$"&amp;EJ$391)),
IF($K394=INDIRECT(CONCATENATE("$Z$"&amp;EJ$392)),INDIRECT(CONCATENATE("$Z$"&amp;EJ$391)),
IF($K394=INDIRECT(CONCATENATE("$Y$"&amp;EJ$392)),INDIRECT(CONCATENATE("$Y$"&amp;EJ$391)),
IF($K394=INDIRECT(CONCATENATE("$X$"&amp;EJ$392)),INDIRECT(CONCATENATE("$X$"&amp;EJ$391)),
IF($K394=INDIRECT(CONCATENATE("$W$"&amp;EJ$392)),INDIRECT(CONCATENATE("$W$"&amp;EJ$391)),
IF($K394=INDIRECT(CONCATENATE("$V$"&amp;EJ$392)),INDIRECT(CONCATENATE("$V$"&amp;EJ$391)),
IF($K394=INDIRECT(CONCATENATE("$U$"&amp;EJ$392)),INDIRECT(CONCATENATE("$U$"&amp;EJ$391)),
IF($K394=INDIRECT(CONCATENATE("$T$"&amp;EJ$392)),INDIRECT(CONCATENATE("$T$"&amp;EJ$391)),
IF($K394=INDIRECT(CONCATENATE("$S$"&amp;EJ$392)),INDIRECT(CONCATENATE("$S$"&amp;EJ$391)),
IF($K394=INDIRECT(CONCATENATE("$R$"&amp;EJ$392)),INDIRECT(CONCATENATE("$R$"&amp;EJ$391)),
IF($K394=INDIRECT(CONCATENATE("$Q$"&amp;EJ$392)),INDIRECT(CONCATENATE("$Q$"&amp;EJ$391)),
IF($K394=INDIRECT(CONCATENATE("$P$"&amp;EJ$392)),INDIRECT(CONCATENATE("$P$"&amp;EJ$391)),
IF($K394=INDIRECT(CONCATENATE("$O$"&amp;EJ$392)),INDIRECT(CONCATENATE("$O$"&amp;EJ$391)),
IF($K394=INDIRECT(CONCATENATE("$N$"&amp;EJ$392)),INDIRECT(CONCATENATE("$N$"&amp;EJ$391)),
IF($K394=INDIRECT(CONCATENATE("$M$"&amp;EJ$392)),INDIRECT(CONCATENATE("$M$"&amp;EJ$391)),
IF($K394=INDIRECT(CONCATENATE("$L$"&amp;EJ$392)),INDIRECT(CONCATENATE("$L$"&amp;EJ$391)),
IF($K394=INDIRECT(CONCATENATE("$K$"&amp;EJ$392)),INDIRECT(CONCATENATE("$K$"&amp;EJ$391)),
IF($K394=INDIRECT(CONCATENATE("$J$"&amp;EJ$392)),INDIRECT(CONCATENATE("$J$"&amp;EJ$391)),
IF($K394=INDIRECT(CONCATENATE("$I$"&amp;EJ$392)),INDIRECT(CONCATENATE("$I$"&amp;EJ$391)),
IF($K394=INDIRECT(CONCATENATE("$H$"&amp;EJ$392)),INDIRECT(CONCATENATE("$H$"&amp;EJ$391)),
IF($K394=INDIRECT(CONCATENATE("$G$"&amp;EJ$392)),INDIRECT(CONCATENATE("$G$"&amp;EJ$391)),
IF($K394=INDIRECT(CONCATENATE("$F$"&amp;EJ$392)),INDIRECT(CONCATENATE("$F$"&amp;EJ$391)),
IF($K394=INDIRECT(CONCATENATE("$E$"&amp;EJ$392)),INDIRECT(CONCATENATE("$E$"&amp;EJ$391)),
IF($K394=INDIRECT(CONCATENATE("$D$"&amp;EJ$392)),INDIRECT(CONCATENATE("$D$"&amp;EJ$391)),
IF($K394=INDIRECT(CONCATENATE("$C$"&amp;EJ$392)),INDIRECT(CONCATENATE("$C$"&amp;EJ$391)),"X")))))))))))))))))))))))))))))))</f>
        <v>X</v>
      </c>
      <c r="KW394" s="58" t="str">
        <f t="shared" ref="KW394:KW428" ca="1" si="1723">IF($K394=INDIRECT(CONCATENATE("$AG$"&amp;EK$392)),INDIRECT(CONCATENATE("$AG$"&amp;EK$391)),
IF($K394=INDIRECT(CONCATENATE("$AF$"&amp;EK$392)),INDIRECT(CONCATENATE("$AF$"&amp;EK$391)),
IF($K394=INDIRECT(CONCATENATE("$AE$"&amp;EK$392)),INDIRECT(CONCATENATE("$AE$"&amp;EK$391)),
IF($K394=INDIRECT(CONCATENATE("$AD$"&amp;EK$392)),INDIRECT(CONCATENATE("$AD$"&amp;EK$391)),
IF($K394=INDIRECT(CONCATENATE("$AC$"&amp;EK$392)),INDIRECT(CONCATENATE("$AC$"&amp;EK$391)),
IF($K394=INDIRECT(CONCATENATE("$AB$"&amp;EK$392)),INDIRECT(CONCATENATE("$AB$"&amp;EK$391)),
IF($K394=INDIRECT(CONCATENATE("$AA$"&amp;EK$392)),INDIRECT(CONCATENATE("$AA$"&amp;EK$391)),
IF($K394=INDIRECT(CONCATENATE("$Z$"&amp;EK$392)),INDIRECT(CONCATENATE("$Z$"&amp;EK$391)),
IF($K394=INDIRECT(CONCATENATE("$Y$"&amp;EK$392)),INDIRECT(CONCATENATE("$Y$"&amp;EK$391)),
IF($K394=INDIRECT(CONCATENATE("$X$"&amp;EK$392)),INDIRECT(CONCATENATE("$X$"&amp;EK$391)),
IF($K394=INDIRECT(CONCATENATE("$W$"&amp;EK$392)),INDIRECT(CONCATENATE("$W$"&amp;EK$391)),
IF($K394=INDIRECT(CONCATENATE("$V$"&amp;EK$392)),INDIRECT(CONCATENATE("$V$"&amp;EK$391)),
IF($K394=INDIRECT(CONCATENATE("$U$"&amp;EK$392)),INDIRECT(CONCATENATE("$U$"&amp;EK$391)),
IF($K394=INDIRECT(CONCATENATE("$T$"&amp;EK$392)),INDIRECT(CONCATENATE("$T$"&amp;EK$391)),
IF($K394=INDIRECT(CONCATENATE("$S$"&amp;EK$392)),INDIRECT(CONCATENATE("$S$"&amp;EK$391)),
IF($K394=INDIRECT(CONCATENATE("$R$"&amp;EK$392)),INDIRECT(CONCATENATE("$R$"&amp;EK$391)),
IF($K394=INDIRECT(CONCATENATE("$Q$"&amp;EK$392)),INDIRECT(CONCATENATE("$Q$"&amp;EK$391)),
IF($K394=INDIRECT(CONCATENATE("$P$"&amp;EK$392)),INDIRECT(CONCATENATE("$P$"&amp;EK$391)),
IF($K394=INDIRECT(CONCATENATE("$O$"&amp;EK$392)),INDIRECT(CONCATENATE("$O$"&amp;EK$391)),
IF($K394=INDIRECT(CONCATENATE("$N$"&amp;EK$392)),INDIRECT(CONCATENATE("$N$"&amp;EK$391)),
IF($K394=INDIRECT(CONCATENATE("$M$"&amp;EK$392)),INDIRECT(CONCATENATE("$M$"&amp;EK$391)),
IF($K394=INDIRECT(CONCATENATE("$L$"&amp;EK$392)),INDIRECT(CONCATENATE("$L$"&amp;EK$391)),
IF($K394=INDIRECT(CONCATENATE("$K$"&amp;EK$392)),INDIRECT(CONCATENATE("$K$"&amp;EK$391)),
IF($K394=INDIRECT(CONCATENATE("$J$"&amp;EK$392)),INDIRECT(CONCATENATE("$J$"&amp;EK$391)),
IF($K394=INDIRECT(CONCATENATE("$I$"&amp;EK$392)),INDIRECT(CONCATENATE("$I$"&amp;EK$391)),
IF($K394=INDIRECT(CONCATENATE("$H$"&amp;EK$392)),INDIRECT(CONCATENATE("$H$"&amp;EK$391)),
IF($K394=INDIRECT(CONCATENATE("$G$"&amp;EK$392)),INDIRECT(CONCATENATE("$G$"&amp;EK$391)),
IF($K394=INDIRECT(CONCATENATE("$F$"&amp;EK$392)),INDIRECT(CONCATENATE("$F$"&amp;EK$391)),
IF($K394=INDIRECT(CONCATENATE("$E$"&amp;EK$392)),INDIRECT(CONCATENATE("$E$"&amp;EK$391)),
IF($K394=INDIRECT(CONCATENATE("$D$"&amp;EK$392)),INDIRECT(CONCATENATE("$D$"&amp;EK$391)),
IF($K394=INDIRECT(CONCATENATE("$C$"&amp;EK$392)),INDIRECT(CONCATENATE("$C$"&amp;EK$391)),"X")))))))))))))))))))))))))))))))</f>
        <v>X</v>
      </c>
      <c r="KX394" s="58" t="str">
        <f t="shared" ref="KX394:KX428" ca="1" si="1724">IF($K394=INDIRECT(CONCATENATE("$AG$"&amp;EL$392)),INDIRECT(CONCATENATE("$AG$"&amp;EL$391)),
IF($K394=INDIRECT(CONCATENATE("$AF$"&amp;EL$392)),INDIRECT(CONCATENATE("$AF$"&amp;EL$391)),
IF($K394=INDIRECT(CONCATENATE("$AE$"&amp;EL$392)),INDIRECT(CONCATENATE("$AE$"&amp;EL$391)),
IF($K394=INDIRECT(CONCATENATE("$AD$"&amp;EL$392)),INDIRECT(CONCATENATE("$AD$"&amp;EL$391)),
IF($K394=INDIRECT(CONCATENATE("$AC$"&amp;EL$392)),INDIRECT(CONCATENATE("$AC$"&amp;EL$391)),
IF($K394=INDIRECT(CONCATENATE("$AB$"&amp;EL$392)),INDIRECT(CONCATENATE("$AB$"&amp;EL$391)),
IF($K394=INDIRECT(CONCATENATE("$AA$"&amp;EL$392)),INDIRECT(CONCATENATE("$AA$"&amp;EL$391)),
IF($K394=INDIRECT(CONCATENATE("$Z$"&amp;EL$392)),INDIRECT(CONCATENATE("$Z$"&amp;EL$391)),
IF($K394=INDIRECT(CONCATENATE("$Y$"&amp;EL$392)),INDIRECT(CONCATENATE("$Y$"&amp;EL$391)),
IF($K394=INDIRECT(CONCATENATE("$X$"&amp;EL$392)),INDIRECT(CONCATENATE("$X$"&amp;EL$391)),
IF($K394=INDIRECT(CONCATENATE("$W$"&amp;EL$392)),INDIRECT(CONCATENATE("$W$"&amp;EL$391)),
IF($K394=INDIRECT(CONCATENATE("$V$"&amp;EL$392)),INDIRECT(CONCATENATE("$V$"&amp;EL$391)),
IF($K394=INDIRECT(CONCATENATE("$U$"&amp;EL$392)),INDIRECT(CONCATENATE("$U$"&amp;EL$391)),
IF($K394=INDIRECT(CONCATENATE("$T$"&amp;EL$392)),INDIRECT(CONCATENATE("$T$"&amp;EL$391)),
IF($K394=INDIRECT(CONCATENATE("$S$"&amp;EL$392)),INDIRECT(CONCATENATE("$S$"&amp;EL$391)),
IF($K394=INDIRECT(CONCATENATE("$R$"&amp;EL$392)),INDIRECT(CONCATENATE("$R$"&amp;EL$391)),
IF($K394=INDIRECT(CONCATENATE("$Q$"&amp;EL$392)),INDIRECT(CONCATENATE("$Q$"&amp;EL$391)),
IF($K394=INDIRECT(CONCATENATE("$P$"&amp;EL$392)),INDIRECT(CONCATENATE("$P$"&amp;EL$391)),
IF($K394=INDIRECT(CONCATENATE("$O$"&amp;EL$392)),INDIRECT(CONCATENATE("$O$"&amp;EL$391)),
IF($K394=INDIRECT(CONCATENATE("$N$"&amp;EL$392)),INDIRECT(CONCATENATE("$N$"&amp;EL$391)),
IF($K394=INDIRECT(CONCATENATE("$M$"&amp;EL$392)),INDIRECT(CONCATENATE("$M$"&amp;EL$391)),
IF($K394=INDIRECT(CONCATENATE("$L$"&amp;EL$392)),INDIRECT(CONCATENATE("$L$"&amp;EL$391)),
IF($K394=INDIRECT(CONCATENATE("$K$"&amp;EL$392)),INDIRECT(CONCATENATE("$K$"&amp;EL$391)),
IF($K394=INDIRECT(CONCATENATE("$J$"&amp;EL$392)),INDIRECT(CONCATENATE("$J$"&amp;EL$391)),
IF($K394=INDIRECT(CONCATENATE("$I$"&amp;EL$392)),INDIRECT(CONCATENATE("$I$"&amp;EL$391)),
IF($K394=INDIRECT(CONCATENATE("$H$"&amp;EL$392)),INDIRECT(CONCATENATE("$H$"&amp;EL$391)),
IF($K394=INDIRECT(CONCATENATE("$G$"&amp;EL$392)),INDIRECT(CONCATENATE("$G$"&amp;EL$391)),
IF($K394=INDIRECT(CONCATENATE("$F$"&amp;EL$392)),INDIRECT(CONCATENATE("$F$"&amp;EL$391)),
IF($K394=INDIRECT(CONCATENATE("$E$"&amp;EL$392)),INDIRECT(CONCATENATE("$E$"&amp;EL$391)),
IF($K394=INDIRECT(CONCATENATE("$D$"&amp;EL$392)),INDIRECT(CONCATENATE("$D$"&amp;EL$391)),
IF($K394=INDIRECT(CONCATENATE("$C$"&amp;EL$392)),INDIRECT(CONCATENATE("$C$"&amp;EL$391)),"X")))))))))))))))))))))))))))))))</f>
        <v>X</v>
      </c>
      <c r="KY394" s="58" t="str">
        <f t="shared" ref="KY394:KY428" ca="1" si="1725">IF($K394=INDIRECT(CONCATENATE("$AG$"&amp;EM$392)),INDIRECT(CONCATENATE("$AG$"&amp;EM$391)),
IF($K394=INDIRECT(CONCATENATE("$AF$"&amp;EM$392)),INDIRECT(CONCATENATE("$AF$"&amp;EM$391)),
IF($K394=INDIRECT(CONCATENATE("$AE$"&amp;EM$392)),INDIRECT(CONCATENATE("$AE$"&amp;EM$391)),
IF($K394=INDIRECT(CONCATENATE("$AD$"&amp;EM$392)),INDIRECT(CONCATENATE("$AD$"&amp;EM$391)),
IF($K394=INDIRECT(CONCATENATE("$AC$"&amp;EM$392)),INDIRECT(CONCATENATE("$AC$"&amp;EM$391)),
IF($K394=INDIRECT(CONCATENATE("$AB$"&amp;EM$392)),INDIRECT(CONCATENATE("$AB$"&amp;EM$391)),
IF($K394=INDIRECT(CONCATENATE("$AA$"&amp;EM$392)),INDIRECT(CONCATENATE("$AA$"&amp;EM$391)),
IF($K394=INDIRECT(CONCATENATE("$Z$"&amp;EM$392)),INDIRECT(CONCATENATE("$Z$"&amp;EM$391)),
IF($K394=INDIRECT(CONCATENATE("$Y$"&amp;EM$392)),INDIRECT(CONCATENATE("$Y$"&amp;EM$391)),
IF($K394=INDIRECT(CONCATENATE("$X$"&amp;EM$392)),INDIRECT(CONCATENATE("$X$"&amp;EM$391)),
IF($K394=INDIRECT(CONCATENATE("$W$"&amp;EM$392)),INDIRECT(CONCATENATE("$W$"&amp;EM$391)),
IF($K394=INDIRECT(CONCATENATE("$V$"&amp;EM$392)),INDIRECT(CONCATENATE("$V$"&amp;EM$391)),
IF($K394=INDIRECT(CONCATENATE("$U$"&amp;EM$392)),INDIRECT(CONCATENATE("$U$"&amp;EM$391)),
IF($K394=INDIRECT(CONCATENATE("$T$"&amp;EM$392)),INDIRECT(CONCATENATE("$T$"&amp;EM$391)),
IF($K394=INDIRECT(CONCATENATE("$S$"&amp;EM$392)),INDIRECT(CONCATENATE("$S$"&amp;EM$391)),
IF($K394=INDIRECT(CONCATENATE("$R$"&amp;EM$392)),INDIRECT(CONCATENATE("$R$"&amp;EM$391)),
IF($K394=INDIRECT(CONCATENATE("$Q$"&amp;EM$392)),INDIRECT(CONCATENATE("$Q$"&amp;EM$391)),
IF($K394=INDIRECT(CONCATENATE("$P$"&amp;EM$392)),INDIRECT(CONCATENATE("$P$"&amp;EM$391)),
IF($K394=INDIRECT(CONCATENATE("$O$"&amp;EM$392)),INDIRECT(CONCATENATE("$O$"&amp;EM$391)),
IF($K394=INDIRECT(CONCATENATE("$N$"&amp;EM$392)),INDIRECT(CONCATENATE("$N$"&amp;EM$391)),
IF($K394=INDIRECT(CONCATENATE("$M$"&amp;EM$392)),INDIRECT(CONCATENATE("$M$"&amp;EM$391)),
IF($K394=INDIRECT(CONCATENATE("$L$"&amp;EM$392)),INDIRECT(CONCATENATE("$L$"&amp;EM$391)),
IF($K394=INDIRECT(CONCATENATE("$K$"&amp;EM$392)),INDIRECT(CONCATENATE("$K$"&amp;EM$391)),
IF($K394=INDIRECT(CONCATENATE("$J$"&amp;EM$392)),INDIRECT(CONCATENATE("$J$"&amp;EM$391)),
IF($K394=INDIRECT(CONCATENATE("$I$"&amp;EM$392)),INDIRECT(CONCATENATE("$I$"&amp;EM$391)),
IF($K394=INDIRECT(CONCATENATE("$H$"&amp;EM$392)),INDIRECT(CONCATENATE("$H$"&amp;EM$391)),
IF($K394=INDIRECT(CONCATENATE("$G$"&amp;EM$392)),INDIRECT(CONCATENATE("$G$"&amp;EM$391)),
IF($K394=INDIRECT(CONCATENATE("$F$"&amp;EM$392)),INDIRECT(CONCATENATE("$F$"&amp;EM$391)),
IF($K394=INDIRECT(CONCATENATE("$E$"&amp;EM$392)),INDIRECT(CONCATENATE("$E$"&amp;EM$391)),
IF($K394=INDIRECT(CONCATENATE("$D$"&amp;EM$392)),INDIRECT(CONCATENATE("$D$"&amp;EM$391)),
IF($K394=INDIRECT(CONCATENATE("$C$"&amp;EM$392)),INDIRECT(CONCATENATE("$C$"&amp;EM$391)),"X")))))))))))))))))))))))))))))))</f>
        <v>X</v>
      </c>
      <c r="KZ394" s="58" t="str">
        <f t="shared" ref="KZ394:KZ428" ca="1" si="1726">IF($K394=INDIRECT(CONCATENATE("$AG$"&amp;EN$392)),INDIRECT(CONCATENATE("$AG$"&amp;EN$391)),
IF($K394=INDIRECT(CONCATENATE("$AF$"&amp;EN$392)),INDIRECT(CONCATENATE("$AF$"&amp;EN$391)),
IF($K394=INDIRECT(CONCATENATE("$AE$"&amp;EN$392)),INDIRECT(CONCATENATE("$AE$"&amp;EN$391)),
IF($K394=INDIRECT(CONCATENATE("$AD$"&amp;EN$392)),INDIRECT(CONCATENATE("$AD$"&amp;EN$391)),
IF($K394=INDIRECT(CONCATENATE("$AC$"&amp;EN$392)),INDIRECT(CONCATENATE("$AC$"&amp;EN$391)),
IF($K394=INDIRECT(CONCATENATE("$AB$"&amp;EN$392)),INDIRECT(CONCATENATE("$AB$"&amp;EN$391)),
IF($K394=INDIRECT(CONCATENATE("$AA$"&amp;EN$392)),INDIRECT(CONCATENATE("$AA$"&amp;EN$391)),
IF($K394=INDIRECT(CONCATENATE("$Z$"&amp;EN$392)),INDIRECT(CONCATENATE("$Z$"&amp;EN$391)),
IF($K394=INDIRECT(CONCATENATE("$Y$"&amp;EN$392)),INDIRECT(CONCATENATE("$Y$"&amp;EN$391)),
IF($K394=INDIRECT(CONCATENATE("$X$"&amp;EN$392)),INDIRECT(CONCATENATE("$X$"&amp;EN$391)),
IF($K394=INDIRECT(CONCATENATE("$W$"&amp;EN$392)),INDIRECT(CONCATENATE("$W$"&amp;EN$391)),
IF($K394=INDIRECT(CONCATENATE("$V$"&amp;EN$392)),INDIRECT(CONCATENATE("$V$"&amp;EN$391)),
IF($K394=INDIRECT(CONCATENATE("$U$"&amp;EN$392)),INDIRECT(CONCATENATE("$U$"&amp;EN$391)),
IF($K394=INDIRECT(CONCATENATE("$T$"&amp;EN$392)),INDIRECT(CONCATENATE("$T$"&amp;EN$391)),
IF($K394=INDIRECT(CONCATENATE("$S$"&amp;EN$392)),INDIRECT(CONCATENATE("$S$"&amp;EN$391)),
IF($K394=INDIRECT(CONCATENATE("$R$"&amp;EN$392)),INDIRECT(CONCATENATE("$R$"&amp;EN$391)),
IF($K394=INDIRECT(CONCATENATE("$Q$"&amp;EN$392)),INDIRECT(CONCATENATE("$Q$"&amp;EN$391)),
IF($K394=INDIRECT(CONCATENATE("$P$"&amp;EN$392)),INDIRECT(CONCATENATE("$P$"&amp;EN$391)),
IF($K394=INDIRECT(CONCATENATE("$O$"&amp;EN$392)),INDIRECT(CONCATENATE("$O$"&amp;EN$391)),
IF($K394=INDIRECT(CONCATENATE("$N$"&amp;EN$392)),INDIRECT(CONCATENATE("$N$"&amp;EN$391)),
IF($K394=INDIRECT(CONCATENATE("$M$"&amp;EN$392)),INDIRECT(CONCATENATE("$M$"&amp;EN$391)),
IF($K394=INDIRECT(CONCATENATE("$L$"&amp;EN$392)),INDIRECT(CONCATENATE("$L$"&amp;EN$391)),
IF($K394=INDIRECT(CONCATENATE("$K$"&amp;EN$392)),INDIRECT(CONCATENATE("$K$"&amp;EN$391)),
IF($K394=INDIRECT(CONCATENATE("$J$"&amp;EN$392)),INDIRECT(CONCATENATE("$J$"&amp;EN$391)),
IF($K394=INDIRECT(CONCATENATE("$I$"&amp;EN$392)),INDIRECT(CONCATENATE("$I$"&amp;EN$391)),
IF($K394=INDIRECT(CONCATENATE("$H$"&amp;EN$392)),INDIRECT(CONCATENATE("$H$"&amp;EN$391)),
IF($K394=INDIRECT(CONCATENATE("$G$"&amp;EN$392)),INDIRECT(CONCATENATE("$G$"&amp;EN$391)),
IF($K394=INDIRECT(CONCATENATE("$F$"&amp;EN$392)),INDIRECT(CONCATENATE("$F$"&amp;EN$391)),
IF($K394=INDIRECT(CONCATENATE("$E$"&amp;EN$392)),INDIRECT(CONCATENATE("$E$"&amp;EN$391)),
IF($K394=INDIRECT(CONCATENATE("$D$"&amp;EN$392)),INDIRECT(CONCATENATE("$D$"&amp;EN$391)),
IF($K394=INDIRECT(CONCATENATE("$C$"&amp;EN$392)),INDIRECT(CONCATENATE("$C$"&amp;EN$391)),"X")))))))))))))))))))))))))))))))</f>
        <v>X</v>
      </c>
      <c r="LA394" s="58" t="str">
        <f t="shared" ref="LA394:LA428" ca="1" si="1727">IF($K394=INDIRECT(CONCATENATE("$AG$"&amp;EO$392)),INDIRECT(CONCATENATE("$AG$"&amp;EO$391)),
IF($K394=INDIRECT(CONCATENATE("$AF$"&amp;EO$392)),INDIRECT(CONCATENATE("$AF$"&amp;EO$391)),
IF($K394=INDIRECT(CONCATENATE("$AE$"&amp;EO$392)),INDIRECT(CONCATENATE("$AE$"&amp;EO$391)),
IF($K394=INDIRECT(CONCATENATE("$AD$"&amp;EO$392)),INDIRECT(CONCATENATE("$AD$"&amp;EO$391)),
IF($K394=INDIRECT(CONCATENATE("$AC$"&amp;EO$392)),INDIRECT(CONCATENATE("$AC$"&amp;EO$391)),
IF($K394=INDIRECT(CONCATENATE("$AB$"&amp;EO$392)),INDIRECT(CONCATENATE("$AB$"&amp;EO$391)),
IF($K394=INDIRECT(CONCATENATE("$AA$"&amp;EO$392)),INDIRECT(CONCATENATE("$AA$"&amp;EO$391)),
IF($K394=INDIRECT(CONCATENATE("$Z$"&amp;EO$392)),INDIRECT(CONCATENATE("$Z$"&amp;EO$391)),
IF($K394=INDIRECT(CONCATENATE("$Y$"&amp;EO$392)),INDIRECT(CONCATENATE("$Y$"&amp;EO$391)),
IF($K394=INDIRECT(CONCATENATE("$X$"&amp;EO$392)),INDIRECT(CONCATENATE("$X$"&amp;EO$391)),
IF($K394=INDIRECT(CONCATENATE("$W$"&amp;EO$392)),INDIRECT(CONCATENATE("$W$"&amp;EO$391)),
IF($K394=INDIRECT(CONCATENATE("$V$"&amp;EO$392)),INDIRECT(CONCATENATE("$V$"&amp;EO$391)),
IF($K394=INDIRECT(CONCATENATE("$U$"&amp;EO$392)),INDIRECT(CONCATENATE("$U$"&amp;EO$391)),
IF($K394=INDIRECT(CONCATENATE("$T$"&amp;EO$392)),INDIRECT(CONCATENATE("$T$"&amp;EO$391)),
IF($K394=INDIRECT(CONCATENATE("$S$"&amp;EO$392)),INDIRECT(CONCATENATE("$S$"&amp;EO$391)),
IF($K394=INDIRECT(CONCATENATE("$R$"&amp;EO$392)),INDIRECT(CONCATENATE("$R$"&amp;EO$391)),
IF($K394=INDIRECT(CONCATENATE("$Q$"&amp;EO$392)),INDIRECT(CONCATENATE("$Q$"&amp;EO$391)),
IF($K394=INDIRECT(CONCATENATE("$P$"&amp;EO$392)),INDIRECT(CONCATENATE("$P$"&amp;EO$391)),
IF($K394=INDIRECT(CONCATENATE("$O$"&amp;EO$392)),INDIRECT(CONCATENATE("$O$"&amp;EO$391)),
IF($K394=INDIRECT(CONCATENATE("$N$"&amp;EO$392)),INDIRECT(CONCATENATE("$N$"&amp;EO$391)),
IF($K394=INDIRECT(CONCATENATE("$M$"&amp;EO$392)),INDIRECT(CONCATENATE("$M$"&amp;EO$391)),
IF($K394=INDIRECT(CONCATENATE("$L$"&amp;EO$392)),INDIRECT(CONCATENATE("$L$"&amp;EO$391)),
IF($K394=INDIRECT(CONCATENATE("$K$"&amp;EO$392)),INDIRECT(CONCATENATE("$K$"&amp;EO$391)),
IF($K394=INDIRECT(CONCATENATE("$J$"&amp;EO$392)),INDIRECT(CONCATENATE("$J$"&amp;EO$391)),
IF($K394=INDIRECT(CONCATENATE("$I$"&amp;EO$392)),INDIRECT(CONCATENATE("$I$"&amp;EO$391)),
IF($K394=INDIRECT(CONCATENATE("$H$"&amp;EO$392)),INDIRECT(CONCATENATE("$H$"&amp;EO$391)),
IF($K394=INDIRECT(CONCATENATE("$G$"&amp;EO$392)),INDIRECT(CONCATENATE("$G$"&amp;EO$391)),
IF($K394=INDIRECT(CONCATENATE("$F$"&amp;EO$392)),INDIRECT(CONCATENATE("$F$"&amp;EO$391)),
IF($K394=INDIRECT(CONCATENATE("$E$"&amp;EO$392)),INDIRECT(CONCATENATE("$E$"&amp;EO$391)),
IF($K394=INDIRECT(CONCATENATE("$D$"&amp;EO$392)),INDIRECT(CONCATENATE("$D$"&amp;EO$391)),
IF($K394=INDIRECT(CONCATENATE("$C$"&amp;EO$392)),INDIRECT(CONCATENATE("$C$"&amp;EO$391)),"X")))))))))))))))))))))))))))))))</f>
        <v>X</v>
      </c>
      <c r="LB394" s="58" t="str">
        <f t="shared" ref="LB394:LB428" ca="1" si="1728">IF($K394=INDIRECT(CONCATENATE("$AG$"&amp;EP$392)),INDIRECT(CONCATENATE("$AG$"&amp;EP$391)),
IF($K394=INDIRECT(CONCATENATE("$AF$"&amp;EP$392)),INDIRECT(CONCATENATE("$AF$"&amp;EP$391)),
IF($K394=INDIRECT(CONCATENATE("$AE$"&amp;EP$392)),INDIRECT(CONCATENATE("$AE$"&amp;EP$391)),
IF($K394=INDIRECT(CONCATENATE("$AD$"&amp;EP$392)),INDIRECT(CONCATENATE("$AD$"&amp;EP$391)),
IF($K394=INDIRECT(CONCATENATE("$AC$"&amp;EP$392)),INDIRECT(CONCATENATE("$AC$"&amp;EP$391)),
IF($K394=INDIRECT(CONCATENATE("$AB$"&amp;EP$392)),INDIRECT(CONCATENATE("$AB$"&amp;EP$391)),
IF($K394=INDIRECT(CONCATENATE("$AA$"&amp;EP$392)),INDIRECT(CONCATENATE("$AA$"&amp;EP$391)),
IF($K394=INDIRECT(CONCATENATE("$Z$"&amp;EP$392)),INDIRECT(CONCATENATE("$Z$"&amp;EP$391)),
IF($K394=INDIRECT(CONCATENATE("$Y$"&amp;EP$392)),INDIRECT(CONCATENATE("$Y$"&amp;EP$391)),
IF($K394=INDIRECT(CONCATENATE("$X$"&amp;EP$392)),INDIRECT(CONCATENATE("$X$"&amp;EP$391)),
IF($K394=INDIRECT(CONCATENATE("$W$"&amp;EP$392)),INDIRECT(CONCATENATE("$W$"&amp;EP$391)),
IF($K394=INDIRECT(CONCATENATE("$V$"&amp;EP$392)),INDIRECT(CONCATENATE("$V$"&amp;EP$391)),
IF($K394=INDIRECT(CONCATENATE("$U$"&amp;EP$392)),INDIRECT(CONCATENATE("$U$"&amp;EP$391)),
IF($K394=INDIRECT(CONCATENATE("$T$"&amp;EP$392)),INDIRECT(CONCATENATE("$T$"&amp;EP$391)),
IF($K394=INDIRECT(CONCATENATE("$S$"&amp;EP$392)),INDIRECT(CONCATENATE("$S$"&amp;EP$391)),
IF($K394=INDIRECT(CONCATENATE("$R$"&amp;EP$392)),INDIRECT(CONCATENATE("$R$"&amp;EP$391)),
IF($K394=INDIRECT(CONCATENATE("$Q$"&amp;EP$392)),INDIRECT(CONCATENATE("$Q$"&amp;EP$391)),
IF($K394=INDIRECT(CONCATENATE("$P$"&amp;EP$392)),INDIRECT(CONCATENATE("$P$"&amp;EP$391)),
IF($K394=INDIRECT(CONCATENATE("$O$"&amp;EP$392)),INDIRECT(CONCATENATE("$O$"&amp;EP$391)),
IF($K394=INDIRECT(CONCATENATE("$N$"&amp;EP$392)),INDIRECT(CONCATENATE("$N$"&amp;EP$391)),
IF($K394=INDIRECT(CONCATENATE("$M$"&amp;EP$392)),INDIRECT(CONCATENATE("$M$"&amp;EP$391)),
IF($K394=INDIRECT(CONCATENATE("$L$"&amp;EP$392)),INDIRECT(CONCATENATE("$L$"&amp;EP$391)),
IF($K394=INDIRECT(CONCATENATE("$K$"&amp;EP$392)),INDIRECT(CONCATENATE("$K$"&amp;EP$391)),
IF($K394=INDIRECT(CONCATENATE("$J$"&amp;EP$392)),INDIRECT(CONCATENATE("$J$"&amp;EP$391)),
IF($K394=INDIRECT(CONCATENATE("$I$"&amp;EP$392)),INDIRECT(CONCATENATE("$I$"&amp;EP$391)),
IF($K394=INDIRECT(CONCATENATE("$H$"&amp;EP$392)),INDIRECT(CONCATENATE("$H$"&amp;EP$391)),
IF($K394=INDIRECT(CONCATENATE("$G$"&amp;EP$392)),INDIRECT(CONCATENATE("$G$"&amp;EP$391)),
IF($K394=INDIRECT(CONCATENATE("$F$"&amp;EP$392)),INDIRECT(CONCATENATE("$F$"&amp;EP$391)),
IF($K394=INDIRECT(CONCATENATE("$E$"&amp;EP$392)),INDIRECT(CONCATENATE("$E$"&amp;EP$391)),
IF($K394=INDIRECT(CONCATENATE("$D$"&amp;EP$392)),INDIRECT(CONCATENATE("$D$"&amp;EP$391)),
IF($K394=INDIRECT(CONCATENATE("$C$"&amp;EP$392)),INDIRECT(CONCATENATE("$C$"&amp;EP$391)),"X")))))))))))))))))))))))))))))))</f>
        <v>X</v>
      </c>
      <c r="LC394" s="58" t="str">
        <f t="shared" ref="LC394:LC428" ca="1" si="1729">IF($K394=INDIRECT(CONCATENATE("$AG$"&amp;EQ$392)),INDIRECT(CONCATENATE("$AG$"&amp;EQ$391)),
IF($K394=INDIRECT(CONCATENATE("$AF$"&amp;EQ$392)),INDIRECT(CONCATENATE("$AF$"&amp;EQ$391)),
IF($K394=INDIRECT(CONCATENATE("$AE$"&amp;EQ$392)),INDIRECT(CONCATENATE("$AE$"&amp;EQ$391)),
IF($K394=INDIRECT(CONCATENATE("$AD$"&amp;EQ$392)),INDIRECT(CONCATENATE("$AD$"&amp;EQ$391)),
IF($K394=INDIRECT(CONCATENATE("$AC$"&amp;EQ$392)),INDIRECT(CONCATENATE("$AC$"&amp;EQ$391)),
IF($K394=INDIRECT(CONCATENATE("$AB$"&amp;EQ$392)),INDIRECT(CONCATENATE("$AB$"&amp;EQ$391)),
IF($K394=INDIRECT(CONCATENATE("$AA$"&amp;EQ$392)),INDIRECT(CONCATENATE("$AA$"&amp;EQ$391)),
IF($K394=INDIRECT(CONCATENATE("$Z$"&amp;EQ$392)),INDIRECT(CONCATENATE("$Z$"&amp;EQ$391)),
IF($K394=INDIRECT(CONCATENATE("$Y$"&amp;EQ$392)),INDIRECT(CONCATENATE("$Y$"&amp;EQ$391)),
IF($K394=INDIRECT(CONCATENATE("$X$"&amp;EQ$392)),INDIRECT(CONCATENATE("$X$"&amp;EQ$391)),
IF($K394=INDIRECT(CONCATENATE("$W$"&amp;EQ$392)),INDIRECT(CONCATENATE("$W$"&amp;EQ$391)),
IF($K394=INDIRECT(CONCATENATE("$V$"&amp;EQ$392)),INDIRECT(CONCATENATE("$V$"&amp;EQ$391)),
IF($K394=INDIRECT(CONCATENATE("$U$"&amp;EQ$392)),INDIRECT(CONCATENATE("$U$"&amp;EQ$391)),
IF($K394=INDIRECT(CONCATENATE("$T$"&amp;EQ$392)),INDIRECT(CONCATENATE("$T$"&amp;EQ$391)),
IF($K394=INDIRECT(CONCATENATE("$S$"&amp;EQ$392)),INDIRECT(CONCATENATE("$S$"&amp;EQ$391)),
IF($K394=INDIRECT(CONCATENATE("$R$"&amp;EQ$392)),INDIRECT(CONCATENATE("$R$"&amp;EQ$391)),
IF($K394=INDIRECT(CONCATENATE("$Q$"&amp;EQ$392)),INDIRECT(CONCATENATE("$Q$"&amp;EQ$391)),
IF($K394=INDIRECT(CONCATENATE("$P$"&amp;EQ$392)),INDIRECT(CONCATENATE("$P$"&amp;EQ$391)),
IF($K394=INDIRECT(CONCATENATE("$O$"&amp;EQ$392)),INDIRECT(CONCATENATE("$O$"&amp;EQ$391)),
IF($K394=INDIRECT(CONCATENATE("$N$"&amp;EQ$392)),INDIRECT(CONCATENATE("$N$"&amp;EQ$391)),
IF($K394=INDIRECT(CONCATENATE("$M$"&amp;EQ$392)),INDIRECT(CONCATENATE("$M$"&amp;EQ$391)),
IF($K394=INDIRECT(CONCATENATE("$L$"&amp;EQ$392)),INDIRECT(CONCATENATE("$L$"&amp;EQ$391)),
IF($K394=INDIRECT(CONCATENATE("$K$"&amp;EQ$392)),INDIRECT(CONCATENATE("$K$"&amp;EQ$391)),
IF($K394=INDIRECT(CONCATENATE("$J$"&amp;EQ$392)),INDIRECT(CONCATENATE("$J$"&amp;EQ$391)),
IF($K394=INDIRECT(CONCATENATE("$I$"&amp;EQ$392)),INDIRECT(CONCATENATE("$I$"&amp;EQ$391)),
IF($K394=INDIRECT(CONCATENATE("$H$"&amp;EQ$392)),INDIRECT(CONCATENATE("$H$"&amp;EQ$391)),
IF($K394=INDIRECT(CONCATENATE("$G$"&amp;EQ$392)),INDIRECT(CONCATENATE("$G$"&amp;EQ$391)),
IF($K394=INDIRECT(CONCATENATE("$F$"&amp;EQ$392)),INDIRECT(CONCATENATE("$F$"&amp;EQ$391)),
IF($K394=INDIRECT(CONCATENATE("$E$"&amp;EQ$392)),INDIRECT(CONCATENATE("$E$"&amp;EQ$391)),
IF($K394=INDIRECT(CONCATENATE("$D$"&amp;EQ$392)),INDIRECT(CONCATENATE("$D$"&amp;EQ$391)),
IF($K394=INDIRECT(CONCATENATE("$C$"&amp;EQ$392)),INDIRECT(CONCATENATE("$C$"&amp;EQ$391)),"X")))))))))))))))))))))))))))))))</f>
        <v>X</v>
      </c>
      <c r="LD394" s="58" t="str">
        <f t="shared" ref="LD394:LS428" ca="1" si="1730">IF($K394=INDIRECT(CONCATENATE("$AG$"&amp;ER$392)),INDIRECT(CONCATENATE("$AG$"&amp;ER$391)),
IF($K394=INDIRECT(CONCATENATE("$AF$"&amp;ER$392)),INDIRECT(CONCATENATE("$AF$"&amp;ER$391)),
IF($K394=INDIRECT(CONCATENATE("$AE$"&amp;ER$392)),INDIRECT(CONCATENATE("$AE$"&amp;ER$391)),
IF($K394=INDIRECT(CONCATENATE("$AD$"&amp;ER$392)),INDIRECT(CONCATENATE("$AD$"&amp;ER$391)),
IF($K394=INDIRECT(CONCATENATE("$AC$"&amp;ER$392)),INDIRECT(CONCATENATE("$AC$"&amp;ER$391)),
IF($K394=INDIRECT(CONCATENATE("$AB$"&amp;ER$392)),INDIRECT(CONCATENATE("$AB$"&amp;ER$391)),
IF($K394=INDIRECT(CONCATENATE("$AA$"&amp;ER$392)),INDIRECT(CONCATENATE("$AA$"&amp;ER$391)),
IF($K394=INDIRECT(CONCATENATE("$Z$"&amp;ER$392)),INDIRECT(CONCATENATE("$Z$"&amp;ER$391)),
IF($K394=INDIRECT(CONCATENATE("$Y$"&amp;ER$392)),INDIRECT(CONCATENATE("$Y$"&amp;ER$391)),
IF($K394=INDIRECT(CONCATENATE("$X$"&amp;ER$392)),INDIRECT(CONCATENATE("$X$"&amp;ER$391)),
IF($K394=INDIRECT(CONCATENATE("$W$"&amp;ER$392)),INDIRECT(CONCATENATE("$W$"&amp;ER$391)),
IF($K394=INDIRECT(CONCATENATE("$V$"&amp;ER$392)),INDIRECT(CONCATENATE("$V$"&amp;ER$391)),
IF($K394=INDIRECT(CONCATENATE("$U$"&amp;ER$392)),INDIRECT(CONCATENATE("$U$"&amp;ER$391)),
IF($K394=INDIRECT(CONCATENATE("$T$"&amp;ER$392)),INDIRECT(CONCATENATE("$T$"&amp;ER$391)),
IF($K394=INDIRECT(CONCATENATE("$S$"&amp;ER$392)),INDIRECT(CONCATENATE("$S$"&amp;ER$391)),
IF($K394=INDIRECT(CONCATENATE("$R$"&amp;ER$392)),INDIRECT(CONCATENATE("$R$"&amp;ER$391)),
IF($K394=INDIRECT(CONCATENATE("$Q$"&amp;ER$392)),INDIRECT(CONCATENATE("$Q$"&amp;ER$391)),
IF($K394=INDIRECT(CONCATENATE("$P$"&amp;ER$392)),INDIRECT(CONCATENATE("$P$"&amp;ER$391)),
IF($K394=INDIRECT(CONCATENATE("$O$"&amp;ER$392)),INDIRECT(CONCATENATE("$O$"&amp;ER$391)),
IF($K394=INDIRECT(CONCATENATE("$N$"&amp;ER$392)),INDIRECT(CONCATENATE("$N$"&amp;ER$391)),
IF($K394=INDIRECT(CONCATENATE("$M$"&amp;ER$392)),INDIRECT(CONCATENATE("$M$"&amp;ER$391)),
IF($K394=INDIRECT(CONCATENATE("$L$"&amp;ER$392)),INDIRECT(CONCATENATE("$L$"&amp;ER$391)),
IF($K394=INDIRECT(CONCATENATE("$K$"&amp;ER$392)),INDIRECT(CONCATENATE("$K$"&amp;ER$391)),
IF($K394=INDIRECT(CONCATENATE("$J$"&amp;ER$392)),INDIRECT(CONCATENATE("$J$"&amp;ER$391)),
IF($K394=INDIRECT(CONCATENATE("$I$"&amp;ER$392)),INDIRECT(CONCATENATE("$I$"&amp;ER$391)),
IF($K394=INDIRECT(CONCATENATE("$H$"&amp;ER$392)),INDIRECT(CONCATENATE("$H$"&amp;ER$391)),
IF($K394=INDIRECT(CONCATENATE("$G$"&amp;ER$392)),INDIRECT(CONCATENATE("$G$"&amp;ER$391)),
IF($K394=INDIRECT(CONCATENATE("$F$"&amp;ER$392)),INDIRECT(CONCATENATE("$F$"&amp;ER$391)),
IF($K394=INDIRECT(CONCATENATE("$E$"&amp;ER$392)),INDIRECT(CONCATENATE("$E$"&amp;ER$391)),
IF($K394=INDIRECT(CONCATENATE("$D$"&amp;ER$392)),INDIRECT(CONCATENATE("$D$"&amp;ER$391)),
IF($K394=INDIRECT(CONCATENATE("$C$"&amp;ER$392)),INDIRECT(CONCATENATE("$C$"&amp;ER$391)),"X")))))))))))))))))))))))))))))))</f>
        <v>X</v>
      </c>
      <c r="LE394" s="58" t="str">
        <f t="shared" ref="LE394:LE428" ca="1" si="1731">IF($K394=INDIRECT(CONCATENATE("$AG$"&amp;ES$392)),INDIRECT(CONCATENATE("$AG$"&amp;ES$391)),
IF($K394=INDIRECT(CONCATENATE("$AF$"&amp;ES$392)),INDIRECT(CONCATENATE("$AF$"&amp;ES$391)),
IF($K394=INDIRECT(CONCATENATE("$AE$"&amp;ES$392)),INDIRECT(CONCATENATE("$AE$"&amp;ES$391)),
IF($K394=INDIRECT(CONCATENATE("$AD$"&amp;ES$392)),INDIRECT(CONCATENATE("$AD$"&amp;ES$391)),
IF($K394=INDIRECT(CONCATENATE("$AC$"&amp;ES$392)),INDIRECT(CONCATENATE("$AC$"&amp;ES$391)),
IF($K394=INDIRECT(CONCATENATE("$AB$"&amp;ES$392)),INDIRECT(CONCATENATE("$AB$"&amp;ES$391)),
IF($K394=INDIRECT(CONCATENATE("$AA$"&amp;ES$392)),INDIRECT(CONCATENATE("$AA$"&amp;ES$391)),
IF($K394=INDIRECT(CONCATENATE("$Z$"&amp;ES$392)),INDIRECT(CONCATENATE("$Z$"&amp;ES$391)),
IF($K394=INDIRECT(CONCATENATE("$Y$"&amp;ES$392)),INDIRECT(CONCATENATE("$Y$"&amp;ES$391)),
IF($K394=INDIRECT(CONCATENATE("$X$"&amp;ES$392)),INDIRECT(CONCATENATE("$X$"&amp;ES$391)),
IF($K394=INDIRECT(CONCATENATE("$W$"&amp;ES$392)),INDIRECT(CONCATENATE("$W$"&amp;ES$391)),
IF($K394=INDIRECT(CONCATENATE("$V$"&amp;ES$392)),INDIRECT(CONCATENATE("$V$"&amp;ES$391)),
IF($K394=INDIRECT(CONCATENATE("$U$"&amp;ES$392)),INDIRECT(CONCATENATE("$U$"&amp;ES$391)),
IF($K394=INDIRECT(CONCATENATE("$T$"&amp;ES$392)),INDIRECT(CONCATENATE("$T$"&amp;ES$391)),
IF($K394=INDIRECT(CONCATENATE("$S$"&amp;ES$392)),INDIRECT(CONCATENATE("$S$"&amp;ES$391)),
IF($K394=INDIRECT(CONCATENATE("$R$"&amp;ES$392)),INDIRECT(CONCATENATE("$R$"&amp;ES$391)),
IF($K394=INDIRECT(CONCATENATE("$Q$"&amp;ES$392)),INDIRECT(CONCATENATE("$Q$"&amp;ES$391)),
IF($K394=INDIRECT(CONCATENATE("$P$"&amp;ES$392)),INDIRECT(CONCATENATE("$P$"&amp;ES$391)),
IF($K394=INDIRECT(CONCATENATE("$O$"&amp;ES$392)),INDIRECT(CONCATENATE("$O$"&amp;ES$391)),
IF($K394=INDIRECT(CONCATENATE("$N$"&amp;ES$392)),INDIRECT(CONCATENATE("$N$"&amp;ES$391)),
IF($K394=INDIRECT(CONCATENATE("$M$"&amp;ES$392)),INDIRECT(CONCATENATE("$M$"&amp;ES$391)),
IF($K394=INDIRECT(CONCATENATE("$L$"&amp;ES$392)),INDIRECT(CONCATENATE("$L$"&amp;ES$391)),
IF($K394=INDIRECT(CONCATENATE("$K$"&amp;ES$392)),INDIRECT(CONCATENATE("$K$"&amp;ES$391)),
IF($K394=INDIRECT(CONCATENATE("$J$"&amp;ES$392)),INDIRECT(CONCATENATE("$J$"&amp;ES$391)),
IF($K394=INDIRECT(CONCATENATE("$I$"&amp;ES$392)),INDIRECT(CONCATENATE("$I$"&amp;ES$391)),
IF($K394=INDIRECT(CONCATENATE("$H$"&amp;ES$392)),INDIRECT(CONCATENATE("$H$"&amp;ES$391)),
IF($K394=INDIRECT(CONCATENATE("$G$"&amp;ES$392)),INDIRECT(CONCATENATE("$G$"&amp;ES$391)),
IF($K394=INDIRECT(CONCATENATE("$F$"&amp;ES$392)),INDIRECT(CONCATENATE("$F$"&amp;ES$391)),
IF($K394=INDIRECT(CONCATENATE("$E$"&amp;ES$392)),INDIRECT(CONCATENATE("$E$"&amp;ES$391)),
IF($K394=INDIRECT(CONCATENATE("$D$"&amp;ES$392)),INDIRECT(CONCATENATE("$D$"&amp;ES$391)),
IF($K394=INDIRECT(CONCATENATE("$C$"&amp;ES$392)),INDIRECT(CONCATENATE("$C$"&amp;ES$391)),"X")))))))))))))))))))))))))))))))</f>
        <v>X</v>
      </c>
      <c r="LF394" s="58" t="str">
        <f t="shared" ref="LF394:LF428" ca="1" si="1732">IF($K394=INDIRECT(CONCATENATE("$AG$"&amp;ET$392)),INDIRECT(CONCATENATE("$AG$"&amp;ET$391)),
IF($K394=INDIRECT(CONCATENATE("$AF$"&amp;ET$392)),INDIRECT(CONCATENATE("$AF$"&amp;ET$391)),
IF($K394=INDIRECT(CONCATENATE("$AE$"&amp;ET$392)),INDIRECT(CONCATENATE("$AE$"&amp;ET$391)),
IF($K394=INDIRECT(CONCATENATE("$AD$"&amp;ET$392)),INDIRECT(CONCATENATE("$AD$"&amp;ET$391)),
IF($K394=INDIRECT(CONCATENATE("$AC$"&amp;ET$392)),INDIRECT(CONCATENATE("$AC$"&amp;ET$391)),
IF($K394=INDIRECT(CONCATENATE("$AB$"&amp;ET$392)),INDIRECT(CONCATENATE("$AB$"&amp;ET$391)),
IF($K394=INDIRECT(CONCATENATE("$AA$"&amp;ET$392)),INDIRECT(CONCATENATE("$AA$"&amp;ET$391)),
IF($K394=INDIRECT(CONCATENATE("$Z$"&amp;ET$392)),INDIRECT(CONCATENATE("$Z$"&amp;ET$391)),
IF($K394=INDIRECT(CONCATENATE("$Y$"&amp;ET$392)),INDIRECT(CONCATENATE("$Y$"&amp;ET$391)),
IF($K394=INDIRECT(CONCATENATE("$X$"&amp;ET$392)),INDIRECT(CONCATENATE("$X$"&amp;ET$391)),
IF($K394=INDIRECT(CONCATENATE("$W$"&amp;ET$392)),INDIRECT(CONCATENATE("$W$"&amp;ET$391)),
IF($K394=INDIRECT(CONCATENATE("$V$"&amp;ET$392)),INDIRECT(CONCATENATE("$V$"&amp;ET$391)),
IF($K394=INDIRECT(CONCATENATE("$U$"&amp;ET$392)),INDIRECT(CONCATENATE("$U$"&amp;ET$391)),
IF($K394=INDIRECT(CONCATENATE("$T$"&amp;ET$392)),INDIRECT(CONCATENATE("$T$"&amp;ET$391)),
IF($K394=INDIRECT(CONCATENATE("$S$"&amp;ET$392)),INDIRECT(CONCATENATE("$S$"&amp;ET$391)),
IF($K394=INDIRECT(CONCATENATE("$R$"&amp;ET$392)),INDIRECT(CONCATENATE("$R$"&amp;ET$391)),
IF($K394=INDIRECT(CONCATENATE("$Q$"&amp;ET$392)),INDIRECT(CONCATENATE("$Q$"&amp;ET$391)),
IF($K394=INDIRECT(CONCATENATE("$P$"&amp;ET$392)),INDIRECT(CONCATENATE("$P$"&amp;ET$391)),
IF($K394=INDIRECT(CONCATENATE("$O$"&amp;ET$392)),INDIRECT(CONCATENATE("$O$"&amp;ET$391)),
IF($K394=INDIRECT(CONCATENATE("$N$"&amp;ET$392)),INDIRECT(CONCATENATE("$N$"&amp;ET$391)),
IF($K394=INDIRECT(CONCATENATE("$M$"&amp;ET$392)),INDIRECT(CONCATENATE("$M$"&amp;ET$391)),
IF($K394=INDIRECT(CONCATENATE("$L$"&amp;ET$392)),INDIRECT(CONCATENATE("$L$"&amp;ET$391)),
IF($K394=INDIRECT(CONCATENATE("$K$"&amp;ET$392)),INDIRECT(CONCATENATE("$K$"&amp;ET$391)),
IF($K394=INDIRECT(CONCATENATE("$J$"&amp;ET$392)),INDIRECT(CONCATENATE("$J$"&amp;ET$391)),
IF($K394=INDIRECT(CONCATENATE("$I$"&amp;ET$392)),INDIRECT(CONCATENATE("$I$"&amp;ET$391)),
IF($K394=INDIRECT(CONCATENATE("$H$"&amp;ET$392)),INDIRECT(CONCATENATE("$H$"&amp;ET$391)),
IF($K394=INDIRECT(CONCATENATE("$G$"&amp;ET$392)),INDIRECT(CONCATENATE("$G$"&amp;ET$391)),
IF($K394=INDIRECT(CONCATENATE("$F$"&amp;ET$392)),INDIRECT(CONCATENATE("$F$"&amp;ET$391)),
IF($K394=INDIRECT(CONCATENATE("$E$"&amp;ET$392)),INDIRECT(CONCATENATE("$E$"&amp;ET$391)),
IF($K394=INDIRECT(CONCATENATE("$D$"&amp;ET$392)),INDIRECT(CONCATENATE("$D$"&amp;ET$391)),
IF($K394=INDIRECT(CONCATENATE("$C$"&amp;ET$392)),INDIRECT(CONCATENATE("$C$"&amp;ET$391)),"X")))))))))))))))))))))))))))))))</f>
        <v>X</v>
      </c>
      <c r="LG394" s="58" t="str">
        <f t="shared" ref="LG394:LG428" ca="1" si="1733">IF($K394=INDIRECT(CONCATENATE("$AG$"&amp;EU$392)),INDIRECT(CONCATENATE("$AG$"&amp;EU$391)),
IF($K394=INDIRECT(CONCATENATE("$AF$"&amp;EU$392)),INDIRECT(CONCATENATE("$AF$"&amp;EU$391)),
IF($K394=INDIRECT(CONCATENATE("$AE$"&amp;EU$392)),INDIRECT(CONCATENATE("$AE$"&amp;EU$391)),
IF($K394=INDIRECT(CONCATENATE("$AD$"&amp;EU$392)),INDIRECT(CONCATENATE("$AD$"&amp;EU$391)),
IF($K394=INDIRECT(CONCATENATE("$AC$"&amp;EU$392)),INDIRECT(CONCATENATE("$AC$"&amp;EU$391)),
IF($K394=INDIRECT(CONCATENATE("$AB$"&amp;EU$392)),INDIRECT(CONCATENATE("$AB$"&amp;EU$391)),
IF($K394=INDIRECT(CONCATENATE("$AA$"&amp;EU$392)),INDIRECT(CONCATENATE("$AA$"&amp;EU$391)),
IF($K394=INDIRECT(CONCATENATE("$Z$"&amp;EU$392)),INDIRECT(CONCATENATE("$Z$"&amp;EU$391)),
IF($K394=INDIRECT(CONCATENATE("$Y$"&amp;EU$392)),INDIRECT(CONCATENATE("$Y$"&amp;EU$391)),
IF($K394=INDIRECT(CONCATENATE("$X$"&amp;EU$392)),INDIRECT(CONCATENATE("$X$"&amp;EU$391)),
IF($K394=INDIRECT(CONCATENATE("$W$"&amp;EU$392)),INDIRECT(CONCATENATE("$W$"&amp;EU$391)),
IF($K394=INDIRECT(CONCATENATE("$V$"&amp;EU$392)),INDIRECT(CONCATENATE("$V$"&amp;EU$391)),
IF($K394=INDIRECT(CONCATENATE("$U$"&amp;EU$392)),INDIRECT(CONCATENATE("$U$"&amp;EU$391)),
IF($K394=INDIRECT(CONCATENATE("$T$"&amp;EU$392)),INDIRECT(CONCATENATE("$T$"&amp;EU$391)),
IF($K394=INDIRECT(CONCATENATE("$S$"&amp;EU$392)),INDIRECT(CONCATENATE("$S$"&amp;EU$391)),
IF($K394=INDIRECT(CONCATENATE("$R$"&amp;EU$392)),INDIRECT(CONCATENATE("$R$"&amp;EU$391)),
IF($K394=INDIRECT(CONCATENATE("$Q$"&amp;EU$392)),INDIRECT(CONCATENATE("$Q$"&amp;EU$391)),
IF($K394=INDIRECT(CONCATENATE("$P$"&amp;EU$392)),INDIRECT(CONCATENATE("$P$"&amp;EU$391)),
IF($K394=INDIRECT(CONCATENATE("$O$"&amp;EU$392)),INDIRECT(CONCATENATE("$O$"&amp;EU$391)),
IF($K394=INDIRECT(CONCATENATE("$N$"&amp;EU$392)),INDIRECT(CONCATENATE("$N$"&amp;EU$391)),
IF($K394=INDIRECT(CONCATENATE("$M$"&amp;EU$392)),INDIRECT(CONCATENATE("$M$"&amp;EU$391)),
IF($K394=INDIRECT(CONCATENATE("$L$"&amp;EU$392)),INDIRECT(CONCATENATE("$L$"&amp;EU$391)),
IF($K394=INDIRECT(CONCATENATE("$K$"&amp;EU$392)),INDIRECT(CONCATENATE("$K$"&amp;EU$391)),
IF($K394=INDIRECT(CONCATENATE("$J$"&amp;EU$392)),INDIRECT(CONCATENATE("$J$"&amp;EU$391)),
IF($K394=INDIRECT(CONCATENATE("$I$"&amp;EU$392)),INDIRECT(CONCATENATE("$I$"&amp;EU$391)),
IF($K394=INDIRECT(CONCATENATE("$H$"&amp;EU$392)),INDIRECT(CONCATENATE("$H$"&amp;EU$391)),
IF($K394=INDIRECT(CONCATENATE("$G$"&amp;EU$392)),INDIRECT(CONCATENATE("$G$"&amp;EU$391)),
IF($K394=INDIRECT(CONCATENATE("$F$"&amp;EU$392)),INDIRECT(CONCATENATE("$F$"&amp;EU$391)),
IF($K394=INDIRECT(CONCATENATE("$E$"&amp;EU$392)),INDIRECT(CONCATENATE("$E$"&amp;EU$391)),
IF($K394=INDIRECT(CONCATENATE("$D$"&amp;EU$392)),INDIRECT(CONCATENATE("$D$"&amp;EU$391)),
IF($K394=INDIRECT(CONCATENATE("$C$"&amp;EU$392)),INDIRECT(CONCATENATE("$C$"&amp;EU$391)),"X")))))))))))))))))))))))))))))))</f>
        <v>X</v>
      </c>
      <c r="LH394" s="58" t="str">
        <f t="shared" ref="LH394:LH428" ca="1" si="1734">IF($K394=INDIRECT(CONCATENATE("$AG$"&amp;EV$392)),INDIRECT(CONCATENATE("$AG$"&amp;EV$391)),
IF($K394=INDIRECT(CONCATENATE("$AF$"&amp;EV$392)),INDIRECT(CONCATENATE("$AF$"&amp;EV$391)),
IF($K394=INDIRECT(CONCATENATE("$AE$"&amp;EV$392)),INDIRECT(CONCATENATE("$AE$"&amp;EV$391)),
IF($K394=INDIRECT(CONCATENATE("$AD$"&amp;EV$392)),INDIRECT(CONCATENATE("$AD$"&amp;EV$391)),
IF($K394=INDIRECT(CONCATENATE("$AC$"&amp;EV$392)),INDIRECT(CONCATENATE("$AC$"&amp;EV$391)),
IF($K394=INDIRECT(CONCATENATE("$AB$"&amp;EV$392)),INDIRECT(CONCATENATE("$AB$"&amp;EV$391)),
IF($K394=INDIRECT(CONCATENATE("$AA$"&amp;EV$392)),INDIRECT(CONCATENATE("$AA$"&amp;EV$391)),
IF($K394=INDIRECT(CONCATENATE("$Z$"&amp;EV$392)),INDIRECT(CONCATENATE("$Z$"&amp;EV$391)),
IF($K394=INDIRECT(CONCATENATE("$Y$"&amp;EV$392)),INDIRECT(CONCATENATE("$Y$"&amp;EV$391)),
IF($K394=INDIRECT(CONCATENATE("$X$"&amp;EV$392)),INDIRECT(CONCATENATE("$X$"&amp;EV$391)),
IF($K394=INDIRECT(CONCATENATE("$W$"&amp;EV$392)),INDIRECT(CONCATENATE("$W$"&amp;EV$391)),
IF($K394=INDIRECT(CONCATENATE("$V$"&amp;EV$392)),INDIRECT(CONCATENATE("$V$"&amp;EV$391)),
IF($K394=INDIRECT(CONCATENATE("$U$"&amp;EV$392)),INDIRECT(CONCATENATE("$U$"&amp;EV$391)),
IF($K394=INDIRECT(CONCATENATE("$T$"&amp;EV$392)),INDIRECT(CONCATENATE("$T$"&amp;EV$391)),
IF($K394=INDIRECT(CONCATENATE("$S$"&amp;EV$392)),INDIRECT(CONCATENATE("$S$"&amp;EV$391)),
IF($K394=INDIRECT(CONCATENATE("$R$"&amp;EV$392)),INDIRECT(CONCATENATE("$R$"&amp;EV$391)),
IF($K394=INDIRECT(CONCATENATE("$Q$"&amp;EV$392)),INDIRECT(CONCATENATE("$Q$"&amp;EV$391)),
IF($K394=INDIRECT(CONCATENATE("$P$"&amp;EV$392)),INDIRECT(CONCATENATE("$P$"&amp;EV$391)),
IF($K394=INDIRECT(CONCATENATE("$O$"&amp;EV$392)),INDIRECT(CONCATENATE("$O$"&amp;EV$391)),
IF($K394=INDIRECT(CONCATENATE("$N$"&amp;EV$392)),INDIRECT(CONCATENATE("$N$"&amp;EV$391)),
IF($K394=INDIRECT(CONCATENATE("$M$"&amp;EV$392)),INDIRECT(CONCATENATE("$M$"&amp;EV$391)),
IF($K394=INDIRECT(CONCATENATE("$L$"&amp;EV$392)),INDIRECT(CONCATENATE("$L$"&amp;EV$391)),
IF($K394=INDIRECT(CONCATENATE("$K$"&amp;EV$392)),INDIRECT(CONCATENATE("$K$"&amp;EV$391)),
IF($K394=INDIRECT(CONCATENATE("$J$"&amp;EV$392)),INDIRECT(CONCATENATE("$J$"&amp;EV$391)),
IF($K394=INDIRECT(CONCATENATE("$I$"&amp;EV$392)),INDIRECT(CONCATENATE("$I$"&amp;EV$391)),
IF($K394=INDIRECT(CONCATENATE("$H$"&amp;EV$392)),INDIRECT(CONCATENATE("$H$"&amp;EV$391)),
IF($K394=INDIRECT(CONCATENATE("$G$"&amp;EV$392)),INDIRECT(CONCATENATE("$G$"&amp;EV$391)),
IF($K394=INDIRECT(CONCATENATE("$F$"&amp;EV$392)),INDIRECT(CONCATENATE("$F$"&amp;EV$391)),
IF($K394=INDIRECT(CONCATENATE("$E$"&amp;EV$392)),INDIRECT(CONCATENATE("$E$"&amp;EV$391)),
IF($K394=INDIRECT(CONCATENATE("$D$"&amp;EV$392)),INDIRECT(CONCATENATE("$D$"&amp;EV$391)),
IF($K394=INDIRECT(CONCATENATE("$C$"&amp;EV$392)),INDIRECT(CONCATENATE("$C$"&amp;EV$391)),"X")))))))))))))))))))))))))))))))</f>
        <v>X</v>
      </c>
      <c r="LI394" s="58" t="str">
        <f t="shared" ref="LI394:LI428" ca="1" si="1735">IF($K394=INDIRECT(CONCATENATE("$AG$"&amp;EW$392)),INDIRECT(CONCATENATE("$AG$"&amp;EW$391)),
IF($K394=INDIRECT(CONCATENATE("$AF$"&amp;EW$392)),INDIRECT(CONCATENATE("$AF$"&amp;EW$391)),
IF($K394=INDIRECT(CONCATENATE("$AE$"&amp;EW$392)),INDIRECT(CONCATENATE("$AE$"&amp;EW$391)),
IF($K394=INDIRECT(CONCATENATE("$AD$"&amp;EW$392)),INDIRECT(CONCATENATE("$AD$"&amp;EW$391)),
IF($K394=INDIRECT(CONCATENATE("$AC$"&amp;EW$392)),INDIRECT(CONCATENATE("$AC$"&amp;EW$391)),
IF($K394=INDIRECT(CONCATENATE("$AB$"&amp;EW$392)),INDIRECT(CONCATENATE("$AB$"&amp;EW$391)),
IF($K394=INDIRECT(CONCATENATE("$AA$"&amp;EW$392)),INDIRECT(CONCATENATE("$AA$"&amp;EW$391)),
IF($K394=INDIRECT(CONCATENATE("$Z$"&amp;EW$392)),INDIRECT(CONCATENATE("$Z$"&amp;EW$391)),
IF($K394=INDIRECT(CONCATENATE("$Y$"&amp;EW$392)),INDIRECT(CONCATENATE("$Y$"&amp;EW$391)),
IF($K394=INDIRECT(CONCATENATE("$X$"&amp;EW$392)),INDIRECT(CONCATENATE("$X$"&amp;EW$391)),
IF($K394=INDIRECT(CONCATENATE("$W$"&amp;EW$392)),INDIRECT(CONCATENATE("$W$"&amp;EW$391)),
IF($K394=INDIRECT(CONCATENATE("$V$"&amp;EW$392)),INDIRECT(CONCATENATE("$V$"&amp;EW$391)),
IF($K394=INDIRECT(CONCATENATE("$U$"&amp;EW$392)),INDIRECT(CONCATENATE("$U$"&amp;EW$391)),
IF($K394=INDIRECT(CONCATENATE("$T$"&amp;EW$392)),INDIRECT(CONCATENATE("$T$"&amp;EW$391)),
IF($K394=INDIRECT(CONCATENATE("$S$"&amp;EW$392)),INDIRECT(CONCATENATE("$S$"&amp;EW$391)),
IF($K394=INDIRECT(CONCATENATE("$R$"&amp;EW$392)),INDIRECT(CONCATENATE("$R$"&amp;EW$391)),
IF($K394=INDIRECT(CONCATENATE("$Q$"&amp;EW$392)),INDIRECT(CONCATENATE("$Q$"&amp;EW$391)),
IF($K394=INDIRECT(CONCATENATE("$P$"&amp;EW$392)),INDIRECT(CONCATENATE("$P$"&amp;EW$391)),
IF($K394=INDIRECT(CONCATENATE("$O$"&amp;EW$392)),INDIRECT(CONCATENATE("$O$"&amp;EW$391)),
IF($K394=INDIRECT(CONCATENATE("$N$"&amp;EW$392)),INDIRECT(CONCATENATE("$N$"&amp;EW$391)),
IF($K394=INDIRECT(CONCATENATE("$M$"&amp;EW$392)),INDIRECT(CONCATENATE("$M$"&amp;EW$391)),
IF($K394=INDIRECT(CONCATENATE("$L$"&amp;EW$392)),INDIRECT(CONCATENATE("$L$"&amp;EW$391)),
IF($K394=INDIRECT(CONCATENATE("$K$"&amp;EW$392)),INDIRECT(CONCATENATE("$K$"&amp;EW$391)),
IF($K394=INDIRECT(CONCATENATE("$J$"&amp;EW$392)),INDIRECT(CONCATENATE("$J$"&amp;EW$391)),
IF($K394=INDIRECT(CONCATENATE("$I$"&amp;EW$392)),INDIRECT(CONCATENATE("$I$"&amp;EW$391)),
IF($K394=INDIRECT(CONCATENATE("$H$"&amp;EW$392)),INDIRECT(CONCATENATE("$H$"&amp;EW$391)),
IF($K394=INDIRECT(CONCATENATE("$G$"&amp;EW$392)),INDIRECT(CONCATENATE("$G$"&amp;EW$391)),
IF($K394=INDIRECT(CONCATENATE("$F$"&amp;EW$392)),INDIRECT(CONCATENATE("$F$"&amp;EW$391)),
IF($K394=INDIRECT(CONCATENATE("$E$"&amp;EW$392)),INDIRECT(CONCATENATE("$E$"&amp;EW$391)),
IF($K394=INDIRECT(CONCATENATE("$D$"&amp;EW$392)),INDIRECT(CONCATENATE("$D$"&amp;EW$391)),
IF($K394=INDIRECT(CONCATENATE("$C$"&amp;EW$392)),INDIRECT(CONCATENATE("$C$"&amp;EW$391)),"X")))))))))))))))))))))))))))))))</f>
        <v>X</v>
      </c>
      <c r="LJ394" s="58" t="str">
        <f t="shared" ref="LJ394:LJ428" ca="1" si="1736">IF($K394=INDIRECT(CONCATENATE("$AG$"&amp;EX$392)),INDIRECT(CONCATENATE("$AG$"&amp;EX$391)),
IF($K394=INDIRECT(CONCATENATE("$AF$"&amp;EX$392)),INDIRECT(CONCATENATE("$AF$"&amp;EX$391)),
IF($K394=INDIRECT(CONCATENATE("$AE$"&amp;EX$392)),INDIRECT(CONCATENATE("$AE$"&amp;EX$391)),
IF($K394=INDIRECT(CONCATENATE("$AD$"&amp;EX$392)),INDIRECT(CONCATENATE("$AD$"&amp;EX$391)),
IF($K394=INDIRECT(CONCATENATE("$AC$"&amp;EX$392)),INDIRECT(CONCATENATE("$AC$"&amp;EX$391)),
IF($K394=INDIRECT(CONCATENATE("$AB$"&amp;EX$392)),INDIRECT(CONCATENATE("$AB$"&amp;EX$391)),
IF($K394=INDIRECT(CONCATENATE("$AA$"&amp;EX$392)),INDIRECT(CONCATENATE("$AA$"&amp;EX$391)),
IF($K394=INDIRECT(CONCATENATE("$Z$"&amp;EX$392)),INDIRECT(CONCATENATE("$Z$"&amp;EX$391)),
IF($K394=INDIRECT(CONCATENATE("$Y$"&amp;EX$392)),INDIRECT(CONCATENATE("$Y$"&amp;EX$391)),
IF($K394=INDIRECT(CONCATENATE("$X$"&amp;EX$392)),INDIRECT(CONCATENATE("$X$"&amp;EX$391)),
IF($K394=INDIRECT(CONCATENATE("$W$"&amp;EX$392)),INDIRECT(CONCATENATE("$W$"&amp;EX$391)),
IF($K394=INDIRECT(CONCATENATE("$V$"&amp;EX$392)),INDIRECT(CONCATENATE("$V$"&amp;EX$391)),
IF($K394=INDIRECT(CONCATENATE("$U$"&amp;EX$392)),INDIRECT(CONCATENATE("$U$"&amp;EX$391)),
IF($K394=INDIRECT(CONCATENATE("$T$"&amp;EX$392)),INDIRECT(CONCATENATE("$T$"&amp;EX$391)),
IF($K394=INDIRECT(CONCATENATE("$S$"&amp;EX$392)),INDIRECT(CONCATENATE("$S$"&amp;EX$391)),
IF($K394=INDIRECT(CONCATENATE("$R$"&amp;EX$392)),INDIRECT(CONCATENATE("$R$"&amp;EX$391)),
IF($K394=INDIRECT(CONCATENATE("$Q$"&amp;EX$392)),INDIRECT(CONCATENATE("$Q$"&amp;EX$391)),
IF($K394=INDIRECT(CONCATENATE("$P$"&amp;EX$392)),INDIRECT(CONCATENATE("$P$"&amp;EX$391)),
IF($K394=INDIRECT(CONCATENATE("$O$"&amp;EX$392)),INDIRECT(CONCATENATE("$O$"&amp;EX$391)),
IF($K394=INDIRECT(CONCATENATE("$N$"&amp;EX$392)),INDIRECT(CONCATENATE("$N$"&amp;EX$391)),
IF($K394=INDIRECT(CONCATENATE("$M$"&amp;EX$392)),INDIRECT(CONCATENATE("$M$"&amp;EX$391)),
IF($K394=INDIRECT(CONCATENATE("$L$"&amp;EX$392)),INDIRECT(CONCATENATE("$L$"&amp;EX$391)),
IF($K394=INDIRECT(CONCATENATE("$K$"&amp;EX$392)),INDIRECT(CONCATENATE("$K$"&amp;EX$391)),
IF($K394=INDIRECT(CONCATENATE("$J$"&amp;EX$392)),INDIRECT(CONCATENATE("$J$"&amp;EX$391)),
IF($K394=INDIRECT(CONCATENATE("$I$"&amp;EX$392)),INDIRECT(CONCATENATE("$I$"&amp;EX$391)),
IF($K394=INDIRECT(CONCATENATE("$H$"&amp;EX$392)),INDIRECT(CONCATENATE("$H$"&amp;EX$391)),
IF($K394=INDIRECT(CONCATENATE("$G$"&amp;EX$392)),INDIRECT(CONCATENATE("$G$"&amp;EX$391)),
IF($K394=INDIRECT(CONCATENATE("$F$"&amp;EX$392)),INDIRECT(CONCATENATE("$F$"&amp;EX$391)),
IF($K394=INDIRECT(CONCATENATE("$E$"&amp;EX$392)),INDIRECT(CONCATENATE("$E$"&amp;EX$391)),
IF($K394=INDIRECT(CONCATENATE("$D$"&amp;EX$392)),INDIRECT(CONCATENATE("$D$"&amp;EX$391)),
IF($K394=INDIRECT(CONCATENATE("$C$"&amp;EX$392)),INDIRECT(CONCATENATE("$C$"&amp;EX$391)),"X")))))))))))))))))))))))))))))))</f>
        <v>X</v>
      </c>
      <c r="LK394" s="58" t="str">
        <f t="shared" ref="LK394:LK428" ca="1" si="1737">IF($K394=INDIRECT(CONCATENATE("$AG$"&amp;EY$392)),INDIRECT(CONCATENATE("$AG$"&amp;EY$391)),
IF($K394=INDIRECT(CONCATENATE("$AF$"&amp;EY$392)),INDIRECT(CONCATENATE("$AF$"&amp;EY$391)),
IF($K394=INDIRECT(CONCATENATE("$AE$"&amp;EY$392)),INDIRECT(CONCATENATE("$AE$"&amp;EY$391)),
IF($K394=INDIRECT(CONCATENATE("$AD$"&amp;EY$392)),INDIRECT(CONCATENATE("$AD$"&amp;EY$391)),
IF($K394=INDIRECT(CONCATENATE("$AC$"&amp;EY$392)),INDIRECT(CONCATENATE("$AC$"&amp;EY$391)),
IF($K394=INDIRECT(CONCATENATE("$AB$"&amp;EY$392)),INDIRECT(CONCATENATE("$AB$"&amp;EY$391)),
IF($K394=INDIRECT(CONCATENATE("$AA$"&amp;EY$392)),INDIRECT(CONCATENATE("$AA$"&amp;EY$391)),
IF($K394=INDIRECT(CONCATENATE("$Z$"&amp;EY$392)),INDIRECT(CONCATENATE("$Z$"&amp;EY$391)),
IF($K394=INDIRECT(CONCATENATE("$Y$"&amp;EY$392)),INDIRECT(CONCATENATE("$Y$"&amp;EY$391)),
IF($K394=INDIRECT(CONCATENATE("$X$"&amp;EY$392)),INDIRECT(CONCATENATE("$X$"&amp;EY$391)),
IF($K394=INDIRECT(CONCATENATE("$W$"&amp;EY$392)),INDIRECT(CONCATENATE("$W$"&amp;EY$391)),
IF($K394=INDIRECT(CONCATENATE("$V$"&amp;EY$392)),INDIRECT(CONCATENATE("$V$"&amp;EY$391)),
IF($K394=INDIRECT(CONCATENATE("$U$"&amp;EY$392)),INDIRECT(CONCATENATE("$U$"&amp;EY$391)),
IF($K394=INDIRECT(CONCATENATE("$T$"&amp;EY$392)),INDIRECT(CONCATENATE("$T$"&amp;EY$391)),
IF($K394=INDIRECT(CONCATENATE("$S$"&amp;EY$392)),INDIRECT(CONCATENATE("$S$"&amp;EY$391)),
IF($K394=INDIRECT(CONCATENATE("$R$"&amp;EY$392)),INDIRECT(CONCATENATE("$R$"&amp;EY$391)),
IF($K394=INDIRECT(CONCATENATE("$Q$"&amp;EY$392)),INDIRECT(CONCATENATE("$Q$"&amp;EY$391)),
IF($K394=INDIRECT(CONCATENATE("$P$"&amp;EY$392)),INDIRECT(CONCATENATE("$P$"&amp;EY$391)),
IF($K394=INDIRECT(CONCATENATE("$O$"&amp;EY$392)),INDIRECT(CONCATENATE("$O$"&amp;EY$391)),
IF($K394=INDIRECT(CONCATENATE("$N$"&amp;EY$392)),INDIRECT(CONCATENATE("$N$"&amp;EY$391)),
IF($K394=INDIRECT(CONCATENATE("$M$"&amp;EY$392)),INDIRECT(CONCATENATE("$M$"&amp;EY$391)),
IF($K394=INDIRECT(CONCATENATE("$L$"&amp;EY$392)),INDIRECT(CONCATENATE("$L$"&amp;EY$391)),
IF($K394=INDIRECT(CONCATENATE("$K$"&amp;EY$392)),INDIRECT(CONCATENATE("$K$"&amp;EY$391)),
IF($K394=INDIRECT(CONCATENATE("$J$"&amp;EY$392)),INDIRECT(CONCATENATE("$J$"&amp;EY$391)),
IF($K394=INDIRECT(CONCATENATE("$I$"&amp;EY$392)),INDIRECT(CONCATENATE("$I$"&amp;EY$391)),
IF($K394=INDIRECT(CONCATENATE("$H$"&amp;EY$392)),INDIRECT(CONCATENATE("$H$"&amp;EY$391)),
IF($K394=INDIRECT(CONCATENATE("$G$"&amp;EY$392)),INDIRECT(CONCATENATE("$G$"&amp;EY$391)),
IF($K394=INDIRECT(CONCATENATE("$F$"&amp;EY$392)),INDIRECT(CONCATENATE("$F$"&amp;EY$391)),
IF($K394=INDIRECT(CONCATENATE("$E$"&amp;EY$392)),INDIRECT(CONCATENATE("$E$"&amp;EY$391)),
IF($K394=INDIRECT(CONCATENATE("$D$"&amp;EY$392)),INDIRECT(CONCATENATE("$D$"&amp;EY$391)),
IF($K394=INDIRECT(CONCATENATE("$C$"&amp;EY$392)),INDIRECT(CONCATENATE("$C$"&amp;EY$391)),"X")))))))))))))))))))))))))))))))</f>
        <v>X</v>
      </c>
      <c r="LL394" s="58" t="str">
        <f t="shared" ref="LL394:LL428" ca="1" si="1738">IF($K394=INDIRECT(CONCATENATE("$AG$"&amp;EZ$392)),INDIRECT(CONCATENATE("$AG$"&amp;EZ$391)),
IF($K394=INDIRECT(CONCATENATE("$AF$"&amp;EZ$392)),INDIRECT(CONCATENATE("$AF$"&amp;EZ$391)),
IF($K394=INDIRECT(CONCATENATE("$AE$"&amp;EZ$392)),INDIRECT(CONCATENATE("$AE$"&amp;EZ$391)),
IF($K394=INDIRECT(CONCATENATE("$AD$"&amp;EZ$392)),INDIRECT(CONCATENATE("$AD$"&amp;EZ$391)),
IF($K394=INDIRECT(CONCATENATE("$AC$"&amp;EZ$392)),INDIRECT(CONCATENATE("$AC$"&amp;EZ$391)),
IF($K394=INDIRECT(CONCATENATE("$AB$"&amp;EZ$392)),INDIRECT(CONCATENATE("$AB$"&amp;EZ$391)),
IF($K394=INDIRECT(CONCATENATE("$AA$"&amp;EZ$392)),INDIRECT(CONCATENATE("$AA$"&amp;EZ$391)),
IF($K394=INDIRECT(CONCATENATE("$Z$"&amp;EZ$392)),INDIRECT(CONCATENATE("$Z$"&amp;EZ$391)),
IF($K394=INDIRECT(CONCATENATE("$Y$"&amp;EZ$392)),INDIRECT(CONCATENATE("$Y$"&amp;EZ$391)),
IF($K394=INDIRECT(CONCATENATE("$X$"&amp;EZ$392)),INDIRECT(CONCATENATE("$X$"&amp;EZ$391)),
IF($K394=INDIRECT(CONCATENATE("$W$"&amp;EZ$392)),INDIRECT(CONCATENATE("$W$"&amp;EZ$391)),
IF($K394=INDIRECT(CONCATENATE("$V$"&amp;EZ$392)),INDIRECT(CONCATENATE("$V$"&amp;EZ$391)),
IF($K394=INDIRECT(CONCATENATE("$U$"&amp;EZ$392)),INDIRECT(CONCATENATE("$U$"&amp;EZ$391)),
IF($K394=INDIRECT(CONCATENATE("$T$"&amp;EZ$392)),INDIRECT(CONCATENATE("$T$"&amp;EZ$391)),
IF($K394=INDIRECT(CONCATENATE("$S$"&amp;EZ$392)),INDIRECT(CONCATENATE("$S$"&amp;EZ$391)),
IF($K394=INDIRECT(CONCATENATE("$R$"&amp;EZ$392)),INDIRECT(CONCATENATE("$R$"&amp;EZ$391)),
IF($K394=INDIRECT(CONCATENATE("$Q$"&amp;EZ$392)),INDIRECT(CONCATENATE("$Q$"&amp;EZ$391)),
IF($K394=INDIRECT(CONCATENATE("$P$"&amp;EZ$392)),INDIRECT(CONCATENATE("$P$"&amp;EZ$391)),
IF($K394=INDIRECT(CONCATENATE("$O$"&amp;EZ$392)),INDIRECT(CONCATENATE("$O$"&amp;EZ$391)),
IF($K394=INDIRECT(CONCATENATE("$N$"&amp;EZ$392)),INDIRECT(CONCATENATE("$N$"&amp;EZ$391)),
IF($K394=INDIRECT(CONCATENATE("$M$"&amp;EZ$392)),INDIRECT(CONCATENATE("$M$"&amp;EZ$391)),
IF($K394=INDIRECT(CONCATENATE("$L$"&amp;EZ$392)),INDIRECT(CONCATENATE("$L$"&amp;EZ$391)),
IF($K394=INDIRECT(CONCATENATE("$K$"&amp;EZ$392)),INDIRECT(CONCATENATE("$K$"&amp;EZ$391)),
IF($K394=INDIRECT(CONCATENATE("$J$"&amp;EZ$392)),INDIRECT(CONCATENATE("$J$"&amp;EZ$391)),
IF($K394=INDIRECT(CONCATENATE("$I$"&amp;EZ$392)),INDIRECT(CONCATENATE("$I$"&amp;EZ$391)),
IF($K394=INDIRECT(CONCATENATE("$H$"&amp;EZ$392)),INDIRECT(CONCATENATE("$H$"&amp;EZ$391)),
IF($K394=INDIRECT(CONCATENATE("$G$"&amp;EZ$392)),INDIRECT(CONCATENATE("$G$"&amp;EZ$391)),
IF($K394=INDIRECT(CONCATENATE("$F$"&amp;EZ$392)),INDIRECT(CONCATENATE("$F$"&amp;EZ$391)),
IF($K394=INDIRECT(CONCATENATE("$E$"&amp;EZ$392)),INDIRECT(CONCATENATE("$E$"&amp;EZ$391)),
IF($K394=INDIRECT(CONCATENATE("$D$"&amp;EZ$392)),INDIRECT(CONCATENATE("$D$"&amp;EZ$391)),
IF($K394=INDIRECT(CONCATENATE("$C$"&amp;EZ$392)),INDIRECT(CONCATENATE("$C$"&amp;EZ$391)),"X")))))))))))))))))))))))))))))))</f>
        <v>X</v>
      </c>
      <c r="LM394" s="58" t="str">
        <f t="shared" ref="LM394:LM428" ca="1" si="1739">IF($K394=INDIRECT(CONCATENATE("$AG$"&amp;FA$392)),INDIRECT(CONCATENATE("$AG$"&amp;FA$391)),
IF($K394=INDIRECT(CONCATENATE("$AF$"&amp;FA$392)),INDIRECT(CONCATENATE("$AF$"&amp;FA$391)),
IF($K394=INDIRECT(CONCATENATE("$AE$"&amp;FA$392)),INDIRECT(CONCATENATE("$AE$"&amp;FA$391)),
IF($K394=INDIRECT(CONCATENATE("$AD$"&amp;FA$392)),INDIRECT(CONCATENATE("$AD$"&amp;FA$391)),
IF($K394=INDIRECT(CONCATENATE("$AC$"&amp;FA$392)),INDIRECT(CONCATENATE("$AC$"&amp;FA$391)),
IF($K394=INDIRECT(CONCATENATE("$AB$"&amp;FA$392)),INDIRECT(CONCATENATE("$AB$"&amp;FA$391)),
IF($K394=INDIRECT(CONCATENATE("$AA$"&amp;FA$392)),INDIRECT(CONCATENATE("$AA$"&amp;FA$391)),
IF($K394=INDIRECT(CONCATENATE("$Z$"&amp;FA$392)),INDIRECT(CONCATENATE("$Z$"&amp;FA$391)),
IF($K394=INDIRECT(CONCATENATE("$Y$"&amp;FA$392)),INDIRECT(CONCATENATE("$Y$"&amp;FA$391)),
IF($K394=INDIRECT(CONCATENATE("$X$"&amp;FA$392)),INDIRECT(CONCATENATE("$X$"&amp;FA$391)),
IF($K394=INDIRECT(CONCATENATE("$W$"&amp;FA$392)),INDIRECT(CONCATENATE("$W$"&amp;FA$391)),
IF($K394=INDIRECT(CONCATENATE("$V$"&amp;FA$392)),INDIRECT(CONCATENATE("$V$"&amp;FA$391)),
IF($K394=INDIRECT(CONCATENATE("$U$"&amp;FA$392)),INDIRECT(CONCATENATE("$U$"&amp;FA$391)),
IF($K394=INDIRECT(CONCATENATE("$T$"&amp;FA$392)),INDIRECT(CONCATENATE("$T$"&amp;FA$391)),
IF($K394=INDIRECT(CONCATENATE("$S$"&amp;FA$392)),INDIRECT(CONCATENATE("$S$"&amp;FA$391)),
IF($K394=INDIRECT(CONCATENATE("$R$"&amp;FA$392)),INDIRECT(CONCATENATE("$R$"&amp;FA$391)),
IF($K394=INDIRECT(CONCATENATE("$Q$"&amp;FA$392)),INDIRECT(CONCATENATE("$Q$"&amp;FA$391)),
IF($K394=INDIRECT(CONCATENATE("$P$"&amp;FA$392)),INDIRECT(CONCATENATE("$P$"&amp;FA$391)),
IF($K394=INDIRECT(CONCATENATE("$O$"&amp;FA$392)),INDIRECT(CONCATENATE("$O$"&amp;FA$391)),
IF($K394=INDIRECT(CONCATENATE("$N$"&amp;FA$392)),INDIRECT(CONCATENATE("$N$"&amp;FA$391)),
IF($K394=INDIRECT(CONCATENATE("$M$"&amp;FA$392)),INDIRECT(CONCATENATE("$M$"&amp;FA$391)),
IF($K394=INDIRECT(CONCATENATE("$L$"&amp;FA$392)),INDIRECT(CONCATENATE("$L$"&amp;FA$391)),
IF($K394=INDIRECT(CONCATENATE("$K$"&amp;FA$392)),INDIRECT(CONCATENATE("$K$"&amp;FA$391)),
IF($K394=INDIRECT(CONCATENATE("$J$"&amp;FA$392)),INDIRECT(CONCATENATE("$J$"&amp;FA$391)),
IF($K394=INDIRECT(CONCATENATE("$I$"&amp;FA$392)),INDIRECT(CONCATENATE("$I$"&amp;FA$391)),
IF($K394=INDIRECT(CONCATENATE("$H$"&amp;FA$392)),INDIRECT(CONCATENATE("$H$"&amp;FA$391)),
IF($K394=INDIRECT(CONCATENATE("$G$"&amp;FA$392)),INDIRECT(CONCATENATE("$G$"&amp;FA$391)),
IF($K394=INDIRECT(CONCATENATE("$F$"&amp;FA$392)),INDIRECT(CONCATENATE("$F$"&amp;FA$391)),
IF($K394=INDIRECT(CONCATENATE("$E$"&amp;FA$392)),INDIRECT(CONCATENATE("$E$"&amp;FA$391)),
IF($K394=INDIRECT(CONCATENATE("$D$"&amp;FA$392)),INDIRECT(CONCATENATE("$D$"&amp;FA$391)),
IF($K394=INDIRECT(CONCATENATE("$C$"&amp;FA$392)),INDIRECT(CONCATENATE("$C$"&amp;FA$391)),"X")))))))))))))))))))))))))))))))</f>
        <v>X</v>
      </c>
      <c r="LN394" s="58" t="str">
        <f t="shared" ref="LN394:LN428" ca="1" si="1740">IF($K394=INDIRECT(CONCATENATE("$AG$"&amp;FB$392)),INDIRECT(CONCATENATE("$AG$"&amp;FB$391)),
IF($K394=INDIRECT(CONCATENATE("$AF$"&amp;FB$392)),INDIRECT(CONCATENATE("$AF$"&amp;FB$391)),
IF($K394=INDIRECT(CONCATENATE("$AE$"&amp;FB$392)),INDIRECT(CONCATENATE("$AE$"&amp;FB$391)),
IF($K394=INDIRECT(CONCATENATE("$AD$"&amp;FB$392)),INDIRECT(CONCATENATE("$AD$"&amp;FB$391)),
IF($K394=INDIRECT(CONCATENATE("$AC$"&amp;FB$392)),INDIRECT(CONCATENATE("$AC$"&amp;FB$391)),
IF($K394=INDIRECT(CONCATENATE("$AB$"&amp;FB$392)),INDIRECT(CONCATENATE("$AB$"&amp;FB$391)),
IF($K394=INDIRECT(CONCATENATE("$AA$"&amp;FB$392)),INDIRECT(CONCATENATE("$AA$"&amp;FB$391)),
IF($K394=INDIRECT(CONCATENATE("$Z$"&amp;FB$392)),INDIRECT(CONCATENATE("$Z$"&amp;FB$391)),
IF($K394=INDIRECT(CONCATENATE("$Y$"&amp;FB$392)),INDIRECT(CONCATENATE("$Y$"&amp;FB$391)),
IF($K394=INDIRECT(CONCATENATE("$X$"&amp;FB$392)),INDIRECT(CONCATENATE("$X$"&amp;FB$391)),
IF($K394=INDIRECT(CONCATENATE("$W$"&amp;FB$392)),INDIRECT(CONCATENATE("$W$"&amp;FB$391)),
IF($K394=INDIRECT(CONCATENATE("$V$"&amp;FB$392)),INDIRECT(CONCATENATE("$V$"&amp;FB$391)),
IF($K394=INDIRECT(CONCATENATE("$U$"&amp;FB$392)),INDIRECT(CONCATENATE("$U$"&amp;FB$391)),
IF($K394=INDIRECT(CONCATENATE("$T$"&amp;FB$392)),INDIRECT(CONCATENATE("$T$"&amp;FB$391)),
IF($K394=INDIRECT(CONCATENATE("$S$"&amp;FB$392)),INDIRECT(CONCATENATE("$S$"&amp;FB$391)),
IF($K394=INDIRECT(CONCATENATE("$R$"&amp;FB$392)),INDIRECT(CONCATENATE("$R$"&amp;FB$391)),
IF($K394=INDIRECT(CONCATENATE("$Q$"&amp;FB$392)),INDIRECT(CONCATENATE("$Q$"&amp;FB$391)),
IF($K394=INDIRECT(CONCATENATE("$P$"&amp;FB$392)),INDIRECT(CONCATENATE("$P$"&amp;FB$391)),
IF($K394=INDIRECT(CONCATENATE("$O$"&amp;FB$392)),INDIRECT(CONCATENATE("$O$"&amp;FB$391)),
IF($K394=INDIRECT(CONCATENATE("$N$"&amp;FB$392)),INDIRECT(CONCATENATE("$N$"&amp;FB$391)),
IF($K394=INDIRECT(CONCATENATE("$M$"&amp;FB$392)),INDIRECT(CONCATENATE("$M$"&amp;FB$391)),
IF($K394=INDIRECT(CONCATENATE("$L$"&amp;FB$392)),INDIRECT(CONCATENATE("$L$"&amp;FB$391)),
IF($K394=INDIRECT(CONCATENATE("$K$"&amp;FB$392)),INDIRECT(CONCATENATE("$K$"&amp;FB$391)),
IF($K394=INDIRECT(CONCATENATE("$J$"&amp;FB$392)),INDIRECT(CONCATENATE("$J$"&amp;FB$391)),
IF($K394=INDIRECT(CONCATENATE("$I$"&amp;FB$392)),INDIRECT(CONCATENATE("$I$"&amp;FB$391)),
IF($K394=INDIRECT(CONCATENATE("$H$"&amp;FB$392)),INDIRECT(CONCATENATE("$H$"&amp;FB$391)),
IF($K394=INDIRECT(CONCATENATE("$G$"&amp;FB$392)),INDIRECT(CONCATENATE("$G$"&amp;FB$391)),
IF($K394=INDIRECT(CONCATENATE("$F$"&amp;FB$392)),INDIRECT(CONCATENATE("$F$"&amp;FB$391)),
IF($K394=INDIRECT(CONCATENATE("$E$"&amp;FB$392)),INDIRECT(CONCATENATE("$E$"&amp;FB$391)),
IF($K394=INDIRECT(CONCATENATE("$D$"&amp;FB$392)),INDIRECT(CONCATENATE("$D$"&amp;FB$391)),
IF($K394=INDIRECT(CONCATENATE("$C$"&amp;FB$392)),INDIRECT(CONCATENATE("$C$"&amp;FB$391)),"X")))))))))))))))))))))))))))))))</f>
        <v>X</v>
      </c>
      <c r="LO394" s="58" t="str">
        <f t="shared" ref="LO394:LO428" ca="1" si="1741">IF($K394=INDIRECT(CONCATENATE("$AG$"&amp;FC$392)),INDIRECT(CONCATENATE("$AG$"&amp;FC$391)),
IF($K394=INDIRECT(CONCATENATE("$AF$"&amp;FC$392)),INDIRECT(CONCATENATE("$AF$"&amp;FC$391)),
IF($K394=INDIRECT(CONCATENATE("$AE$"&amp;FC$392)),INDIRECT(CONCATENATE("$AE$"&amp;FC$391)),
IF($K394=INDIRECT(CONCATENATE("$AD$"&amp;FC$392)),INDIRECT(CONCATENATE("$AD$"&amp;FC$391)),
IF($K394=INDIRECT(CONCATENATE("$AC$"&amp;FC$392)),INDIRECT(CONCATENATE("$AC$"&amp;FC$391)),
IF($K394=INDIRECT(CONCATENATE("$AB$"&amp;FC$392)),INDIRECT(CONCATENATE("$AB$"&amp;FC$391)),
IF($K394=INDIRECT(CONCATENATE("$AA$"&amp;FC$392)),INDIRECT(CONCATENATE("$AA$"&amp;FC$391)),
IF($K394=INDIRECT(CONCATENATE("$Z$"&amp;FC$392)),INDIRECT(CONCATENATE("$Z$"&amp;FC$391)),
IF($K394=INDIRECT(CONCATENATE("$Y$"&amp;FC$392)),INDIRECT(CONCATENATE("$Y$"&amp;FC$391)),
IF($K394=INDIRECT(CONCATENATE("$X$"&amp;FC$392)),INDIRECT(CONCATENATE("$X$"&amp;FC$391)),
IF($K394=INDIRECT(CONCATENATE("$W$"&amp;FC$392)),INDIRECT(CONCATENATE("$W$"&amp;FC$391)),
IF($K394=INDIRECT(CONCATENATE("$V$"&amp;FC$392)),INDIRECT(CONCATENATE("$V$"&amp;FC$391)),
IF($K394=INDIRECT(CONCATENATE("$U$"&amp;FC$392)),INDIRECT(CONCATENATE("$U$"&amp;FC$391)),
IF($K394=INDIRECT(CONCATENATE("$T$"&amp;FC$392)),INDIRECT(CONCATENATE("$T$"&amp;FC$391)),
IF($K394=INDIRECT(CONCATENATE("$S$"&amp;FC$392)),INDIRECT(CONCATENATE("$S$"&amp;FC$391)),
IF($K394=INDIRECT(CONCATENATE("$R$"&amp;FC$392)),INDIRECT(CONCATENATE("$R$"&amp;FC$391)),
IF($K394=INDIRECT(CONCATENATE("$Q$"&amp;FC$392)),INDIRECT(CONCATENATE("$Q$"&amp;FC$391)),
IF($K394=INDIRECT(CONCATENATE("$P$"&amp;FC$392)),INDIRECT(CONCATENATE("$P$"&amp;FC$391)),
IF($K394=INDIRECT(CONCATENATE("$O$"&amp;FC$392)),INDIRECT(CONCATENATE("$O$"&amp;FC$391)),
IF($K394=INDIRECT(CONCATENATE("$N$"&amp;FC$392)),INDIRECT(CONCATENATE("$N$"&amp;FC$391)),
IF($K394=INDIRECT(CONCATENATE("$M$"&amp;FC$392)),INDIRECT(CONCATENATE("$M$"&amp;FC$391)),
IF($K394=INDIRECT(CONCATENATE("$L$"&amp;FC$392)),INDIRECT(CONCATENATE("$L$"&amp;FC$391)),
IF($K394=INDIRECT(CONCATENATE("$K$"&amp;FC$392)),INDIRECT(CONCATENATE("$K$"&amp;FC$391)),
IF($K394=INDIRECT(CONCATENATE("$J$"&amp;FC$392)),INDIRECT(CONCATENATE("$J$"&amp;FC$391)),
IF($K394=INDIRECT(CONCATENATE("$I$"&amp;FC$392)),INDIRECT(CONCATENATE("$I$"&amp;FC$391)),
IF($K394=INDIRECT(CONCATENATE("$H$"&amp;FC$392)),INDIRECT(CONCATENATE("$H$"&amp;FC$391)),
IF($K394=INDIRECT(CONCATENATE("$G$"&amp;FC$392)),INDIRECT(CONCATENATE("$G$"&amp;FC$391)),
IF($K394=INDIRECT(CONCATENATE("$F$"&amp;FC$392)),INDIRECT(CONCATENATE("$F$"&amp;FC$391)),
IF($K394=INDIRECT(CONCATENATE("$E$"&amp;FC$392)),INDIRECT(CONCATENATE("$E$"&amp;FC$391)),
IF($K394=INDIRECT(CONCATENATE("$D$"&amp;FC$392)),INDIRECT(CONCATENATE("$D$"&amp;FC$391)),
IF($K394=INDIRECT(CONCATENATE("$C$"&amp;FC$392)),INDIRECT(CONCATENATE("$C$"&amp;FC$391)),"X")))))))))))))))))))))))))))))))</f>
        <v>X</v>
      </c>
      <c r="LP394" s="58" t="str">
        <f t="shared" ref="LP394:LP428" ca="1" si="1742">IF($K394=INDIRECT(CONCATENATE("$AG$"&amp;FD$392)),INDIRECT(CONCATENATE("$AG$"&amp;FD$391)),
IF($K394=INDIRECT(CONCATENATE("$AF$"&amp;FD$392)),INDIRECT(CONCATENATE("$AF$"&amp;FD$391)),
IF($K394=INDIRECT(CONCATENATE("$AE$"&amp;FD$392)),INDIRECT(CONCATENATE("$AE$"&amp;FD$391)),
IF($K394=INDIRECT(CONCATENATE("$AD$"&amp;FD$392)),INDIRECT(CONCATENATE("$AD$"&amp;FD$391)),
IF($K394=INDIRECT(CONCATENATE("$AC$"&amp;FD$392)),INDIRECT(CONCATENATE("$AC$"&amp;FD$391)),
IF($K394=INDIRECT(CONCATENATE("$AB$"&amp;FD$392)),INDIRECT(CONCATENATE("$AB$"&amp;FD$391)),
IF($K394=INDIRECT(CONCATENATE("$AA$"&amp;FD$392)),INDIRECT(CONCATENATE("$AA$"&amp;FD$391)),
IF($K394=INDIRECT(CONCATENATE("$Z$"&amp;FD$392)),INDIRECT(CONCATENATE("$Z$"&amp;FD$391)),
IF($K394=INDIRECT(CONCATENATE("$Y$"&amp;FD$392)),INDIRECT(CONCATENATE("$Y$"&amp;FD$391)),
IF($K394=INDIRECT(CONCATENATE("$X$"&amp;FD$392)),INDIRECT(CONCATENATE("$X$"&amp;FD$391)),
IF($K394=INDIRECT(CONCATENATE("$W$"&amp;FD$392)),INDIRECT(CONCATENATE("$W$"&amp;FD$391)),
IF($K394=INDIRECT(CONCATENATE("$V$"&amp;FD$392)),INDIRECT(CONCATENATE("$V$"&amp;FD$391)),
IF($K394=INDIRECT(CONCATENATE("$U$"&amp;FD$392)),INDIRECT(CONCATENATE("$U$"&amp;FD$391)),
IF($K394=INDIRECT(CONCATENATE("$T$"&amp;FD$392)),INDIRECT(CONCATENATE("$T$"&amp;FD$391)),
IF($K394=INDIRECT(CONCATENATE("$S$"&amp;FD$392)),INDIRECT(CONCATENATE("$S$"&amp;FD$391)),
IF($K394=INDIRECT(CONCATENATE("$R$"&amp;FD$392)),INDIRECT(CONCATENATE("$R$"&amp;FD$391)),
IF($K394=INDIRECT(CONCATENATE("$Q$"&amp;FD$392)),INDIRECT(CONCATENATE("$Q$"&amp;FD$391)),
IF($K394=INDIRECT(CONCATENATE("$P$"&amp;FD$392)),INDIRECT(CONCATENATE("$P$"&amp;FD$391)),
IF($K394=INDIRECT(CONCATENATE("$O$"&amp;FD$392)),INDIRECT(CONCATENATE("$O$"&amp;FD$391)),
IF($K394=INDIRECT(CONCATENATE("$N$"&amp;FD$392)),INDIRECT(CONCATENATE("$N$"&amp;FD$391)),
IF($K394=INDIRECT(CONCATENATE("$M$"&amp;FD$392)),INDIRECT(CONCATENATE("$M$"&amp;FD$391)),
IF($K394=INDIRECT(CONCATENATE("$L$"&amp;FD$392)),INDIRECT(CONCATENATE("$L$"&amp;FD$391)),
IF($K394=INDIRECT(CONCATENATE("$K$"&amp;FD$392)),INDIRECT(CONCATENATE("$K$"&amp;FD$391)),
IF($K394=INDIRECT(CONCATENATE("$J$"&amp;FD$392)),INDIRECT(CONCATENATE("$J$"&amp;FD$391)),
IF($K394=INDIRECT(CONCATENATE("$I$"&amp;FD$392)),INDIRECT(CONCATENATE("$I$"&amp;FD$391)),
IF($K394=INDIRECT(CONCATENATE("$H$"&amp;FD$392)),INDIRECT(CONCATENATE("$H$"&amp;FD$391)),
IF($K394=INDIRECT(CONCATENATE("$G$"&amp;FD$392)),INDIRECT(CONCATENATE("$G$"&amp;FD$391)),
IF($K394=INDIRECT(CONCATENATE("$F$"&amp;FD$392)),INDIRECT(CONCATENATE("$F$"&amp;FD$391)),
IF($K394=INDIRECT(CONCATENATE("$E$"&amp;FD$392)),INDIRECT(CONCATENATE("$E$"&amp;FD$391)),
IF($K394=INDIRECT(CONCATENATE("$D$"&amp;FD$392)),INDIRECT(CONCATENATE("$D$"&amp;FD$391)),
IF($K394=INDIRECT(CONCATENATE("$C$"&amp;FD$392)),INDIRECT(CONCATENATE("$C$"&amp;FD$391)),"X")))))))))))))))))))))))))))))))</f>
        <v>X</v>
      </c>
      <c r="LQ394" s="58" t="str">
        <f t="shared" ref="LQ394:LQ428" ca="1" si="1743">IF($K394=INDIRECT(CONCATENATE("$AG$"&amp;FE$392)),INDIRECT(CONCATENATE("$AG$"&amp;FE$391)),
IF($K394=INDIRECT(CONCATENATE("$AF$"&amp;FE$392)),INDIRECT(CONCATENATE("$AF$"&amp;FE$391)),
IF($K394=INDIRECT(CONCATENATE("$AE$"&amp;FE$392)),INDIRECT(CONCATENATE("$AE$"&amp;FE$391)),
IF($K394=INDIRECT(CONCATENATE("$AD$"&amp;FE$392)),INDIRECT(CONCATENATE("$AD$"&amp;FE$391)),
IF($K394=INDIRECT(CONCATENATE("$AC$"&amp;FE$392)),INDIRECT(CONCATENATE("$AC$"&amp;FE$391)),
IF($K394=INDIRECT(CONCATENATE("$AB$"&amp;FE$392)),INDIRECT(CONCATENATE("$AB$"&amp;FE$391)),
IF($K394=INDIRECT(CONCATENATE("$AA$"&amp;FE$392)),INDIRECT(CONCATENATE("$AA$"&amp;FE$391)),
IF($K394=INDIRECT(CONCATENATE("$Z$"&amp;FE$392)),INDIRECT(CONCATENATE("$Z$"&amp;FE$391)),
IF($K394=INDIRECT(CONCATENATE("$Y$"&amp;FE$392)),INDIRECT(CONCATENATE("$Y$"&amp;FE$391)),
IF($K394=INDIRECT(CONCATENATE("$X$"&amp;FE$392)),INDIRECT(CONCATENATE("$X$"&amp;FE$391)),
IF($K394=INDIRECT(CONCATENATE("$W$"&amp;FE$392)),INDIRECT(CONCATENATE("$W$"&amp;FE$391)),
IF($K394=INDIRECT(CONCATENATE("$V$"&amp;FE$392)),INDIRECT(CONCATENATE("$V$"&amp;FE$391)),
IF($K394=INDIRECT(CONCATENATE("$U$"&amp;FE$392)),INDIRECT(CONCATENATE("$U$"&amp;FE$391)),
IF($K394=INDIRECT(CONCATENATE("$T$"&amp;FE$392)),INDIRECT(CONCATENATE("$T$"&amp;FE$391)),
IF($K394=INDIRECT(CONCATENATE("$S$"&amp;FE$392)),INDIRECT(CONCATENATE("$S$"&amp;FE$391)),
IF($K394=INDIRECT(CONCATENATE("$R$"&amp;FE$392)),INDIRECT(CONCATENATE("$R$"&amp;FE$391)),
IF($K394=INDIRECT(CONCATENATE("$Q$"&amp;FE$392)),INDIRECT(CONCATENATE("$Q$"&amp;FE$391)),
IF($K394=INDIRECT(CONCATENATE("$P$"&amp;FE$392)),INDIRECT(CONCATENATE("$P$"&amp;FE$391)),
IF($K394=INDIRECT(CONCATENATE("$O$"&amp;FE$392)),INDIRECT(CONCATENATE("$O$"&amp;FE$391)),
IF($K394=INDIRECT(CONCATENATE("$N$"&amp;FE$392)),INDIRECT(CONCATENATE("$N$"&amp;FE$391)),
IF($K394=INDIRECT(CONCATENATE("$M$"&amp;FE$392)),INDIRECT(CONCATENATE("$M$"&amp;FE$391)),
IF($K394=INDIRECT(CONCATENATE("$L$"&amp;FE$392)),INDIRECT(CONCATENATE("$L$"&amp;FE$391)),
IF($K394=INDIRECT(CONCATENATE("$K$"&amp;FE$392)),INDIRECT(CONCATENATE("$K$"&amp;FE$391)),
IF($K394=INDIRECT(CONCATENATE("$J$"&amp;FE$392)),INDIRECT(CONCATENATE("$J$"&amp;FE$391)),
IF($K394=INDIRECT(CONCATENATE("$I$"&amp;FE$392)),INDIRECT(CONCATENATE("$I$"&amp;FE$391)),
IF($K394=INDIRECT(CONCATENATE("$H$"&amp;FE$392)),INDIRECT(CONCATENATE("$H$"&amp;FE$391)),
IF($K394=INDIRECT(CONCATENATE("$G$"&amp;FE$392)),INDIRECT(CONCATENATE("$G$"&amp;FE$391)),
IF($K394=INDIRECT(CONCATENATE("$F$"&amp;FE$392)),INDIRECT(CONCATENATE("$F$"&amp;FE$391)),
IF($K394=INDIRECT(CONCATENATE("$E$"&amp;FE$392)),INDIRECT(CONCATENATE("$E$"&amp;FE$391)),
IF($K394=INDIRECT(CONCATENATE("$D$"&amp;FE$392)),INDIRECT(CONCATENATE("$D$"&amp;FE$391)),
IF($K394=INDIRECT(CONCATENATE("$C$"&amp;FE$392)),INDIRECT(CONCATENATE("$C$"&amp;FE$391)),"X")))))))))))))))))))))))))))))))</f>
        <v>X</v>
      </c>
      <c r="LR394" s="58" t="str">
        <f t="shared" ref="LR394:LR428" ca="1" si="1744">IF($K394=INDIRECT(CONCATENATE("$AG$"&amp;FF$392)),INDIRECT(CONCATENATE("$AG$"&amp;FF$391)),
IF($K394=INDIRECT(CONCATENATE("$AF$"&amp;FF$392)),INDIRECT(CONCATENATE("$AF$"&amp;FF$391)),
IF($K394=INDIRECT(CONCATENATE("$AE$"&amp;FF$392)),INDIRECT(CONCATENATE("$AE$"&amp;FF$391)),
IF($K394=INDIRECT(CONCATENATE("$AD$"&amp;FF$392)),INDIRECT(CONCATENATE("$AD$"&amp;FF$391)),
IF($K394=INDIRECT(CONCATENATE("$AC$"&amp;FF$392)),INDIRECT(CONCATENATE("$AC$"&amp;FF$391)),
IF($K394=INDIRECT(CONCATENATE("$AB$"&amp;FF$392)),INDIRECT(CONCATENATE("$AB$"&amp;FF$391)),
IF($K394=INDIRECT(CONCATENATE("$AA$"&amp;FF$392)),INDIRECT(CONCATENATE("$AA$"&amp;FF$391)),
IF($K394=INDIRECT(CONCATENATE("$Z$"&amp;FF$392)),INDIRECT(CONCATENATE("$Z$"&amp;FF$391)),
IF($K394=INDIRECT(CONCATENATE("$Y$"&amp;FF$392)),INDIRECT(CONCATENATE("$Y$"&amp;FF$391)),
IF($K394=INDIRECT(CONCATENATE("$X$"&amp;FF$392)),INDIRECT(CONCATENATE("$X$"&amp;FF$391)),
IF($K394=INDIRECT(CONCATENATE("$W$"&amp;FF$392)),INDIRECT(CONCATENATE("$W$"&amp;FF$391)),
IF($K394=INDIRECT(CONCATENATE("$V$"&amp;FF$392)),INDIRECT(CONCATENATE("$V$"&amp;FF$391)),
IF($K394=INDIRECT(CONCATENATE("$U$"&amp;FF$392)),INDIRECT(CONCATENATE("$U$"&amp;FF$391)),
IF($K394=INDIRECT(CONCATENATE("$T$"&amp;FF$392)),INDIRECT(CONCATENATE("$T$"&amp;FF$391)),
IF($K394=INDIRECT(CONCATENATE("$S$"&amp;FF$392)),INDIRECT(CONCATENATE("$S$"&amp;FF$391)),
IF($K394=INDIRECT(CONCATENATE("$R$"&amp;FF$392)),INDIRECT(CONCATENATE("$R$"&amp;FF$391)),
IF($K394=INDIRECT(CONCATENATE("$Q$"&amp;FF$392)),INDIRECT(CONCATENATE("$Q$"&amp;FF$391)),
IF($K394=INDIRECT(CONCATENATE("$P$"&amp;FF$392)),INDIRECT(CONCATENATE("$P$"&amp;FF$391)),
IF($K394=INDIRECT(CONCATENATE("$O$"&amp;FF$392)),INDIRECT(CONCATENATE("$O$"&amp;FF$391)),
IF($K394=INDIRECT(CONCATENATE("$N$"&amp;FF$392)),INDIRECT(CONCATENATE("$N$"&amp;FF$391)),
IF($K394=INDIRECT(CONCATENATE("$M$"&amp;FF$392)),INDIRECT(CONCATENATE("$M$"&amp;FF$391)),
IF($K394=INDIRECT(CONCATENATE("$L$"&amp;FF$392)),INDIRECT(CONCATENATE("$L$"&amp;FF$391)),
IF($K394=INDIRECT(CONCATENATE("$K$"&amp;FF$392)),INDIRECT(CONCATENATE("$K$"&amp;FF$391)),
IF($K394=INDIRECT(CONCATENATE("$J$"&amp;FF$392)),INDIRECT(CONCATENATE("$J$"&amp;FF$391)),
IF($K394=INDIRECT(CONCATENATE("$I$"&amp;FF$392)),INDIRECT(CONCATENATE("$I$"&amp;FF$391)),
IF($K394=INDIRECT(CONCATENATE("$H$"&amp;FF$392)),INDIRECT(CONCATENATE("$H$"&amp;FF$391)),
IF($K394=INDIRECT(CONCATENATE("$G$"&amp;FF$392)),INDIRECT(CONCATENATE("$G$"&amp;FF$391)),
IF($K394=INDIRECT(CONCATENATE("$F$"&amp;FF$392)),INDIRECT(CONCATENATE("$F$"&amp;FF$391)),
IF($K394=INDIRECT(CONCATENATE("$E$"&amp;FF$392)),INDIRECT(CONCATENATE("$E$"&amp;FF$391)),
IF($K394=INDIRECT(CONCATENATE("$D$"&amp;FF$392)),INDIRECT(CONCATENATE("$D$"&amp;FF$391)),
IF($K394=INDIRECT(CONCATENATE("$C$"&amp;FF$392)),INDIRECT(CONCATENATE("$C$"&amp;FF$391)),"X")))))))))))))))))))))))))))))))</f>
        <v>X</v>
      </c>
      <c r="LS394" s="58" t="str">
        <f t="shared" ref="LS394:LS428" ca="1" si="1745">IF($K394=INDIRECT(CONCATENATE("$AG$"&amp;FG$392)),INDIRECT(CONCATENATE("$AG$"&amp;FG$391)),
IF($K394=INDIRECT(CONCATENATE("$AF$"&amp;FG$392)),INDIRECT(CONCATENATE("$AF$"&amp;FG$391)),
IF($K394=INDIRECT(CONCATENATE("$AE$"&amp;FG$392)),INDIRECT(CONCATENATE("$AE$"&amp;FG$391)),
IF($K394=INDIRECT(CONCATENATE("$AD$"&amp;FG$392)),INDIRECT(CONCATENATE("$AD$"&amp;FG$391)),
IF($K394=INDIRECT(CONCATENATE("$AC$"&amp;FG$392)),INDIRECT(CONCATENATE("$AC$"&amp;FG$391)),
IF($K394=INDIRECT(CONCATENATE("$AB$"&amp;FG$392)),INDIRECT(CONCATENATE("$AB$"&amp;FG$391)),
IF($K394=INDIRECT(CONCATENATE("$AA$"&amp;FG$392)),INDIRECT(CONCATENATE("$AA$"&amp;FG$391)),
IF($K394=INDIRECT(CONCATENATE("$Z$"&amp;FG$392)),INDIRECT(CONCATENATE("$Z$"&amp;FG$391)),
IF($K394=INDIRECT(CONCATENATE("$Y$"&amp;FG$392)),INDIRECT(CONCATENATE("$Y$"&amp;FG$391)),
IF($K394=INDIRECT(CONCATENATE("$X$"&amp;FG$392)),INDIRECT(CONCATENATE("$X$"&amp;FG$391)),
IF($K394=INDIRECT(CONCATENATE("$W$"&amp;FG$392)),INDIRECT(CONCATENATE("$W$"&amp;FG$391)),
IF($K394=INDIRECT(CONCATENATE("$V$"&amp;FG$392)),INDIRECT(CONCATENATE("$V$"&amp;FG$391)),
IF($K394=INDIRECT(CONCATENATE("$U$"&amp;FG$392)),INDIRECT(CONCATENATE("$U$"&amp;FG$391)),
IF($K394=INDIRECT(CONCATENATE("$T$"&amp;FG$392)),INDIRECT(CONCATENATE("$T$"&amp;FG$391)),
IF($K394=INDIRECT(CONCATENATE("$S$"&amp;FG$392)),INDIRECT(CONCATENATE("$S$"&amp;FG$391)),
IF($K394=INDIRECT(CONCATENATE("$R$"&amp;FG$392)),INDIRECT(CONCATENATE("$R$"&amp;FG$391)),
IF($K394=INDIRECT(CONCATENATE("$Q$"&amp;FG$392)),INDIRECT(CONCATENATE("$Q$"&amp;FG$391)),
IF($K394=INDIRECT(CONCATENATE("$P$"&amp;FG$392)),INDIRECT(CONCATENATE("$P$"&amp;FG$391)),
IF($K394=INDIRECT(CONCATENATE("$O$"&amp;FG$392)),INDIRECT(CONCATENATE("$O$"&amp;FG$391)),
IF($K394=INDIRECT(CONCATENATE("$N$"&amp;FG$392)),INDIRECT(CONCATENATE("$N$"&amp;FG$391)),
IF($K394=INDIRECT(CONCATENATE("$M$"&amp;FG$392)),INDIRECT(CONCATENATE("$M$"&amp;FG$391)),
IF($K394=INDIRECT(CONCATENATE("$L$"&amp;FG$392)),INDIRECT(CONCATENATE("$L$"&amp;FG$391)),
IF($K394=INDIRECT(CONCATENATE("$K$"&amp;FG$392)),INDIRECT(CONCATENATE("$K$"&amp;FG$391)),
IF($K394=INDIRECT(CONCATENATE("$J$"&amp;FG$392)),INDIRECT(CONCATENATE("$J$"&amp;FG$391)),
IF($K394=INDIRECT(CONCATENATE("$I$"&amp;FG$392)),INDIRECT(CONCATENATE("$I$"&amp;FG$391)),
IF($K394=INDIRECT(CONCATENATE("$H$"&amp;FG$392)),INDIRECT(CONCATENATE("$H$"&amp;FG$391)),
IF($K394=INDIRECT(CONCATENATE("$G$"&amp;FG$392)),INDIRECT(CONCATENATE("$G$"&amp;FG$391)),
IF($K394=INDIRECT(CONCATENATE("$F$"&amp;FG$392)),INDIRECT(CONCATENATE("$F$"&amp;FG$391)),
IF($K394=INDIRECT(CONCATENATE("$E$"&amp;FG$392)),INDIRECT(CONCATENATE("$E$"&amp;FG$391)),
IF($K394=INDIRECT(CONCATENATE("$D$"&amp;FG$392)),INDIRECT(CONCATENATE("$D$"&amp;FG$391)),
IF($K394=INDIRECT(CONCATENATE("$C$"&amp;FG$392)),INDIRECT(CONCATENATE("$C$"&amp;FG$391)),"X")))))))))))))))))))))))))))))))</f>
        <v>X</v>
      </c>
      <c r="LT394" s="58" t="str">
        <f t="shared" ref="LT394:MI428" ca="1" si="1746">IF($K394=INDIRECT(CONCATENATE("$AG$"&amp;FH$392)),INDIRECT(CONCATENATE("$AG$"&amp;FH$391)),
IF($K394=INDIRECT(CONCATENATE("$AF$"&amp;FH$392)),INDIRECT(CONCATENATE("$AF$"&amp;FH$391)),
IF($K394=INDIRECT(CONCATENATE("$AE$"&amp;FH$392)),INDIRECT(CONCATENATE("$AE$"&amp;FH$391)),
IF($K394=INDIRECT(CONCATENATE("$AD$"&amp;FH$392)),INDIRECT(CONCATENATE("$AD$"&amp;FH$391)),
IF($K394=INDIRECT(CONCATENATE("$AC$"&amp;FH$392)),INDIRECT(CONCATENATE("$AC$"&amp;FH$391)),
IF($K394=INDIRECT(CONCATENATE("$AB$"&amp;FH$392)),INDIRECT(CONCATENATE("$AB$"&amp;FH$391)),
IF($K394=INDIRECT(CONCATENATE("$AA$"&amp;FH$392)),INDIRECT(CONCATENATE("$AA$"&amp;FH$391)),
IF($K394=INDIRECT(CONCATENATE("$Z$"&amp;FH$392)),INDIRECT(CONCATENATE("$Z$"&amp;FH$391)),
IF($K394=INDIRECT(CONCATENATE("$Y$"&amp;FH$392)),INDIRECT(CONCATENATE("$Y$"&amp;FH$391)),
IF($K394=INDIRECT(CONCATENATE("$X$"&amp;FH$392)),INDIRECT(CONCATENATE("$X$"&amp;FH$391)),
IF($K394=INDIRECT(CONCATENATE("$W$"&amp;FH$392)),INDIRECT(CONCATENATE("$W$"&amp;FH$391)),
IF($K394=INDIRECT(CONCATENATE("$V$"&amp;FH$392)),INDIRECT(CONCATENATE("$V$"&amp;FH$391)),
IF($K394=INDIRECT(CONCATENATE("$U$"&amp;FH$392)),INDIRECT(CONCATENATE("$U$"&amp;FH$391)),
IF($K394=INDIRECT(CONCATENATE("$T$"&amp;FH$392)),INDIRECT(CONCATENATE("$T$"&amp;FH$391)),
IF($K394=INDIRECT(CONCATENATE("$S$"&amp;FH$392)),INDIRECT(CONCATENATE("$S$"&amp;FH$391)),
IF($K394=INDIRECT(CONCATENATE("$R$"&amp;FH$392)),INDIRECT(CONCATENATE("$R$"&amp;FH$391)),
IF($K394=INDIRECT(CONCATENATE("$Q$"&amp;FH$392)),INDIRECT(CONCATENATE("$Q$"&amp;FH$391)),
IF($K394=INDIRECT(CONCATENATE("$P$"&amp;FH$392)),INDIRECT(CONCATENATE("$P$"&amp;FH$391)),
IF($K394=INDIRECT(CONCATENATE("$O$"&amp;FH$392)),INDIRECT(CONCATENATE("$O$"&amp;FH$391)),
IF($K394=INDIRECT(CONCATENATE("$N$"&amp;FH$392)),INDIRECT(CONCATENATE("$N$"&amp;FH$391)),
IF($K394=INDIRECT(CONCATENATE("$M$"&amp;FH$392)),INDIRECT(CONCATENATE("$M$"&amp;FH$391)),
IF($K394=INDIRECT(CONCATENATE("$L$"&amp;FH$392)),INDIRECT(CONCATENATE("$L$"&amp;FH$391)),
IF($K394=INDIRECT(CONCATENATE("$K$"&amp;FH$392)),INDIRECT(CONCATENATE("$K$"&amp;FH$391)),
IF($K394=INDIRECT(CONCATENATE("$J$"&amp;FH$392)),INDIRECT(CONCATENATE("$J$"&amp;FH$391)),
IF($K394=INDIRECT(CONCATENATE("$I$"&amp;FH$392)),INDIRECT(CONCATENATE("$I$"&amp;FH$391)),
IF($K394=INDIRECT(CONCATENATE("$H$"&amp;FH$392)),INDIRECT(CONCATENATE("$H$"&amp;FH$391)),
IF($K394=INDIRECT(CONCATENATE("$G$"&amp;FH$392)),INDIRECT(CONCATENATE("$G$"&amp;FH$391)),
IF($K394=INDIRECT(CONCATENATE("$F$"&amp;FH$392)),INDIRECT(CONCATENATE("$F$"&amp;FH$391)),
IF($K394=INDIRECT(CONCATENATE("$E$"&amp;FH$392)),INDIRECT(CONCATENATE("$E$"&amp;FH$391)),
IF($K394=INDIRECT(CONCATENATE("$D$"&amp;FH$392)),INDIRECT(CONCATENATE("$D$"&amp;FH$391)),
IF($K394=INDIRECT(CONCATENATE("$C$"&amp;FH$392)),INDIRECT(CONCATENATE("$C$"&amp;FH$391)),"X")))))))))))))))))))))))))))))))</f>
        <v>X</v>
      </c>
      <c r="LU394" s="58" t="str">
        <f t="shared" ref="LU394:LU428" ca="1" si="1747">IF($K394=INDIRECT(CONCATENATE("$AG$"&amp;FI$392)),INDIRECT(CONCATENATE("$AG$"&amp;FI$391)),
IF($K394=INDIRECT(CONCATENATE("$AF$"&amp;FI$392)),INDIRECT(CONCATENATE("$AF$"&amp;FI$391)),
IF($K394=INDIRECT(CONCATENATE("$AE$"&amp;FI$392)),INDIRECT(CONCATENATE("$AE$"&amp;FI$391)),
IF($K394=INDIRECT(CONCATENATE("$AD$"&amp;FI$392)),INDIRECT(CONCATENATE("$AD$"&amp;FI$391)),
IF($K394=INDIRECT(CONCATENATE("$AC$"&amp;FI$392)),INDIRECT(CONCATENATE("$AC$"&amp;FI$391)),
IF($K394=INDIRECT(CONCATENATE("$AB$"&amp;FI$392)),INDIRECT(CONCATENATE("$AB$"&amp;FI$391)),
IF($K394=INDIRECT(CONCATENATE("$AA$"&amp;FI$392)),INDIRECT(CONCATENATE("$AA$"&amp;FI$391)),
IF($K394=INDIRECT(CONCATENATE("$Z$"&amp;FI$392)),INDIRECT(CONCATENATE("$Z$"&amp;FI$391)),
IF($K394=INDIRECT(CONCATENATE("$Y$"&amp;FI$392)),INDIRECT(CONCATENATE("$Y$"&amp;FI$391)),
IF($K394=INDIRECT(CONCATENATE("$X$"&amp;FI$392)),INDIRECT(CONCATENATE("$X$"&amp;FI$391)),
IF($K394=INDIRECT(CONCATENATE("$W$"&amp;FI$392)),INDIRECT(CONCATENATE("$W$"&amp;FI$391)),
IF($K394=INDIRECT(CONCATENATE("$V$"&amp;FI$392)),INDIRECT(CONCATENATE("$V$"&amp;FI$391)),
IF($K394=INDIRECT(CONCATENATE("$U$"&amp;FI$392)),INDIRECT(CONCATENATE("$U$"&amp;FI$391)),
IF($K394=INDIRECT(CONCATENATE("$T$"&amp;FI$392)),INDIRECT(CONCATENATE("$T$"&amp;FI$391)),
IF($K394=INDIRECT(CONCATENATE("$S$"&amp;FI$392)),INDIRECT(CONCATENATE("$S$"&amp;FI$391)),
IF($K394=INDIRECT(CONCATENATE("$R$"&amp;FI$392)),INDIRECT(CONCATENATE("$R$"&amp;FI$391)),
IF($K394=INDIRECT(CONCATENATE("$Q$"&amp;FI$392)),INDIRECT(CONCATENATE("$Q$"&amp;FI$391)),
IF($K394=INDIRECT(CONCATENATE("$P$"&amp;FI$392)),INDIRECT(CONCATENATE("$P$"&amp;FI$391)),
IF($K394=INDIRECT(CONCATENATE("$O$"&amp;FI$392)),INDIRECT(CONCATENATE("$O$"&amp;FI$391)),
IF($K394=INDIRECT(CONCATENATE("$N$"&amp;FI$392)),INDIRECT(CONCATENATE("$N$"&amp;FI$391)),
IF($K394=INDIRECT(CONCATENATE("$M$"&amp;FI$392)),INDIRECT(CONCATENATE("$M$"&amp;FI$391)),
IF($K394=INDIRECT(CONCATENATE("$L$"&amp;FI$392)),INDIRECT(CONCATENATE("$L$"&amp;FI$391)),
IF($K394=INDIRECT(CONCATENATE("$K$"&amp;FI$392)),INDIRECT(CONCATENATE("$K$"&amp;FI$391)),
IF($K394=INDIRECT(CONCATENATE("$J$"&amp;FI$392)),INDIRECT(CONCATENATE("$J$"&amp;FI$391)),
IF($K394=INDIRECT(CONCATENATE("$I$"&amp;FI$392)),INDIRECT(CONCATENATE("$I$"&amp;FI$391)),
IF($K394=INDIRECT(CONCATENATE("$H$"&amp;FI$392)),INDIRECT(CONCATENATE("$H$"&amp;FI$391)),
IF($K394=INDIRECT(CONCATENATE("$G$"&amp;FI$392)),INDIRECT(CONCATENATE("$G$"&amp;FI$391)),
IF($K394=INDIRECT(CONCATENATE("$F$"&amp;FI$392)),INDIRECT(CONCATENATE("$F$"&amp;FI$391)),
IF($K394=INDIRECT(CONCATENATE("$E$"&amp;FI$392)),INDIRECT(CONCATENATE("$E$"&amp;FI$391)),
IF($K394=INDIRECT(CONCATENATE("$D$"&amp;FI$392)),INDIRECT(CONCATENATE("$D$"&amp;FI$391)),
IF($K394=INDIRECT(CONCATENATE("$C$"&amp;FI$392)),INDIRECT(CONCATENATE("$C$"&amp;FI$391)),"X")))))))))))))))))))))))))))))))</f>
        <v>X</v>
      </c>
      <c r="LV394" s="58" t="str">
        <f t="shared" ref="LV394:LV428" ca="1" si="1748">IF($K394=INDIRECT(CONCATENATE("$AG$"&amp;FJ$392)),INDIRECT(CONCATENATE("$AG$"&amp;FJ$391)),
IF($K394=INDIRECT(CONCATENATE("$AF$"&amp;FJ$392)),INDIRECT(CONCATENATE("$AF$"&amp;FJ$391)),
IF($K394=INDIRECT(CONCATENATE("$AE$"&amp;FJ$392)),INDIRECT(CONCATENATE("$AE$"&amp;FJ$391)),
IF($K394=INDIRECT(CONCATENATE("$AD$"&amp;FJ$392)),INDIRECT(CONCATENATE("$AD$"&amp;FJ$391)),
IF($K394=INDIRECT(CONCATENATE("$AC$"&amp;FJ$392)),INDIRECT(CONCATENATE("$AC$"&amp;FJ$391)),
IF($K394=INDIRECT(CONCATENATE("$AB$"&amp;FJ$392)),INDIRECT(CONCATENATE("$AB$"&amp;FJ$391)),
IF($K394=INDIRECT(CONCATENATE("$AA$"&amp;FJ$392)),INDIRECT(CONCATENATE("$AA$"&amp;FJ$391)),
IF($K394=INDIRECT(CONCATENATE("$Z$"&amp;FJ$392)),INDIRECT(CONCATENATE("$Z$"&amp;FJ$391)),
IF($K394=INDIRECT(CONCATENATE("$Y$"&amp;FJ$392)),INDIRECT(CONCATENATE("$Y$"&amp;FJ$391)),
IF($K394=INDIRECT(CONCATENATE("$X$"&amp;FJ$392)),INDIRECT(CONCATENATE("$X$"&amp;FJ$391)),
IF($K394=INDIRECT(CONCATENATE("$W$"&amp;FJ$392)),INDIRECT(CONCATENATE("$W$"&amp;FJ$391)),
IF($K394=INDIRECT(CONCATENATE("$V$"&amp;FJ$392)),INDIRECT(CONCATENATE("$V$"&amp;FJ$391)),
IF($K394=INDIRECT(CONCATENATE("$U$"&amp;FJ$392)),INDIRECT(CONCATENATE("$U$"&amp;FJ$391)),
IF($K394=INDIRECT(CONCATENATE("$T$"&amp;FJ$392)),INDIRECT(CONCATENATE("$T$"&amp;FJ$391)),
IF($K394=INDIRECT(CONCATENATE("$S$"&amp;FJ$392)),INDIRECT(CONCATENATE("$S$"&amp;FJ$391)),
IF($K394=INDIRECT(CONCATENATE("$R$"&amp;FJ$392)),INDIRECT(CONCATENATE("$R$"&amp;FJ$391)),
IF($K394=INDIRECT(CONCATENATE("$Q$"&amp;FJ$392)),INDIRECT(CONCATENATE("$Q$"&amp;FJ$391)),
IF($K394=INDIRECT(CONCATENATE("$P$"&amp;FJ$392)),INDIRECT(CONCATENATE("$P$"&amp;FJ$391)),
IF($K394=INDIRECT(CONCATENATE("$O$"&amp;FJ$392)),INDIRECT(CONCATENATE("$O$"&amp;FJ$391)),
IF($K394=INDIRECT(CONCATENATE("$N$"&amp;FJ$392)),INDIRECT(CONCATENATE("$N$"&amp;FJ$391)),
IF($K394=INDIRECT(CONCATENATE("$M$"&amp;FJ$392)),INDIRECT(CONCATENATE("$M$"&amp;FJ$391)),
IF($K394=INDIRECT(CONCATENATE("$L$"&amp;FJ$392)),INDIRECT(CONCATENATE("$L$"&amp;FJ$391)),
IF($K394=INDIRECT(CONCATENATE("$K$"&amp;FJ$392)),INDIRECT(CONCATENATE("$K$"&amp;FJ$391)),
IF($K394=INDIRECT(CONCATENATE("$J$"&amp;FJ$392)),INDIRECT(CONCATENATE("$J$"&amp;FJ$391)),
IF($K394=INDIRECT(CONCATENATE("$I$"&amp;FJ$392)),INDIRECT(CONCATENATE("$I$"&amp;FJ$391)),
IF($K394=INDIRECT(CONCATENATE("$H$"&amp;FJ$392)),INDIRECT(CONCATENATE("$H$"&amp;FJ$391)),
IF($K394=INDIRECT(CONCATENATE("$G$"&amp;FJ$392)),INDIRECT(CONCATENATE("$G$"&amp;FJ$391)),
IF($K394=INDIRECT(CONCATENATE("$F$"&amp;FJ$392)),INDIRECT(CONCATENATE("$F$"&amp;FJ$391)),
IF($K394=INDIRECT(CONCATENATE("$E$"&amp;FJ$392)),INDIRECT(CONCATENATE("$E$"&amp;FJ$391)),
IF($K394=INDIRECT(CONCATENATE("$D$"&amp;FJ$392)),INDIRECT(CONCATENATE("$D$"&amp;FJ$391)),
IF($K394=INDIRECT(CONCATENATE("$C$"&amp;FJ$392)),INDIRECT(CONCATENATE("$C$"&amp;FJ$391)),"X")))))))))))))))))))))))))))))))</f>
        <v>X</v>
      </c>
      <c r="LW394" s="58" t="str">
        <f t="shared" ref="LW394:LW428" ca="1" si="1749">IF($K394=INDIRECT(CONCATENATE("$AG$"&amp;FK$392)),INDIRECT(CONCATENATE("$AG$"&amp;FK$391)),
IF($K394=INDIRECT(CONCATENATE("$AF$"&amp;FK$392)),INDIRECT(CONCATENATE("$AF$"&amp;FK$391)),
IF($K394=INDIRECT(CONCATENATE("$AE$"&amp;FK$392)),INDIRECT(CONCATENATE("$AE$"&amp;FK$391)),
IF($K394=INDIRECT(CONCATENATE("$AD$"&amp;FK$392)),INDIRECT(CONCATENATE("$AD$"&amp;FK$391)),
IF($K394=INDIRECT(CONCATENATE("$AC$"&amp;FK$392)),INDIRECT(CONCATENATE("$AC$"&amp;FK$391)),
IF($K394=INDIRECT(CONCATENATE("$AB$"&amp;FK$392)),INDIRECT(CONCATENATE("$AB$"&amp;FK$391)),
IF($K394=INDIRECT(CONCATENATE("$AA$"&amp;FK$392)),INDIRECT(CONCATENATE("$AA$"&amp;FK$391)),
IF($K394=INDIRECT(CONCATENATE("$Z$"&amp;FK$392)),INDIRECT(CONCATENATE("$Z$"&amp;FK$391)),
IF($K394=INDIRECT(CONCATENATE("$Y$"&amp;FK$392)),INDIRECT(CONCATENATE("$Y$"&amp;FK$391)),
IF($K394=INDIRECT(CONCATENATE("$X$"&amp;FK$392)),INDIRECT(CONCATENATE("$X$"&amp;FK$391)),
IF($K394=INDIRECT(CONCATENATE("$W$"&amp;FK$392)),INDIRECT(CONCATENATE("$W$"&amp;FK$391)),
IF($K394=INDIRECT(CONCATENATE("$V$"&amp;FK$392)),INDIRECT(CONCATENATE("$V$"&amp;FK$391)),
IF($K394=INDIRECT(CONCATENATE("$U$"&amp;FK$392)),INDIRECT(CONCATENATE("$U$"&amp;FK$391)),
IF($K394=INDIRECT(CONCATENATE("$T$"&amp;FK$392)),INDIRECT(CONCATENATE("$T$"&amp;FK$391)),
IF($K394=INDIRECT(CONCATENATE("$S$"&amp;FK$392)),INDIRECT(CONCATENATE("$S$"&amp;FK$391)),
IF($K394=INDIRECT(CONCATENATE("$R$"&amp;FK$392)),INDIRECT(CONCATENATE("$R$"&amp;FK$391)),
IF($K394=INDIRECT(CONCATENATE("$Q$"&amp;FK$392)),INDIRECT(CONCATENATE("$Q$"&amp;FK$391)),
IF($K394=INDIRECT(CONCATENATE("$P$"&amp;FK$392)),INDIRECT(CONCATENATE("$P$"&amp;FK$391)),
IF($K394=INDIRECT(CONCATENATE("$O$"&amp;FK$392)),INDIRECT(CONCATENATE("$O$"&amp;FK$391)),
IF($K394=INDIRECT(CONCATENATE("$N$"&amp;FK$392)),INDIRECT(CONCATENATE("$N$"&amp;FK$391)),
IF($K394=INDIRECT(CONCATENATE("$M$"&amp;FK$392)),INDIRECT(CONCATENATE("$M$"&amp;FK$391)),
IF($K394=INDIRECT(CONCATENATE("$L$"&amp;FK$392)),INDIRECT(CONCATENATE("$L$"&amp;FK$391)),
IF($K394=INDIRECT(CONCATENATE("$K$"&amp;FK$392)),INDIRECT(CONCATENATE("$K$"&amp;FK$391)),
IF($K394=INDIRECT(CONCATENATE("$J$"&amp;FK$392)),INDIRECT(CONCATENATE("$J$"&amp;FK$391)),
IF($K394=INDIRECT(CONCATENATE("$I$"&amp;FK$392)),INDIRECT(CONCATENATE("$I$"&amp;FK$391)),
IF($K394=INDIRECT(CONCATENATE("$H$"&amp;FK$392)),INDIRECT(CONCATENATE("$H$"&amp;FK$391)),
IF($K394=INDIRECT(CONCATENATE("$G$"&amp;FK$392)),INDIRECT(CONCATENATE("$G$"&amp;FK$391)),
IF($K394=INDIRECT(CONCATENATE("$F$"&amp;FK$392)),INDIRECT(CONCATENATE("$F$"&amp;FK$391)),
IF($K394=INDIRECT(CONCATENATE("$E$"&amp;FK$392)),INDIRECT(CONCATENATE("$E$"&amp;FK$391)),
IF($K394=INDIRECT(CONCATENATE("$D$"&amp;FK$392)),INDIRECT(CONCATENATE("$D$"&amp;FK$391)),
IF($K394=INDIRECT(CONCATENATE("$C$"&amp;FK$392)),INDIRECT(CONCATENATE("$C$"&amp;FK$391)),"X")))))))))))))))))))))))))))))))</f>
        <v>X</v>
      </c>
      <c r="LX394" s="58" t="str">
        <f t="shared" ref="LX394:LX428" ca="1" si="1750">IF($K394=INDIRECT(CONCATENATE("$AG$"&amp;FL$392)),INDIRECT(CONCATENATE("$AG$"&amp;FL$391)),
IF($K394=INDIRECT(CONCATENATE("$AF$"&amp;FL$392)),INDIRECT(CONCATENATE("$AF$"&amp;FL$391)),
IF($K394=INDIRECT(CONCATENATE("$AE$"&amp;FL$392)),INDIRECT(CONCATENATE("$AE$"&amp;FL$391)),
IF($K394=INDIRECT(CONCATENATE("$AD$"&amp;FL$392)),INDIRECT(CONCATENATE("$AD$"&amp;FL$391)),
IF($K394=INDIRECT(CONCATENATE("$AC$"&amp;FL$392)),INDIRECT(CONCATENATE("$AC$"&amp;FL$391)),
IF($K394=INDIRECT(CONCATENATE("$AB$"&amp;FL$392)),INDIRECT(CONCATENATE("$AB$"&amp;FL$391)),
IF($K394=INDIRECT(CONCATENATE("$AA$"&amp;FL$392)),INDIRECT(CONCATENATE("$AA$"&amp;FL$391)),
IF($K394=INDIRECT(CONCATENATE("$Z$"&amp;FL$392)),INDIRECT(CONCATENATE("$Z$"&amp;FL$391)),
IF($K394=INDIRECT(CONCATENATE("$Y$"&amp;FL$392)),INDIRECT(CONCATENATE("$Y$"&amp;FL$391)),
IF($K394=INDIRECT(CONCATENATE("$X$"&amp;FL$392)),INDIRECT(CONCATENATE("$X$"&amp;FL$391)),
IF($K394=INDIRECT(CONCATENATE("$W$"&amp;FL$392)),INDIRECT(CONCATENATE("$W$"&amp;FL$391)),
IF($K394=INDIRECT(CONCATENATE("$V$"&amp;FL$392)),INDIRECT(CONCATENATE("$V$"&amp;FL$391)),
IF($K394=INDIRECT(CONCATENATE("$U$"&amp;FL$392)),INDIRECT(CONCATENATE("$U$"&amp;FL$391)),
IF($K394=INDIRECT(CONCATENATE("$T$"&amp;FL$392)),INDIRECT(CONCATENATE("$T$"&amp;FL$391)),
IF($K394=INDIRECT(CONCATENATE("$S$"&amp;FL$392)),INDIRECT(CONCATENATE("$S$"&amp;FL$391)),
IF($K394=INDIRECT(CONCATENATE("$R$"&amp;FL$392)),INDIRECT(CONCATENATE("$R$"&amp;FL$391)),
IF($K394=INDIRECT(CONCATENATE("$Q$"&amp;FL$392)),INDIRECT(CONCATENATE("$Q$"&amp;FL$391)),
IF($K394=INDIRECT(CONCATENATE("$P$"&amp;FL$392)),INDIRECT(CONCATENATE("$P$"&amp;FL$391)),
IF($K394=INDIRECT(CONCATENATE("$O$"&amp;FL$392)),INDIRECT(CONCATENATE("$O$"&amp;FL$391)),
IF($K394=INDIRECT(CONCATENATE("$N$"&amp;FL$392)),INDIRECT(CONCATENATE("$N$"&amp;FL$391)),
IF($K394=INDIRECT(CONCATENATE("$M$"&amp;FL$392)),INDIRECT(CONCATENATE("$M$"&amp;FL$391)),
IF($K394=INDIRECT(CONCATENATE("$L$"&amp;FL$392)),INDIRECT(CONCATENATE("$L$"&amp;FL$391)),
IF($K394=INDIRECT(CONCATENATE("$K$"&amp;FL$392)),INDIRECT(CONCATENATE("$K$"&amp;FL$391)),
IF($K394=INDIRECT(CONCATENATE("$J$"&amp;FL$392)),INDIRECT(CONCATENATE("$J$"&amp;FL$391)),
IF($K394=INDIRECT(CONCATENATE("$I$"&amp;FL$392)),INDIRECT(CONCATENATE("$I$"&amp;FL$391)),
IF($K394=INDIRECT(CONCATENATE("$H$"&amp;FL$392)),INDIRECT(CONCATENATE("$H$"&amp;FL$391)),
IF($K394=INDIRECT(CONCATENATE("$G$"&amp;FL$392)),INDIRECT(CONCATENATE("$G$"&amp;FL$391)),
IF($K394=INDIRECT(CONCATENATE("$F$"&amp;FL$392)),INDIRECT(CONCATENATE("$F$"&amp;FL$391)),
IF($K394=INDIRECT(CONCATENATE("$E$"&amp;FL$392)),INDIRECT(CONCATENATE("$E$"&amp;FL$391)),
IF($K394=INDIRECT(CONCATENATE("$D$"&amp;FL$392)),INDIRECT(CONCATENATE("$D$"&amp;FL$391)),
IF($K394=INDIRECT(CONCATENATE("$C$"&amp;FL$392)),INDIRECT(CONCATENATE("$C$"&amp;FL$391)),"X")))))))))))))))))))))))))))))))</f>
        <v>X</v>
      </c>
      <c r="LY394" s="58" t="str">
        <f t="shared" ref="LY394:LY428" ca="1" si="1751">IF($K394=INDIRECT(CONCATENATE("$AG$"&amp;FM$392)),INDIRECT(CONCATENATE("$AG$"&amp;FM$391)),
IF($K394=INDIRECT(CONCATENATE("$AF$"&amp;FM$392)),INDIRECT(CONCATENATE("$AF$"&amp;FM$391)),
IF($K394=INDIRECT(CONCATENATE("$AE$"&amp;FM$392)),INDIRECT(CONCATENATE("$AE$"&amp;FM$391)),
IF($K394=INDIRECT(CONCATENATE("$AD$"&amp;FM$392)),INDIRECT(CONCATENATE("$AD$"&amp;FM$391)),
IF($K394=INDIRECT(CONCATENATE("$AC$"&amp;FM$392)),INDIRECT(CONCATENATE("$AC$"&amp;FM$391)),
IF($K394=INDIRECT(CONCATENATE("$AB$"&amp;FM$392)),INDIRECT(CONCATENATE("$AB$"&amp;FM$391)),
IF($K394=INDIRECT(CONCATENATE("$AA$"&amp;FM$392)),INDIRECT(CONCATENATE("$AA$"&amp;FM$391)),
IF($K394=INDIRECT(CONCATENATE("$Z$"&amp;FM$392)),INDIRECT(CONCATENATE("$Z$"&amp;FM$391)),
IF($K394=INDIRECT(CONCATENATE("$Y$"&amp;FM$392)),INDIRECT(CONCATENATE("$Y$"&amp;FM$391)),
IF($K394=INDIRECT(CONCATENATE("$X$"&amp;FM$392)),INDIRECT(CONCATENATE("$X$"&amp;FM$391)),
IF($K394=INDIRECT(CONCATENATE("$W$"&amp;FM$392)),INDIRECT(CONCATENATE("$W$"&amp;FM$391)),
IF($K394=INDIRECT(CONCATENATE("$V$"&amp;FM$392)),INDIRECT(CONCATENATE("$V$"&amp;FM$391)),
IF($K394=INDIRECT(CONCATENATE("$U$"&amp;FM$392)),INDIRECT(CONCATENATE("$U$"&amp;FM$391)),
IF($K394=INDIRECT(CONCATENATE("$T$"&amp;FM$392)),INDIRECT(CONCATENATE("$T$"&amp;FM$391)),
IF($K394=INDIRECT(CONCATENATE("$S$"&amp;FM$392)),INDIRECT(CONCATENATE("$S$"&amp;FM$391)),
IF($K394=INDIRECT(CONCATENATE("$R$"&amp;FM$392)),INDIRECT(CONCATENATE("$R$"&amp;FM$391)),
IF($K394=INDIRECT(CONCATENATE("$Q$"&amp;FM$392)),INDIRECT(CONCATENATE("$Q$"&amp;FM$391)),
IF($K394=INDIRECT(CONCATENATE("$P$"&amp;FM$392)),INDIRECT(CONCATENATE("$P$"&amp;FM$391)),
IF($K394=INDIRECT(CONCATENATE("$O$"&amp;FM$392)),INDIRECT(CONCATENATE("$O$"&amp;FM$391)),
IF($K394=INDIRECT(CONCATENATE("$N$"&amp;FM$392)),INDIRECT(CONCATENATE("$N$"&amp;FM$391)),
IF($K394=INDIRECT(CONCATENATE("$M$"&amp;FM$392)),INDIRECT(CONCATENATE("$M$"&amp;FM$391)),
IF($K394=INDIRECT(CONCATENATE("$L$"&amp;FM$392)),INDIRECT(CONCATENATE("$L$"&amp;FM$391)),
IF($K394=INDIRECT(CONCATENATE("$K$"&amp;FM$392)),INDIRECT(CONCATENATE("$K$"&amp;FM$391)),
IF($K394=INDIRECT(CONCATENATE("$J$"&amp;FM$392)),INDIRECT(CONCATENATE("$J$"&amp;FM$391)),
IF($K394=INDIRECT(CONCATENATE("$I$"&amp;FM$392)),INDIRECT(CONCATENATE("$I$"&amp;FM$391)),
IF($K394=INDIRECT(CONCATENATE("$H$"&amp;FM$392)),INDIRECT(CONCATENATE("$H$"&amp;FM$391)),
IF($K394=INDIRECT(CONCATENATE("$G$"&amp;FM$392)),INDIRECT(CONCATENATE("$G$"&amp;FM$391)),
IF($K394=INDIRECT(CONCATENATE("$F$"&amp;FM$392)),INDIRECT(CONCATENATE("$F$"&amp;FM$391)),
IF($K394=INDIRECT(CONCATENATE("$E$"&amp;FM$392)),INDIRECT(CONCATENATE("$E$"&amp;FM$391)),
IF($K394=INDIRECT(CONCATENATE("$D$"&amp;FM$392)),INDIRECT(CONCATENATE("$D$"&amp;FM$391)),
IF($K394=INDIRECT(CONCATENATE("$C$"&amp;FM$392)),INDIRECT(CONCATENATE("$C$"&amp;FM$391)),"X")))))))))))))))))))))))))))))))</f>
        <v>X</v>
      </c>
      <c r="LZ394" s="58" t="str">
        <f t="shared" ref="LZ394:LZ428" ca="1" si="1752">IF($K394=INDIRECT(CONCATENATE("$AG$"&amp;FN$392)),INDIRECT(CONCATENATE("$AG$"&amp;FN$391)),
IF($K394=INDIRECT(CONCATENATE("$AF$"&amp;FN$392)),INDIRECT(CONCATENATE("$AF$"&amp;FN$391)),
IF($K394=INDIRECT(CONCATENATE("$AE$"&amp;FN$392)),INDIRECT(CONCATENATE("$AE$"&amp;FN$391)),
IF($K394=INDIRECT(CONCATENATE("$AD$"&amp;FN$392)),INDIRECT(CONCATENATE("$AD$"&amp;FN$391)),
IF($K394=INDIRECT(CONCATENATE("$AC$"&amp;FN$392)),INDIRECT(CONCATENATE("$AC$"&amp;FN$391)),
IF($K394=INDIRECT(CONCATENATE("$AB$"&amp;FN$392)),INDIRECT(CONCATENATE("$AB$"&amp;FN$391)),
IF($K394=INDIRECT(CONCATENATE("$AA$"&amp;FN$392)),INDIRECT(CONCATENATE("$AA$"&amp;FN$391)),
IF($K394=INDIRECT(CONCATENATE("$Z$"&amp;FN$392)),INDIRECT(CONCATENATE("$Z$"&amp;FN$391)),
IF($K394=INDIRECT(CONCATENATE("$Y$"&amp;FN$392)),INDIRECT(CONCATENATE("$Y$"&amp;FN$391)),
IF($K394=INDIRECT(CONCATENATE("$X$"&amp;FN$392)),INDIRECT(CONCATENATE("$X$"&amp;FN$391)),
IF($K394=INDIRECT(CONCATENATE("$W$"&amp;FN$392)),INDIRECT(CONCATENATE("$W$"&amp;FN$391)),
IF($K394=INDIRECT(CONCATENATE("$V$"&amp;FN$392)),INDIRECT(CONCATENATE("$V$"&amp;FN$391)),
IF($K394=INDIRECT(CONCATENATE("$U$"&amp;FN$392)),INDIRECT(CONCATENATE("$U$"&amp;FN$391)),
IF($K394=INDIRECT(CONCATENATE("$T$"&amp;FN$392)),INDIRECT(CONCATENATE("$T$"&amp;FN$391)),
IF($K394=INDIRECT(CONCATENATE("$S$"&amp;FN$392)),INDIRECT(CONCATENATE("$S$"&amp;FN$391)),
IF($K394=INDIRECT(CONCATENATE("$R$"&amp;FN$392)),INDIRECT(CONCATENATE("$R$"&amp;FN$391)),
IF($K394=INDIRECT(CONCATENATE("$Q$"&amp;FN$392)),INDIRECT(CONCATENATE("$Q$"&amp;FN$391)),
IF($K394=INDIRECT(CONCATENATE("$P$"&amp;FN$392)),INDIRECT(CONCATENATE("$P$"&amp;FN$391)),
IF($K394=INDIRECT(CONCATENATE("$O$"&amp;FN$392)),INDIRECT(CONCATENATE("$O$"&amp;FN$391)),
IF($K394=INDIRECT(CONCATENATE("$N$"&amp;FN$392)),INDIRECT(CONCATENATE("$N$"&amp;FN$391)),
IF($K394=INDIRECT(CONCATENATE("$M$"&amp;FN$392)),INDIRECT(CONCATENATE("$M$"&amp;FN$391)),
IF($K394=INDIRECT(CONCATENATE("$L$"&amp;FN$392)),INDIRECT(CONCATENATE("$L$"&amp;FN$391)),
IF($K394=INDIRECT(CONCATENATE("$K$"&amp;FN$392)),INDIRECT(CONCATENATE("$K$"&amp;FN$391)),
IF($K394=INDIRECT(CONCATENATE("$J$"&amp;FN$392)),INDIRECT(CONCATENATE("$J$"&amp;FN$391)),
IF($K394=INDIRECT(CONCATENATE("$I$"&amp;FN$392)),INDIRECT(CONCATENATE("$I$"&amp;FN$391)),
IF($K394=INDIRECT(CONCATENATE("$H$"&amp;FN$392)),INDIRECT(CONCATENATE("$H$"&amp;FN$391)),
IF($K394=INDIRECT(CONCATENATE("$G$"&amp;FN$392)),INDIRECT(CONCATENATE("$G$"&amp;FN$391)),
IF($K394=INDIRECT(CONCATENATE("$F$"&amp;FN$392)),INDIRECT(CONCATENATE("$F$"&amp;FN$391)),
IF($K394=INDIRECT(CONCATENATE("$E$"&amp;FN$392)),INDIRECT(CONCATENATE("$E$"&amp;FN$391)),
IF($K394=INDIRECT(CONCATENATE("$D$"&amp;FN$392)),INDIRECT(CONCATENATE("$D$"&amp;FN$391)),
IF($K394=INDIRECT(CONCATENATE("$C$"&amp;FN$392)),INDIRECT(CONCATENATE("$C$"&amp;FN$391)),"X")))))))))))))))))))))))))))))))</f>
        <v>X</v>
      </c>
      <c r="MA394" s="58" t="str">
        <f t="shared" ref="MA394:MA428" ca="1" si="1753">IF($K394=INDIRECT(CONCATENATE("$AG$"&amp;FO$392)),INDIRECT(CONCATENATE("$AG$"&amp;FO$391)),
IF($K394=INDIRECT(CONCATENATE("$AF$"&amp;FO$392)),INDIRECT(CONCATENATE("$AF$"&amp;FO$391)),
IF($K394=INDIRECT(CONCATENATE("$AE$"&amp;FO$392)),INDIRECT(CONCATENATE("$AE$"&amp;FO$391)),
IF($K394=INDIRECT(CONCATENATE("$AD$"&amp;FO$392)),INDIRECT(CONCATENATE("$AD$"&amp;FO$391)),
IF($K394=INDIRECT(CONCATENATE("$AC$"&amp;FO$392)),INDIRECT(CONCATENATE("$AC$"&amp;FO$391)),
IF($K394=INDIRECT(CONCATENATE("$AB$"&amp;FO$392)),INDIRECT(CONCATENATE("$AB$"&amp;FO$391)),
IF($K394=INDIRECT(CONCATENATE("$AA$"&amp;FO$392)),INDIRECT(CONCATENATE("$AA$"&amp;FO$391)),
IF($K394=INDIRECT(CONCATENATE("$Z$"&amp;FO$392)),INDIRECT(CONCATENATE("$Z$"&amp;FO$391)),
IF($K394=INDIRECT(CONCATENATE("$Y$"&amp;FO$392)),INDIRECT(CONCATENATE("$Y$"&amp;FO$391)),
IF($K394=INDIRECT(CONCATENATE("$X$"&amp;FO$392)),INDIRECT(CONCATENATE("$X$"&amp;FO$391)),
IF($K394=INDIRECT(CONCATENATE("$W$"&amp;FO$392)),INDIRECT(CONCATENATE("$W$"&amp;FO$391)),
IF($K394=INDIRECT(CONCATENATE("$V$"&amp;FO$392)),INDIRECT(CONCATENATE("$V$"&amp;FO$391)),
IF($K394=INDIRECT(CONCATENATE("$U$"&amp;FO$392)),INDIRECT(CONCATENATE("$U$"&amp;FO$391)),
IF($K394=INDIRECT(CONCATENATE("$T$"&amp;FO$392)),INDIRECT(CONCATENATE("$T$"&amp;FO$391)),
IF($K394=INDIRECT(CONCATENATE("$S$"&amp;FO$392)),INDIRECT(CONCATENATE("$S$"&amp;FO$391)),
IF($K394=INDIRECT(CONCATENATE("$R$"&amp;FO$392)),INDIRECT(CONCATENATE("$R$"&amp;FO$391)),
IF($K394=INDIRECT(CONCATENATE("$Q$"&amp;FO$392)),INDIRECT(CONCATENATE("$Q$"&amp;FO$391)),
IF($K394=INDIRECT(CONCATENATE("$P$"&amp;FO$392)),INDIRECT(CONCATENATE("$P$"&amp;FO$391)),
IF($K394=INDIRECT(CONCATENATE("$O$"&amp;FO$392)),INDIRECT(CONCATENATE("$O$"&amp;FO$391)),
IF($K394=INDIRECT(CONCATENATE("$N$"&amp;FO$392)),INDIRECT(CONCATENATE("$N$"&amp;FO$391)),
IF($K394=INDIRECT(CONCATENATE("$M$"&amp;FO$392)),INDIRECT(CONCATENATE("$M$"&amp;FO$391)),
IF($K394=INDIRECT(CONCATENATE("$L$"&amp;FO$392)),INDIRECT(CONCATENATE("$L$"&amp;FO$391)),
IF($K394=INDIRECT(CONCATENATE("$K$"&amp;FO$392)),INDIRECT(CONCATENATE("$K$"&amp;FO$391)),
IF($K394=INDIRECT(CONCATENATE("$J$"&amp;FO$392)),INDIRECT(CONCATENATE("$J$"&amp;FO$391)),
IF($K394=INDIRECT(CONCATENATE("$I$"&amp;FO$392)),INDIRECT(CONCATENATE("$I$"&amp;FO$391)),
IF($K394=INDIRECT(CONCATENATE("$H$"&amp;FO$392)),INDIRECT(CONCATENATE("$H$"&amp;FO$391)),
IF($K394=INDIRECT(CONCATENATE("$G$"&amp;FO$392)),INDIRECT(CONCATENATE("$G$"&amp;FO$391)),
IF($K394=INDIRECT(CONCATENATE("$F$"&amp;FO$392)),INDIRECT(CONCATENATE("$F$"&amp;FO$391)),
IF($K394=INDIRECT(CONCATENATE("$E$"&amp;FO$392)),INDIRECT(CONCATENATE("$E$"&amp;FO$391)),
IF($K394=INDIRECT(CONCATENATE("$D$"&amp;FO$392)),INDIRECT(CONCATENATE("$D$"&amp;FO$391)),
IF($K394=INDIRECT(CONCATENATE("$C$"&amp;FO$392)),INDIRECT(CONCATENATE("$C$"&amp;FO$391)),"X")))))))))))))))))))))))))))))))</f>
        <v>X</v>
      </c>
      <c r="MB394" s="58" t="str">
        <f t="shared" ref="MB394:MB428" ca="1" si="1754">IF($K394=INDIRECT(CONCATENATE("$AG$"&amp;FP$392)),INDIRECT(CONCATENATE("$AG$"&amp;FP$391)),
IF($K394=INDIRECT(CONCATENATE("$AF$"&amp;FP$392)),INDIRECT(CONCATENATE("$AF$"&amp;FP$391)),
IF($K394=INDIRECT(CONCATENATE("$AE$"&amp;FP$392)),INDIRECT(CONCATENATE("$AE$"&amp;FP$391)),
IF($K394=INDIRECT(CONCATENATE("$AD$"&amp;FP$392)),INDIRECT(CONCATENATE("$AD$"&amp;FP$391)),
IF($K394=INDIRECT(CONCATENATE("$AC$"&amp;FP$392)),INDIRECT(CONCATENATE("$AC$"&amp;FP$391)),
IF($K394=INDIRECT(CONCATENATE("$AB$"&amp;FP$392)),INDIRECT(CONCATENATE("$AB$"&amp;FP$391)),
IF($K394=INDIRECT(CONCATENATE("$AA$"&amp;FP$392)),INDIRECT(CONCATENATE("$AA$"&amp;FP$391)),
IF($K394=INDIRECT(CONCATENATE("$Z$"&amp;FP$392)),INDIRECT(CONCATENATE("$Z$"&amp;FP$391)),
IF($K394=INDIRECT(CONCATENATE("$Y$"&amp;FP$392)),INDIRECT(CONCATENATE("$Y$"&amp;FP$391)),
IF($K394=INDIRECT(CONCATENATE("$X$"&amp;FP$392)),INDIRECT(CONCATENATE("$X$"&amp;FP$391)),
IF($K394=INDIRECT(CONCATENATE("$W$"&amp;FP$392)),INDIRECT(CONCATENATE("$W$"&amp;FP$391)),
IF($K394=INDIRECT(CONCATENATE("$V$"&amp;FP$392)),INDIRECT(CONCATENATE("$V$"&amp;FP$391)),
IF($K394=INDIRECT(CONCATENATE("$U$"&amp;FP$392)),INDIRECT(CONCATENATE("$U$"&amp;FP$391)),
IF($K394=INDIRECT(CONCATENATE("$T$"&amp;FP$392)),INDIRECT(CONCATENATE("$T$"&amp;FP$391)),
IF($K394=INDIRECT(CONCATENATE("$S$"&amp;FP$392)),INDIRECT(CONCATENATE("$S$"&amp;FP$391)),
IF($K394=INDIRECT(CONCATENATE("$R$"&amp;FP$392)),INDIRECT(CONCATENATE("$R$"&amp;FP$391)),
IF($K394=INDIRECT(CONCATENATE("$Q$"&amp;FP$392)),INDIRECT(CONCATENATE("$Q$"&amp;FP$391)),
IF($K394=INDIRECT(CONCATENATE("$P$"&amp;FP$392)),INDIRECT(CONCATENATE("$P$"&amp;FP$391)),
IF($K394=INDIRECT(CONCATENATE("$O$"&amp;FP$392)),INDIRECT(CONCATENATE("$O$"&amp;FP$391)),
IF($K394=INDIRECT(CONCATENATE("$N$"&amp;FP$392)),INDIRECT(CONCATENATE("$N$"&amp;FP$391)),
IF($K394=INDIRECT(CONCATENATE("$M$"&amp;FP$392)),INDIRECT(CONCATENATE("$M$"&amp;FP$391)),
IF($K394=INDIRECT(CONCATENATE("$L$"&amp;FP$392)),INDIRECT(CONCATENATE("$L$"&amp;FP$391)),
IF($K394=INDIRECT(CONCATENATE("$K$"&amp;FP$392)),INDIRECT(CONCATENATE("$K$"&amp;FP$391)),
IF($K394=INDIRECT(CONCATENATE("$J$"&amp;FP$392)),INDIRECT(CONCATENATE("$J$"&amp;FP$391)),
IF($K394=INDIRECT(CONCATENATE("$I$"&amp;FP$392)),INDIRECT(CONCATENATE("$I$"&amp;FP$391)),
IF($K394=INDIRECT(CONCATENATE("$H$"&amp;FP$392)),INDIRECT(CONCATENATE("$H$"&amp;FP$391)),
IF($K394=INDIRECT(CONCATENATE("$G$"&amp;FP$392)),INDIRECT(CONCATENATE("$G$"&amp;FP$391)),
IF($K394=INDIRECT(CONCATENATE("$F$"&amp;FP$392)),INDIRECT(CONCATENATE("$F$"&amp;FP$391)),
IF($K394=INDIRECT(CONCATENATE("$E$"&amp;FP$392)),INDIRECT(CONCATENATE("$E$"&amp;FP$391)),
IF($K394=INDIRECT(CONCATENATE("$D$"&amp;FP$392)),INDIRECT(CONCATENATE("$D$"&amp;FP$391)),
IF($K394=INDIRECT(CONCATENATE("$C$"&amp;FP$392)),INDIRECT(CONCATENATE("$C$"&amp;FP$391)),"X")))))))))))))))))))))))))))))))</f>
        <v>X</v>
      </c>
      <c r="MC394" s="58" t="str">
        <f t="shared" ref="MC394:MC428" ca="1" si="1755">IF($K394=INDIRECT(CONCATENATE("$AG$"&amp;FQ$392)),INDIRECT(CONCATENATE("$AG$"&amp;FQ$391)),
IF($K394=INDIRECT(CONCATENATE("$AF$"&amp;FQ$392)),INDIRECT(CONCATENATE("$AF$"&amp;FQ$391)),
IF($K394=INDIRECT(CONCATENATE("$AE$"&amp;FQ$392)),INDIRECT(CONCATENATE("$AE$"&amp;FQ$391)),
IF($K394=INDIRECT(CONCATENATE("$AD$"&amp;FQ$392)),INDIRECT(CONCATENATE("$AD$"&amp;FQ$391)),
IF($K394=INDIRECT(CONCATENATE("$AC$"&amp;FQ$392)),INDIRECT(CONCATENATE("$AC$"&amp;FQ$391)),
IF($K394=INDIRECT(CONCATENATE("$AB$"&amp;FQ$392)),INDIRECT(CONCATENATE("$AB$"&amp;FQ$391)),
IF($K394=INDIRECT(CONCATENATE("$AA$"&amp;FQ$392)),INDIRECT(CONCATENATE("$AA$"&amp;FQ$391)),
IF($K394=INDIRECT(CONCATENATE("$Z$"&amp;FQ$392)),INDIRECT(CONCATENATE("$Z$"&amp;FQ$391)),
IF($K394=INDIRECT(CONCATENATE("$Y$"&amp;FQ$392)),INDIRECT(CONCATENATE("$Y$"&amp;FQ$391)),
IF($K394=INDIRECT(CONCATENATE("$X$"&amp;FQ$392)),INDIRECT(CONCATENATE("$X$"&amp;FQ$391)),
IF($K394=INDIRECT(CONCATENATE("$W$"&amp;FQ$392)),INDIRECT(CONCATENATE("$W$"&amp;FQ$391)),
IF($K394=INDIRECT(CONCATENATE("$V$"&amp;FQ$392)),INDIRECT(CONCATENATE("$V$"&amp;FQ$391)),
IF($K394=INDIRECT(CONCATENATE("$U$"&amp;FQ$392)),INDIRECT(CONCATENATE("$U$"&amp;FQ$391)),
IF($K394=INDIRECT(CONCATENATE("$T$"&amp;FQ$392)),INDIRECT(CONCATENATE("$T$"&amp;FQ$391)),
IF($K394=INDIRECT(CONCATENATE("$S$"&amp;FQ$392)),INDIRECT(CONCATENATE("$S$"&amp;FQ$391)),
IF($K394=INDIRECT(CONCATENATE("$R$"&amp;FQ$392)),INDIRECT(CONCATENATE("$R$"&amp;FQ$391)),
IF($K394=INDIRECT(CONCATENATE("$Q$"&amp;FQ$392)),INDIRECT(CONCATENATE("$Q$"&amp;FQ$391)),
IF($K394=INDIRECT(CONCATENATE("$P$"&amp;FQ$392)),INDIRECT(CONCATENATE("$P$"&amp;FQ$391)),
IF($K394=INDIRECT(CONCATENATE("$O$"&amp;FQ$392)),INDIRECT(CONCATENATE("$O$"&amp;FQ$391)),
IF($K394=INDIRECT(CONCATENATE("$N$"&amp;FQ$392)),INDIRECT(CONCATENATE("$N$"&amp;FQ$391)),
IF($K394=INDIRECT(CONCATENATE("$M$"&amp;FQ$392)),INDIRECT(CONCATENATE("$M$"&amp;FQ$391)),
IF($K394=INDIRECT(CONCATENATE("$L$"&amp;FQ$392)),INDIRECT(CONCATENATE("$L$"&amp;FQ$391)),
IF($K394=INDIRECT(CONCATENATE("$K$"&amp;FQ$392)),INDIRECT(CONCATENATE("$K$"&amp;FQ$391)),
IF($K394=INDIRECT(CONCATENATE("$J$"&amp;FQ$392)),INDIRECT(CONCATENATE("$J$"&amp;FQ$391)),
IF($K394=INDIRECT(CONCATENATE("$I$"&amp;FQ$392)),INDIRECT(CONCATENATE("$I$"&amp;FQ$391)),
IF($K394=INDIRECT(CONCATENATE("$H$"&amp;FQ$392)),INDIRECT(CONCATENATE("$H$"&amp;FQ$391)),
IF($K394=INDIRECT(CONCATENATE("$G$"&amp;FQ$392)),INDIRECT(CONCATENATE("$G$"&amp;FQ$391)),
IF($K394=INDIRECT(CONCATENATE("$F$"&amp;FQ$392)),INDIRECT(CONCATENATE("$F$"&amp;FQ$391)),
IF($K394=INDIRECT(CONCATENATE("$E$"&amp;FQ$392)),INDIRECT(CONCATENATE("$E$"&amp;FQ$391)),
IF($K394=INDIRECT(CONCATENATE("$D$"&amp;FQ$392)),INDIRECT(CONCATENATE("$D$"&amp;FQ$391)),
IF($K394=INDIRECT(CONCATENATE("$C$"&amp;FQ$392)),INDIRECT(CONCATENATE("$C$"&amp;FQ$391)),"X")))))))))))))))))))))))))))))))</f>
        <v>X</v>
      </c>
      <c r="MD394" s="58" t="str">
        <f t="shared" ref="MD394:MD428" ca="1" si="1756">IF($K394=INDIRECT(CONCATENATE("$AG$"&amp;FR$392)),INDIRECT(CONCATENATE("$AG$"&amp;FR$391)),
IF($K394=INDIRECT(CONCATENATE("$AF$"&amp;FR$392)),INDIRECT(CONCATENATE("$AF$"&amp;FR$391)),
IF($K394=INDIRECT(CONCATENATE("$AE$"&amp;FR$392)),INDIRECT(CONCATENATE("$AE$"&amp;FR$391)),
IF($K394=INDIRECT(CONCATENATE("$AD$"&amp;FR$392)),INDIRECT(CONCATENATE("$AD$"&amp;FR$391)),
IF($K394=INDIRECT(CONCATENATE("$AC$"&amp;FR$392)),INDIRECT(CONCATENATE("$AC$"&amp;FR$391)),
IF($K394=INDIRECT(CONCATENATE("$AB$"&amp;FR$392)),INDIRECT(CONCATENATE("$AB$"&amp;FR$391)),
IF($K394=INDIRECT(CONCATENATE("$AA$"&amp;FR$392)),INDIRECT(CONCATENATE("$AA$"&amp;FR$391)),
IF($K394=INDIRECT(CONCATENATE("$Z$"&amp;FR$392)),INDIRECT(CONCATENATE("$Z$"&amp;FR$391)),
IF($K394=INDIRECT(CONCATENATE("$Y$"&amp;FR$392)),INDIRECT(CONCATENATE("$Y$"&amp;FR$391)),
IF($K394=INDIRECT(CONCATENATE("$X$"&amp;FR$392)),INDIRECT(CONCATENATE("$X$"&amp;FR$391)),
IF($K394=INDIRECT(CONCATENATE("$W$"&amp;FR$392)),INDIRECT(CONCATENATE("$W$"&amp;FR$391)),
IF($K394=INDIRECT(CONCATENATE("$V$"&amp;FR$392)),INDIRECT(CONCATENATE("$V$"&amp;FR$391)),
IF($K394=INDIRECT(CONCATENATE("$U$"&amp;FR$392)),INDIRECT(CONCATENATE("$U$"&amp;FR$391)),
IF($K394=INDIRECT(CONCATENATE("$T$"&amp;FR$392)),INDIRECT(CONCATENATE("$T$"&amp;FR$391)),
IF($K394=INDIRECT(CONCATENATE("$S$"&amp;FR$392)),INDIRECT(CONCATENATE("$S$"&amp;FR$391)),
IF($K394=INDIRECT(CONCATENATE("$R$"&amp;FR$392)),INDIRECT(CONCATENATE("$R$"&amp;FR$391)),
IF($K394=INDIRECT(CONCATENATE("$Q$"&amp;FR$392)),INDIRECT(CONCATENATE("$Q$"&amp;FR$391)),
IF($K394=INDIRECT(CONCATENATE("$P$"&amp;FR$392)),INDIRECT(CONCATENATE("$P$"&amp;FR$391)),
IF($K394=INDIRECT(CONCATENATE("$O$"&amp;FR$392)),INDIRECT(CONCATENATE("$O$"&amp;FR$391)),
IF($K394=INDIRECT(CONCATENATE("$N$"&amp;FR$392)),INDIRECT(CONCATENATE("$N$"&amp;FR$391)),
IF($K394=INDIRECT(CONCATENATE("$M$"&amp;FR$392)),INDIRECT(CONCATENATE("$M$"&amp;FR$391)),
IF($K394=INDIRECT(CONCATENATE("$L$"&amp;FR$392)),INDIRECT(CONCATENATE("$L$"&amp;FR$391)),
IF($K394=INDIRECT(CONCATENATE("$K$"&amp;FR$392)),INDIRECT(CONCATENATE("$K$"&amp;FR$391)),
IF($K394=INDIRECT(CONCATENATE("$J$"&amp;FR$392)),INDIRECT(CONCATENATE("$J$"&amp;FR$391)),
IF($K394=INDIRECT(CONCATENATE("$I$"&amp;FR$392)),INDIRECT(CONCATENATE("$I$"&amp;FR$391)),
IF($K394=INDIRECT(CONCATENATE("$H$"&amp;FR$392)),INDIRECT(CONCATENATE("$H$"&amp;FR$391)),
IF($K394=INDIRECT(CONCATENATE("$G$"&amp;FR$392)),INDIRECT(CONCATENATE("$G$"&amp;FR$391)),
IF($K394=INDIRECT(CONCATENATE("$F$"&amp;FR$392)),INDIRECT(CONCATENATE("$F$"&amp;FR$391)),
IF($K394=INDIRECT(CONCATENATE("$E$"&amp;FR$392)),INDIRECT(CONCATENATE("$E$"&amp;FR$391)),
IF($K394=INDIRECT(CONCATENATE("$D$"&amp;FR$392)),INDIRECT(CONCATENATE("$D$"&amp;FR$391)),
IF($K394=INDIRECT(CONCATENATE("$C$"&amp;FR$392)),INDIRECT(CONCATENATE("$C$"&amp;FR$391)),"X")))))))))))))))))))))))))))))))</f>
        <v>X</v>
      </c>
      <c r="ME394" s="58" t="str">
        <f t="shared" ref="ME394:ME428" ca="1" si="1757">IF($K394=INDIRECT(CONCATENATE("$AG$"&amp;FS$392)),INDIRECT(CONCATENATE("$AG$"&amp;FS$391)),
IF($K394=INDIRECT(CONCATENATE("$AF$"&amp;FS$392)),INDIRECT(CONCATENATE("$AF$"&amp;FS$391)),
IF($K394=INDIRECT(CONCATENATE("$AE$"&amp;FS$392)),INDIRECT(CONCATENATE("$AE$"&amp;FS$391)),
IF($K394=INDIRECT(CONCATENATE("$AD$"&amp;FS$392)),INDIRECT(CONCATENATE("$AD$"&amp;FS$391)),
IF($K394=INDIRECT(CONCATENATE("$AC$"&amp;FS$392)),INDIRECT(CONCATENATE("$AC$"&amp;FS$391)),
IF($K394=INDIRECT(CONCATENATE("$AB$"&amp;FS$392)),INDIRECT(CONCATENATE("$AB$"&amp;FS$391)),
IF($K394=INDIRECT(CONCATENATE("$AA$"&amp;FS$392)),INDIRECT(CONCATENATE("$AA$"&amp;FS$391)),
IF($K394=INDIRECT(CONCATENATE("$Z$"&amp;FS$392)),INDIRECT(CONCATENATE("$Z$"&amp;FS$391)),
IF($K394=INDIRECT(CONCATENATE("$Y$"&amp;FS$392)),INDIRECT(CONCATENATE("$Y$"&amp;FS$391)),
IF($K394=INDIRECT(CONCATENATE("$X$"&amp;FS$392)),INDIRECT(CONCATENATE("$X$"&amp;FS$391)),
IF($K394=INDIRECT(CONCATENATE("$W$"&amp;FS$392)),INDIRECT(CONCATENATE("$W$"&amp;FS$391)),
IF($K394=INDIRECT(CONCATENATE("$V$"&amp;FS$392)),INDIRECT(CONCATENATE("$V$"&amp;FS$391)),
IF($K394=INDIRECT(CONCATENATE("$U$"&amp;FS$392)),INDIRECT(CONCATENATE("$U$"&amp;FS$391)),
IF($K394=INDIRECT(CONCATENATE("$T$"&amp;FS$392)),INDIRECT(CONCATENATE("$T$"&amp;FS$391)),
IF($K394=INDIRECT(CONCATENATE("$S$"&amp;FS$392)),INDIRECT(CONCATENATE("$S$"&amp;FS$391)),
IF($K394=INDIRECT(CONCATENATE("$R$"&amp;FS$392)),INDIRECT(CONCATENATE("$R$"&amp;FS$391)),
IF($K394=INDIRECT(CONCATENATE("$Q$"&amp;FS$392)),INDIRECT(CONCATENATE("$Q$"&amp;FS$391)),
IF($K394=INDIRECT(CONCATENATE("$P$"&amp;FS$392)),INDIRECT(CONCATENATE("$P$"&amp;FS$391)),
IF($K394=INDIRECT(CONCATENATE("$O$"&amp;FS$392)),INDIRECT(CONCATENATE("$O$"&amp;FS$391)),
IF($K394=INDIRECT(CONCATENATE("$N$"&amp;FS$392)),INDIRECT(CONCATENATE("$N$"&amp;FS$391)),
IF($K394=INDIRECT(CONCATENATE("$M$"&amp;FS$392)),INDIRECT(CONCATENATE("$M$"&amp;FS$391)),
IF($K394=INDIRECT(CONCATENATE("$L$"&amp;FS$392)),INDIRECT(CONCATENATE("$L$"&amp;FS$391)),
IF($K394=INDIRECT(CONCATENATE("$K$"&amp;FS$392)),INDIRECT(CONCATENATE("$K$"&amp;FS$391)),
IF($K394=INDIRECT(CONCATENATE("$J$"&amp;FS$392)),INDIRECT(CONCATENATE("$J$"&amp;FS$391)),
IF($K394=INDIRECT(CONCATENATE("$I$"&amp;FS$392)),INDIRECT(CONCATENATE("$I$"&amp;FS$391)),
IF($K394=INDIRECT(CONCATENATE("$H$"&amp;FS$392)),INDIRECT(CONCATENATE("$H$"&amp;FS$391)),
IF($K394=INDIRECT(CONCATENATE("$G$"&amp;FS$392)),INDIRECT(CONCATENATE("$G$"&amp;FS$391)),
IF($K394=INDIRECT(CONCATENATE("$F$"&amp;FS$392)),INDIRECT(CONCATENATE("$F$"&amp;FS$391)),
IF($K394=INDIRECT(CONCATENATE("$E$"&amp;FS$392)),INDIRECT(CONCATENATE("$E$"&amp;FS$391)),
IF($K394=INDIRECT(CONCATENATE("$D$"&amp;FS$392)),INDIRECT(CONCATENATE("$D$"&amp;FS$391)),
IF($K394=INDIRECT(CONCATENATE("$C$"&amp;FS$392)),INDIRECT(CONCATENATE("$C$"&amp;FS$391)),"X")))))))))))))))))))))))))))))))</f>
        <v>X</v>
      </c>
      <c r="MF394" s="58" t="str">
        <f t="shared" ref="MF394:MF428" ca="1" si="1758">IF($K394=INDIRECT(CONCATENATE("$AG$"&amp;FT$392)),INDIRECT(CONCATENATE("$AG$"&amp;FT$391)),
IF($K394=INDIRECT(CONCATENATE("$AF$"&amp;FT$392)),INDIRECT(CONCATENATE("$AF$"&amp;FT$391)),
IF($K394=INDIRECT(CONCATENATE("$AE$"&amp;FT$392)),INDIRECT(CONCATENATE("$AE$"&amp;FT$391)),
IF($K394=INDIRECT(CONCATENATE("$AD$"&amp;FT$392)),INDIRECT(CONCATENATE("$AD$"&amp;FT$391)),
IF($K394=INDIRECT(CONCATENATE("$AC$"&amp;FT$392)),INDIRECT(CONCATENATE("$AC$"&amp;FT$391)),
IF($K394=INDIRECT(CONCATENATE("$AB$"&amp;FT$392)),INDIRECT(CONCATENATE("$AB$"&amp;FT$391)),
IF($K394=INDIRECT(CONCATENATE("$AA$"&amp;FT$392)),INDIRECT(CONCATENATE("$AA$"&amp;FT$391)),
IF($K394=INDIRECT(CONCATENATE("$Z$"&amp;FT$392)),INDIRECT(CONCATENATE("$Z$"&amp;FT$391)),
IF($K394=INDIRECT(CONCATENATE("$Y$"&amp;FT$392)),INDIRECT(CONCATENATE("$Y$"&amp;FT$391)),
IF($K394=INDIRECT(CONCATENATE("$X$"&amp;FT$392)),INDIRECT(CONCATENATE("$X$"&amp;FT$391)),
IF($K394=INDIRECT(CONCATENATE("$W$"&amp;FT$392)),INDIRECT(CONCATENATE("$W$"&amp;FT$391)),
IF($K394=INDIRECT(CONCATENATE("$V$"&amp;FT$392)),INDIRECT(CONCATENATE("$V$"&amp;FT$391)),
IF($K394=INDIRECT(CONCATENATE("$U$"&amp;FT$392)),INDIRECT(CONCATENATE("$U$"&amp;FT$391)),
IF($K394=INDIRECT(CONCATENATE("$T$"&amp;FT$392)),INDIRECT(CONCATENATE("$T$"&amp;FT$391)),
IF($K394=INDIRECT(CONCATENATE("$S$"&amp;FT$392)),INDIRECT(CONCATENATE("$S$"&amp;FT$391)),
IF($K394=INDIRECT(CONCATENATE("$R$"&amp;FT$392)),INDIRECT(CONCATENATE("$R$"&amp;FT$391)),
IF($K394=INDIRECT(CONCATENATE("$Q$"&amp;FT$392)),INDIRECT(CONCATENATE("$Q$"&amp;FT$391)),
IF($K394=INDIRECT(CONCATENATE("$P$"&amp;FT$392)),INDIRECT(CONCATENATE("$P$"&amp;FT$391)),
IF($K394=INDIRECT(CONCATENATE("$O$"&amp;FT$392)),INDIRECT(CONCATENATE("$O$"&amp;FT$391)),
IF($K394=INDIRECT(CONCATENATE("$N$"&amp;FT$392)),INDIRECT(CONCATENATE("$N$"&amp;FT$391)),
IF($K394=INDIRECT(CONCATENATE("$M$"&amp;FT$392)),INDIRECT(CONCATENATE("$M$"&amp;FT$391)),
IF($K394=INDIRECT(CONCATENATE("$L$"&amp;FT$392)),INDIRECT(CONCATENATE("$L$"&amp;FT$391)),
IF($K394=INDIRECT(CONCATENATE("$K$"&amp;FT$392)),INDIRECT(CONCATENATE("$K$"&amp;FT$391)),
IF($K394=INDIRECT(CONCATENATE("$J$"&amp;FT$392)),INDIRECT(CONCATENATE("$J$"&amp;FT$391)),
IF($K394=INDIRECT(CONCATENATE("$I$"&amp;FT$392)),INDIRECT(CONCATENATE("$I$"&amp;FT$391)),
IF($K394=INDIRECT(CONCATENATE("$H$"&amp;FT$392)),INDIRECT(CONCATENATE("$H$"&amp;FT$391)),
IF($K394=INDIRECT(CONCATENATE("$G$"&amp;FT$392)),INDIRECT(CONCATENATE("$G$"&amp;FT$391)),
IF($K394=INDIRECT(CONCATENATE("$F$"&amp;FT$392)),INDIRECT(CONCATENATE("$F$"&amp;FT$391)),
IF($K394=INDIRECT(CONCATENATE("$E$"&amp;FT$392)),INDIRECT(CONCATENATE("$E$"&amp;FT$391)),
IF($K394=INDIRECT(CONCATENATE("$D$"&amp;FT$392)),INDIRECT(CONCATENATE("$D$"&amp;FT$391)),
IF($K394=INDIRECT(CONCATENATE("$C$"&amp;FT$392)),INDIRECT(CONCATENATE("$C$"&amp;FT$391)),"X")))))))))))))))))))))))))))))))</f>
        <v>X</v>
      </c>
      <c r="MG394" s="58" t="str">
        <f t="shared" ref="MG394:MG428" ca="1" si="1759">IF($K394=INDIRECT(CONCATENATE("$AG$"&amp;FU$392)),INDIRECT(CONCATENATE("$AG$"&amp;FU$391)),
IF($K394=INDIRECT(CONCATENATE("$AF$"&amp;FU$392)),INDIRECT(CONCATENATE("$AF$"&amp;FU$391)),
IF($K394=INDIRECT(CONCATENATE("$AE$"&amp;FU$392)),INDIRECT(CONCATENATE("$AE$"&amp;FU$391)),
IF($K394=INDIRECT(CONCATENATE("$AD$"&amp;FU$392)),INDIRECT(CONCATENATE("$AD$"&amp;FU$391)),
IF($K394=INDIRECT(CONCATENATE("$AC$"&amp;FU$392)),INDIRECT(CONCATENATE("$AC$"&amp;FU$391)),
IF($K394=INDIRECT(CONCATENATE("$AB$"&amp;FU$392)),INDIRECT(CONCATENATE("$AB$"&amp;FU$391)),
IF($K394=INDIRECT(CONCATENATE("$AA$"&amp;FU$392)),INDIRECT(CONCATENATE("$AA$"&amp;FU$391)),
IF($K394=INDIRECT(CONCATENATE("$Z$"&amp;FU$392)),INDIRECT(CONCATENATE("$Z$"&amp;FU$391)),
IF($K394=INDIRECT(CONCATENATE("$Y$"&amp;FU$392)),INDIRECT(CONCATENATE("$Y$"&amp;FU$391)),
IF($K394=INDIRECT(CONCATENATE("$X$"&amp;FU$392)),INDIRECT(CONCATENATE("$X$"&amp;FU$391)),
IF($K394=INDIRECT(CONCATENATE("$W$"&amp;FU$392)),INDIRECT(CONCATENATE("$W$"&amp;FU$391)),
IF($K394=INDIRECT(CONCATENATE("$V$"&amp;FU$392)),INDIRECT(CONCATENATE("$V$"&amp;FU$391)),
IF($K394=INDIRECT(CONCATENATE("$U$"&amp;FU$392)),INDIRECT(CONCATENATE("$U$"&amp;FU$391)),
IF($K394=INDIRECT(CONCATENATE("$T$"&amp;FU$392)),INDIRECT(CONCATENATE("$T$"&amp;FU$391)),
IF($K394=INDIRECT(CONCATENATE("$S$"&amp;FU$392)),INDIRECT(CONCATENATE("$S$"&amp;FU$391)),
IF($K394=INDIRECT(CONCATENATE("$R$"&amp;FU$392)),INDIRECT(CONCATENATE("$R$"&amp;FU$391)),
IF($K394=INDIRECT(CONCATENATE("$Q$"&amp;FU$392)),INDIRECT(CONCATENATE("$Q$"&amp;FU$391)),
IF($K394=INDIRECT(CONCATENATE("$P$"&amp;FU$392)),INDIRECT(CONCATENATE("$P$"&amp;FU$391)),
IF($K394=INDIRECT(CONCATENATE("$O$"&amp;FU$392)),INDIRECT(CONCATENATE("$O$"&amp;FU$391)),
IF($K394=INDIRECT(CONCATENATE("$N$"&amp;FU$392)),INDIRECT(CONCATENATE("$N$"&amp;FU$391)),
IF($K394=INDIRECT(CONCATENATE("$M$"&amp;FU$392)),INDIRECT(CONCATENATE("$M$"&amp;FU$391)),
IF($K394=INDIRECT(CONCATENATE("$L$"&amp;FU$392)),INDIRECT(CONCATENATE("$L$"&amp;FU$391)),
IF($K394=INDIRECT(CONCATENATE("$K$"&amp;FU$392)),INDIRECT(CONCATENATE("$K$"&amp;FU$391)),
IF($K394=INDIRECT(CONCATENATE("$J$"&amp;FU$392)),INDIRECT(CONCATENATE("$J$"&amp;FU$391)),
IF($K394=INDIRECT(CONCATENATE("$I$"&amp;FU$392)),INDIRECT(CONCATENATE("$I$"&amp;FU$391)),
IF($K394=INDIRECT(CONCATENATE("$H$"&amp;FU$392)),INDIRECT(CONCATENATE("$H$"&amp;FU$391)),
IF($K394=INDIRECT(CONCATENATE("$G$"&amp;FU$392)),INDIRECT(CONCATENATE("$G$"&amp;FU$391)),
IF($K394=INDIRECT(CONCATENATE("$F$"&amp;FU$392)),INDIRECT(CONCATENATE("$F$"&amp;FU$391)),
IF($K394=INDIRECT(CONCATENATE("$E$"&amp;FU$392)),INDIRECT(CONCATENATE("$E$"&amp;FU$391)),
IF($K394=INDIRECT(CONCATENATE("$D$"&amp;FU$392)),INDIRECT(CONCATENATE("$D$"&amp;FU$391)),
IF($K394=INDIRECT(CONCATENATE("$C$"&amp;FU$392)),INDIRECT(CONCATENATE("$C$"&amp;FU$391)),"X")))))))))))))))))))))))))))))))</f>
        <v>X</v>
      </c>
      <c r="MH394" s="58" t="str">
        <f t="shared" ref="MH394:MH428" ca="1" si="1760">IF($K394=INDIRECT(CONCATENATE("$AG$"&amp;FV$392)),INDIRECT(CONCATENATE("$AG$"&amp;FV$391)),
IF($K394=INDIRECT(CONCATENATE("$AF$"&amp;FV$392)),INDIRECT(CONCATENATE("$AF$"&amp;FV$391)),
IF($K394=INDIRECT(CONCATENATE("$AE$"&amp;FV$392)),INDIRECT(CONCATENATE("$AE$"&amp;FV$391)),
IF($K394=INDIRECT(CONCATENATE("$AD$"&amp;FV$392)),INDIRECT(CONCATENATE("$AD$"&amp;FV$391)),
IF($K394=INDIRECT(CONCATENATE("$AC$"&amp;FV$392)),INDIRECT(CONCATENATE("$AC$"&amp;FV$391)),
IF($K394=INDIRECT(CONCATENATE("$AB$"&amp;FV$392)),INDIRECT(CONCATENATE("$AB$"&amp;FV$391)),
IF($K394=INDIRECT(CONCATENATE("$AA$"&amp;FV$392)),INDIRECT(CONCATENATE("$AA$"&amp;FV$391)),
IF($K394=INDIRECT(CONCATENATE("$Z$"&amp;FV$392)),INDIRECT(CONCATENATE("$Z$"&amp;FV$391)),
IF($K394=INDIRECT(CONCATENATE("$Y$"&amp;FV$392)),INDIRECT(CONCATENATE("$Y$"&amp;FV$391)),
IF($K394=INDIRECT(CONCATENATE("$X$"&amp;FV$392)),INDIRECT(CONCATENATE("$X$"&amp;FV$391)),
IF($K394=INDIRECT(CONCATENATE("$W$"&amp;FV$392)),INDIRECT(CONCATENATE("$W$"&amp;FV$391)),
IF($K394=INDIRECT(CONCATENATE("$V$"&amp;FV$392)),INDIRECT(CONCATENATE("$V$"&amp;FV$391)),
IF($K394=INDIRECT(CONCATENATE("$U$"&amp;FV$392)),INDIRECT(CONCATENATE("$U$"&amp;FV$391)),
IF($K394=INDIRECT(CONCATENATE("$T$"&amp;FV$392)),INDIRECT(CONCATENATE("$T$"&amp;FV$391)),
IF($K394=INDIRECT(CONCATENATE("$S$"&amp;FV$392)),INDIRECT(CONCATENATE("$S$"&amp;FV$391)),
IF($K394=INDIRECT(CONCATENATE("$R$"&amp;FV$392)),INDIRECT(CONCATENATE("$R$"&amp;FV$391)),
IF($K394=INDIRECT(CONCATENATE("$Q$"&amp;FV$392)),INDIRECT(CONCATENATE("$Q$"&amp;FV$391)),
IF($K394=INDIRECT(CONCATENATE("$P$"&amp;FV$392)),INDIRECT(CONCATENATE("$P$"&amp;FV$391)),
IF($K394=INDIRECT(CONCATENATE("$O$"&amp;FV$392)),INDIRECT(CONCATENATE("$O$"&amp;FV$391)),
IF($K394=INDIRECT(CONCATENATE("$N$"&amp;FV$392)),INDIRECT(CONCATENATE("$N$"&amp;FV$391)),
IF($K394=INDIRECT(CONCATENATE("$M$"&amp;FV$392)),INDIRECT(CONCATENATE("$M$"&amp;FV$391)),
IF($K394=INDIRECT(CONCATENATE("$L$"&amp;FV$392)),INDIRECT(CONCATENATE("$L$"&amp;FV$391)),
IF($K394=INDIRECT(CONCATENATE("$K$"&amp;FV$392)),INDIRECT(CONCATENATE("$K$"&amp;FV$391)),
IF($K394=INDIRECT(CONCATENATE("$J$"&amp;FV$392)),INDIRECT(CONCATENATE("$J$"&amp;FV$391)),
IF($K394=INDIRECT(CONCATENATE("$I$"&amp;FV$392)),INDIRECT(CONCATENATE("$I$"&amp;FV$391)),
IF($K394=INDIRECT(CONCATENATE("$H$"&amp;FV$392)),INDIRECT(CONCATENATE("$H$"&amp;FV$391)),
IF($K394=INDIRECT(CONCATENATE("$G$"&amp;FV$392)),INDIRECT(CONCATENATE("$G$"&amp;FV$391)),
IF($K394=INDIRECT(CONCATENATE("$F$"&amp;FV$392)),INDIRECT(CONCATENATE("$F$"&amp;FV$391)),
IF($K394=INDIRECT(CONCATENATE("$E$"&amp;FV$392)),INDIRECT(CONCATENATE("$E$"&amp;FV$391)),
IF($K394=INDIRECT(CONCATENATE("$D$"&amp;FV$392)),INDIRECT(CONCATENATE("$D$"&amp;FV$391)),
IF($K394=INDIRECT(CONCATENATE("$C$"&amp;FV$392)),INDIRECT(CONCATENATE("$C$"&amp;FV$391)),"X")))))))))))))))))))))))))))))))</f>
        <v>X</v>
      </c>
      <c r="MI394" s="58" t="str">
        <f t="shared" ref="MI394:MI428" ca="1" si="1761">IF($K394=INDIRECT(CONCATENATE("$AG$"&amp;FW$392)),INDIRECT(CONCATENATE("$AG$"&amp;FW$391)),
IF($K394=INDIRECT(CONCATENATE("$AF$"&amp;FW$392)),INDIRECT(CONCATENATE("$AF$"&amp;FW$391)),
IF($K394=INDIRECT(CONCATENATE("$AE$"&amp;FW$392)),INDIRECT(CONCATENATE("$AE$"&amp;FW$391)),
IF($K394=INDIRECT(CONCATENATE("$AD$"&amp;FW$392)),INDIRECT(CONCATENATE("$AD$"&amp;FW$391)),
IF($K394=INDIRECT(CONCATENATE("$AC$"&amp;FW$392)),INDIRECT(CONCATENATE("$AC$"&amp;FW$391)),
IF($K394=INDIRECT(CONCATENATE("$AB$"&amp;FW$392)),INDIRECT(CONCATENATE("$AB$"&amp;FW$391)),
IF($K394=INDIRECT(CONCATENATE("$AA$"&amp;FW$392)),INDIRECT(CONCATENATE("$AA$"&amp;FW$391)),
IF($K394=INDIRECT(CONCATENATE("$Z$"&amp;FW$392)),INDIRECT(CONCATENATE("$Z$"&amp;FW$391)),
IF($K394=INDIRECT(CONCATENATE("$Y$"&amp;FW$392)),INDIRECT(CONCATENATE("$Y$"&amp;FW$391)),
IF($K394=INDIRECT(CONCATENATE("$X$"&amp;FW$392)),INDIRECT(CONCATENATE("$X$"&amp;FW$391)),
IF($K394=INDIRECT(CONCATENATE("$W$"&amp;FW$392)),INDIRECT(CONCATENATE("$W$"&amp;FW$391)),
IF($K394=INDIRECT(CONCATENATE("$V$"&amp;FW$392)),INDIRECT(CONCATENATE("$V$"&amp;FW$391)),
IF($K394=INDIRECT(CONCATENATE("$U$"&amp;FW$392)),INDIRECT(CONCATENATE("$U$"&amp;FW$391)),
IF($K394=INDIRECT(CONCATENATE("$T$"&amp;FW$392)),INDIRECT(CONCATENATE("$T$"&amp;FW$391)),
IF($K394=INDIRECT(CONCATENATE("$S$"&amp;FW$392)),INDIRECT(CONCATENATE("$S$"&amp;FW$391)),
IF($K394=INDIRECT(CONCATENATE("$R$"&amp;FW$392)),INDIRECT(CONCATENATE("$R$"&amp;FW$391)),
IF($K394=INDIRECT(CONCATENATE("$Q$"&amp;FW$392)),INDIRECT(CONCATENATE("$Q$"&amp;FW$391)),
IF($K394=INDIRECT(CONCATENATE("$P$"&amp;FW$392)),INDIRECT(CONCATENATE("$P$"&amp;FW$391)),
IF($K394=INDIRECT(CONCATENATE("$O$"&amp;FW$392)),INDIRECT(CONCATENATE("$O$"&amp;FW$391)),
IF($K394=INDIRECT(CONCATENATE("$N$"&amp;FW$392)),INDIRECT(CONCATENATE("$N$"&amp;FW$391)),
IF($K394=INDIRECT(CONCATENATE("$M$"&amp;FW$392)),INDIRECT(CONCATENATE("$M$"&amp;FW$391)),
IF($K394=INDIRECT(CONCATENATE("$L$"&amp;FW$392)),INDIRECT(CONCATENATE("$L$"&amp;FW$391)),
IF($K394=INDIRECT(CONCATENATE("$K$"&amp;FW$392)),INDIRECT(CONCATENATE("$K$"&amp;FW$391)),
IF($K394=INDIRECT(CONCATENATE("$J$"&amp;FW$392)),INDIRECT(CONCATENATE("$J$"&amp;FW$391)),
IF($K394=INDIRECT(CONCATENATE("$I$"&amp;FW$392)),INDIRECT(CONCATENATE("$I$"&amp;FW$391)),
IF($K394=INDIRECT(CONCATENATE("$H$"&amp;FW$392)),INDIRECT(CONCATENATE("$H$"&amp;FW$391)),
IF($K394=INDIRECT(CONCATENATE("$G$"&amp;FW$392)),INDIRECT(CONCATENATE("$G$"&amp;FW$391)),
IF($K394=INDIRECT(CONCATENATE("$F$"&amp;FW$392)),INDIRECT(CONCATENATE("$F$"&amp;FW$391)),
IF($K394=INDIRECT(CONCATENATE("$E$"&amp;FW$392)),INDIRECT(CONCATENATE("$E$"&amp;FW$391)),
IF($K394=INDIRECT(CONCATENATE("$D$"&amp;FW$392)),INDIRECT(CONCATENATE("$D$"&amp;FW$391)),
IF($K394=INDIRECT(CONCATENATE("$C$"&amp;FW$392)),INDIRECT(CONCATENATE("$C$"&amp;FW$391)),"X")))))))))))))))))))))))))))))))</f>
        <v>X</v>
      </c>
      <c r="MJ394" s="58" t="str">
        <f t="shared" ref="MJ394:MY428" ca="1" si="1762">IF($K394=INDIRECT(CONCATENATE("$AG$"&amp;FX$392)),INDIRECT(CONCATENATE("$AG$"&amp;FX$391)),
IF($K394=INDIRECT(CONCATENATE("$AF$"&amp;FX$392)),INDIRECT(CONCATENATE("$AF$"&amp;FX$391)),
IF($K394=INDIRECT(CONCATENATE("$AE$"&amp;FX$392)),INDIRECT(CONCATENATE("$AE$"&amp;FX$391)),
IF($K394=INDIRECT(CONCATENATE("$AD$"&amp;FX$392)),INDIRECT(CONCATENATE("$AD$"&amp;FX$391)),
IF($K394=INDIRECT(CONCATENATE("$AC$"&amp;FX$392)),INDIRECT(CONCATENATE("$AC$"&amp;FX$391)),
IF($K394=INDIRECT(CONCATENATE("$AB$"&amp;FX$392)),INDIRECT(CONCATENATE("$AB$"&amp;FX$391)),
IF($K394=INDIRECT(CONCATENATE("$AA$"&amp;FX$392)),INDIRECT(CONCATENATE("$AA$"&amp;FX$391)),
IF($K394=INDIRECT(CONCATENATE("$Z$"&amp;FX$392)),INDIRECT(CONCATENATE("$Z$"&amp;FX$391)),
IF($K394=INDIRECT(CONCATENATE("$Y$"&amp;FX$392)),INDIRECT(CONCATENATE("$Y$"&amp;FX$391)),
IF($K394=INDIRECT(CONCATENATE("$X$"&amp;FX$392)),INDIRECT(CONCATENATE("$X$"&amp;FX$391)),
IF($K394=INDIRECT(CONCATENATE("$W$"&amp;FX$392)),INDIRECT(CONCATENATE("$W$"&amp;FX$391)),
IF($K394=INDIRECT(CONCATENATE("$V$"&amp;FX$392)),INDIRECT(CONCATENATE("$V$"&amp;FX$391)),
IF($K394=INDIRECT(CONCATENATE("$U$"&amp;FX$392)),INDIRECT(CONCATENATE("$U$"&amp;FX$391)),
IF($K394=INDIRECT(CONCATENATE("$T$"&amp;FX$392)),INDIRECT(CONCATENATE("$T$"&amp;FX$391)),
IF($K394=INDIRECT(CONCATENATE("$S$"&amp;FX$392)),INDIRECT(CONCATENATE("$S$"&amp;FX$391)),
IF($K394=INDIRECT(CONCATENATE("$R$"&amp;FX$392)),INDIRECT(CONCATENATE("$R$"&amp;FX$391)),
IF($K394=INDIRECT(CONCATENATE("$Q$"&amp;FX$392)),INDIRECT(CONCATENATE("$Q$"&amp;FX$391)),
IF($K394=INDIRECT(CONCATENATE("$P$"&amp;FX$392)),INDIRECT(CONCATENATE("$P$"&amp;FX$391)),
IF($K394=INDIRECT(CONCATENATE("$O$"&amp;FX$392)),INDIRECT(CONCATENATE("$O$"&amp;FX$391)),
IF($K394=INDIRECT(CONCATENATE("$N$"&amp;FX$392)),INDIRECT(CONCATENATE("$N$"&amp;FX$391)),
IF($K394=INDIRECT(CONCATENATE("$M$"&amp;FX$392)),INDIRECT(CONCATENATE("$M$"&amp;FX$391)),
IF($K394=INDIRECT(CONCATENATE("$L$"&amp;FX$392)),INDIRECT(CONCATENATE("$L$"&amp;FX$391)),
IF($K394=INDIRECT(CONCATENATE("$K$"&amp;FX$392)),INDIRECT(CONCATENATE("$K$"&amp;FX$391)),
IF($K394=INDIRECT(CONCATENATE("$J$"&amp;FX$392)),INDIRECT(CONCATENATE("$J$"&amp;FX$391)),
IF($K394=INDIRECT(CONCATENATE("$I$"&amp;FX$392)),INDIRECT(CONCATENATE("$I$"&amp;FX$391)),
IF($K394=INDIRECT(CONCATENATE("$H$"&amp;FX$392)),INDIRECT(CONCATENATE("$H$"&amp;FX$391)),
IF($K394=INDIRECT(CONCATENATE("$G$"&amp;FX$392)),INDIRECT(CONCATENATE("$G$"&amp;FX$391)),
IF($K394=INDIRECT(CONCATENATE("$F$"&amp;FX$392)),INDIRECT(CONCATENATE("$F$"&amp;FX$391)),
IF($K394=INDIRECT(CONCATENATE("$E$"&amp;FX$392)),INDIRECT(CONCATENATE("$E$"&amp;FX$391)),
IF($K394=INDIRECT(CONCATENATE("$D$"&amp;FX$392)),INDIRECT(CONCATENATE("$D$"&amp;FX$391)),
IF($K394=INDIRECT(CONCATENATE("$C$"&amp;FX$392)),INDIRECT(CONCATENATE("$C$"&amp;FX$391)),"X")))))))))))))))))))))))))))))))</f>
        <v>X</v>
      </c>
      <c r="MK394" s="58" t="str">
        <f t="shared" ref="MK394:MK428" ca="1" si="1763">IF($K394=INDIRECT(CONCATENATE("$AG$"&amp;FY$392)),INDIRECT(CONCATENATE("$AG$"&amp;FY$391)),
IF($K394=INDIRECT(CONCATENATE("$AF$"&amp;FY$392)),INDIRECT(CONCATENATE("$AF$"&amp;FY$391)),
IF($K394=INDIRECT(CONCATENATE("$AE$"&amp;FY$392)),INDIRECT(CONCATENATE("$AE$"&amp;FY$391)),
IF($K394=INDIRECT(CONCATENATE("$AD$"&amp;FY$392)),INDIRECT(CONCATENATE("$AD$"&amp;FY$391)),
IF($K394=INDIRECT(CONCATENATE("$AC$"&amp;FY$392)),INDIRECT(CONCATENATE("$AC$"&amp;FY$391)),
IF($K394=INDIRECT(CONCATENATE("$AB$"&amp;FY$392)),INDIRECT(CONCATENATE("$AB$"&amp;FY$391)),
IF($K394=INDIRECT(CONCATENATE("$AA$"&amp;FY$392)),INDIRECT(CONCATENATE("$AA$"&amp;FY$391)),
IF($K394=INDIRECT(CONCATENATE("$Z$"&amp;FY$392)),INDIRECT(CONCATENATE("$Z$"&amp;FY$391)),
IF($K394=INDIRECT(CONCATENATE("$Y$"&amp;FY$392)),INDIRECT(CONCATENATE("$Y$"&amp;FY$391)),
IF($K394=INDIRECT(CONCATENATE("$X$"&amp;FY$392)),INDIRECT(CONCATENATE("$X$"&amp;FY$391)),
IF($K394=INDIRECT(CONCATENATE("$W$"&amp;FY$392)),INDIRECT(CONCATENATE("$W$"&amp;FY$391)),
IF($K394=INDIRECT(CONCATENATE("$V$"&amp;FY$392)),INDIRECT(CONCATENATE("$V$"&amp;FY$391)),
IF($K394=INDIRECT(CONCATENATE("$U$"&amp;FY$392)),INDIRECT(CONCATENATE("$U$"&amp;FY$391)),
IF($K394=INDIRECT(CONCATENATE("$T$"&amp;FY$392)),INDIRECT(CONCATENATE("$T$"&amp;FY$391)),
IF($K394=INDIRECT(CONCATENATE("$S$"&amp;FY$392)),INDIRECT(CONCATENATE("$S$"&amp;FY$391)),
IF($K394=INDIRECT(CONCATENATE("$R$"&amp;FY$392)),INDIRECT(CONCATENATE("$R$"&amp;FY$391)),
IF($K394=INDIRECT(CONCATENATE("$Q$"&amp;FY$392)),INDIRECT(CONCATENATE("$Q$"&amp;FY$391)),
IF($K394=INDIRECT(CONCATENATE("$P$"&amp;FY$392)),INDIRECT(CONCATENATE("$P$"&amp;FY$391)),
IF($K394=INDIRECT(CONCATENATE("$O$"&amp;FY$392)),INDIRECT(CONCATENATE("$O$"&amp;FY$391)),
IF($K394=INDIRECT(CONCATENATE("$N$"&amp;FY$392)),INDIRECT(CONCATENATE("$N$"&amp;FY$391)),
IF($K394=INDIRECT(CONCATENATE("$M$"&amp;FY$392)),INDIRECT(CONCATENATE("$M$"&amp;FY$391)),
IF($K394=INDIRECT(CONCATENATE("$L$"&amp;FY$392)),INDIRECT(CONCATENATE("$L$"&amp;FY$391)),
IF($K394=INDIRECT(CONCATENATE("$K$"&amp;FY$392)),INDIRECT(CONCATENATE("$K$"&amp;FY$391)),
IF($K394=INDIRECT(CONCATENATE("$J$"&amp;FY$392)),INDIRECT(CONCATENATE("$J$"&amp;FY$391)),
IF($K394=INDIRECT(CONCATENATE("$I$"&amp;FY$392)),INDIRECT(CONCATENATE("$I$"&amp;FY$391)),
IF($K394=INDIRECT(CONCATENATE("$H$"&amp;FY$392)),INDIRECT(CONCATENATE("$H$"&amp;FY$391)),
IF($K394=INDIRECT(CONCATENATE("$G$"&amp;FY$392)),INDIRECT(CONCATENATE("$G$"&amp;FY$391)),
IF($K394=INDIRECT(CONCATENATE("$F$"&amp;FY$392)),INDIRECT(CONCATENATE("$F$"&amp;FY$391)),
IF($K394=INDIRECT(CONCATENATE("$E$"&amp;FY$392)),INDIRECT(CONCATENATE("$E$"&amp;FY$391)),
IF($K394=INDIRECT(CONCATENATE("$D$"&amp;FY$392)),INDIRECT(CONCATENATE("$D$"&amp;FY$391)),
IF($K394=INDIRECT(CONCATENATE("$C$"&amp;FY$392)),INDIRECT(CONCATENATE("$C$"&amp;FY$391)),"X")))))))))))))))))))))))))))))))</f>
        <v>X</v>
      </c>
      <c r="ML394" s="58" t="str">
        <f t="shared" ref="ML394:ML428" ca="1" si="1764">IF($K394=INDIRECT(CONCATENATE("$AG$"&amp;FZ$392)),INDIRECT(CONCATENATE("$AG$"&amp;FZ$391)),
IF($K394=INDIRECT(CONCATENATE("$AF$"&amp;FZ$392)),INDIRECT(CONCATENATE("$AF$"&amp;FZ$391)),
IF($K394=INDIRECT(CONCATENATE("$AE$"&amp;FZ$392)),INDIRECT(CONCATENATE("$AE$"&amp;FZ$391)),
IF($K394=INDIRECT(CONCATENATE("$AD$"&amp;FZ$392)),INDIRECT(CONCATENATE("$AD$"&amp;FZ$391)),
IF($K394=INDIRECT(CONCATENATE("$AC$"&amp;FZ$392)),INDIRECT(CONCATENATE("$AC$"&amp;FZ$391)),
IF($K394=INDIRECT(CONCATENATE("$AB$"&amp;FZ$392)),INDIRECT(CONCATENATE("$AB$"&amp;FZ$391)),
IF($K394=INDIRECT(CONCATENATE("$AA$"&amp;FZ$392)),INDIRECT(CONCATENATE("$AA$"&amp;FZ$391)),
IF($K394=INDIRECT(CONCATENATE("$Z$"&amp;FZ$392)),INDIRECT(CONCATENATE("$Z$"&amp;FZ$391)),
IF($K394=INDIRECT(CONCATENATE("$Y$"&amp;FZ$392)),INDIRECT(CONCATENATE("$Y$"&amp;FZ$391)),
IF($K394=INDIRECT(CONCATENATE("$X$"&amp;FZ$392)),INDIRECT(CONCATENATE("$X$"&amp;FZ$391)),
IF($K394=INDIRECT(CONCATENATE("$W$"&amp;FZ$392)),INDIRECT(CONCATENATE("$W$"&amp;FZ$391)),
IF($K394=INDIRECT(CONCATENATE("$V$"&amp;FZ$392)),INDIRECT(CONCATENATE("$V$"&amp;FZ$391)),
IF($K394=INDIRECT(CONCATENATE("$U$"&amp;FZ$392)),INDIRECT(CONCATENATE("$U$"&amp;FZ$391)),
IF($K394=INDIRECT(CONCATENATE("$T$"&amp;FZ$392)),INDIRECT(CONCATENATE("$T$"&amp;FZ$391)),
IF($K394=INDIRECT(CONCATENATE("$S$"&amp;FZ$392)),INDIRECT(CONCATENATE("$S$"&amp;FZ$391)),
IF($K394=INDIRECT(CONCATENATE("$R$"&amp;FZ$392)),INDIRECT(CONCATENATE("$R$"&amp;FZ$391)),
IF($K394=INDIRECT(CONCATENATE("$Q$"&amp;FZ$392)),INDIRECT(CONCATENATE("$Q$"&amp;FZ$391)),
IF($K394=INDIRECT(CONCATENATE("$P$"&amp;FZ$392)),INDIRECT(CONCATENATE("$P$"&amp;FZ$391)),
IF($K394=INDIRECT(CONCATENATE("$O$"&amp;FZ$392)),INDIRECT(CONCATENATE("$O$"&amp;FZ$391)),
IF($K394=INDIRECT(CONCATENATE("$N$"&amp;FZ$392)),INDIRECT(CONCATENATE("$N$"&amp;FZ$391)),
IF($K394=INDIRECT(CONCATENATE("$M$"&amp;FZ$392)),INDIRECT(CONCATENATE("$M$"&amp;FZ$391)),
IF($K394=INDIRECT(CONCATENATE("$L$"&amp;FZ$392)),INDIRECT(CONCATENATE("$L$"&amp;FZ$391)),
IF($K394=INDIRECT(CONCATENATE("$K$"&amp;FZ$392)),INDIRECT(CONCATENATE("$K$"&amp;FZ$391)),
IF($K394=INDIRECT(CONCATENATE("$J$"&amp;FZ$392)),INDIRECT(CONCATENATE("$J$"&amp;FZ$391)),
IF($K394=INDIRECT(CONCATENATE("$I$"&amp;FZ$392)),INDIRECT(CONCATENATE("$I$"&amp;FZ$391)),
IF($K394=INDIRECT(CONCATENATE("$H$"&amp;FZ$392)),INDIRECT(CONCATENATE("$H$"&amp;FZ$391)),
IF($K394=INDIRECT(CONCATENATE("$G$"&amp;FZ$392)),INDIRECT(CONCATENATE("$G$"&amp;FZ$391)),
IF($K394=INDIRECT(CONCATENATE("$F$"&amp;FZ$392)),INDIRECT(CONCATENATE("$F$"&amp;FZ$391)),
IF($K394=INDIRECT(CONCATENATE("$E$"&amp;FZ$392)),INDIRECT(CONCATENATE("$E$"&amp;FZ$391)),
IF($K394=INDIRECT(CONCATENATE("$D$"&amp;FZ$392)),INDIRECT(CONCATENATE("$D$"&amp;FZ$391)),
IF($K394=INDIRECT(CONCATENATE("$C$"&amp;FZ$392)),INDIRECT(CONCATENATE("$C$"&amp;FZ$391)),"X")))))))))))))))))))))))))))))))</f>
        <v>X</v>
      </c>
      <c r="MM394" s="58" t="str">
        <f t="shared" ref="MM394:MM428" ca="1" si="1765">IF($K394=INDIRECT(CONCATENATE("$AG$"&amp;GA$392)),INDIRECT(CONCATENATE("$AG$"&amp;GA$391)),
IF($K394=INDIRECT(CONCATENATE("$AF$"&amp;GA$392)),INDIRECT(CONCATENATE("$AF$"&amp;GA$391)),
IF($K394=INDIRECT(CONCATENATE("$AE$"&amp;GA$392)),INDIRECT(CONCATENATE("$AE$"&amp;GA$391)),
IF($K394=INDIRECT(CONCATENATE("$AD$"&amp;GA$392)),INDIRECT(CONCATENATE("$AD$"&amp;GA$391)),
IF($K394=INDIRECT(CONCATENATE("$AC$"&amp;GA$392)),INDIRECT(CONCATENATE("$AC$"&amp;GA$391)),
IF($K394=INDIRECT(CONCATENATE("$AB$"&amp;GA$392)),INDIRECT(CONCATENATE("$AB$"&amp;GA$391)),
IF($K394=INDIRECT(CONCATENATE("$AA$"&amp;GA$392)),INDIRECT(CONCATENATE("$AA$"&amp;GA$391)),
IF($K394=INDIRECT(CONCATENATE("$Z$"&amp;GA$392)),INDIRECT(CONCATENATE("$Z$"&amp;GA$391)),
IF($K394=INDIRECT(CONCATENATE("$Y$"&amp;GA$392)),INDIRECT(CONCATENATE("$Y$"&amp;GA$391)),
IF($K394=INDIRECT(CONCATENATE("$X$"&amp;GA$392)),INDIRECT(CONCATENATE("$X$"&amp;GA$391)),
IF($K394=INDIRECT(CONCATENATE("$W$"&amp;GA$392)),INDIRECT(CONCATENATE("$W$"&amp;GA$391)),
IF($K394=INDIRECT(CONCATENATE("$V$"&amp;GA$392)),INDIRECT(CONCATENATE("$V$"&amp;GA$391)),
IF($K394=INDIRECT(CONCATENATE("$U$"&amp;GA$392)),INDIRECT(CONCATENATE("$U$"&amp;GA$391)),
IF($K394=INDIRECT(CONCATENATE("$T$"&amp;GA$392)),INDIRECT(CONCATENATE("$T$"&amp;GA$391)),
IF($K394=INDIRECT(CONCATENATE("$S$"&amp;GA$392)),INDIRECT(CONCATENATE("$S$"&amp;GA$391)),
IF($K394=INDIRECT(CONCATENATE("$R$"&amp;GA$392)),INDIRECT(CONCATENATE("$R$"&amp;GA$391)),
IF($K394=INDIRECT(CONCATENATE("$Q$"&amp;GA$392)),INDIRECT(CONCATENATE("$Q$"&amp;GA$391)),
IF($K394=INDIRECT(CONCATENATE("$P$"&amp;GA$392)),INDIRECT(CONCATENATE("$P$"&amp;GA$391)),
IF($K394=INDIRECT(CONCATENATE("$O$"&amp;GA$392)),INDIRECT(CONCATENATE("$O$"&amp;GA$391)),
IF($K394=INDIRECT(CONCATENATE("$N$"&amp;GA$392)),INDIRECT(CONCATENATE("$N$"&amp;GA$391)),
IF($K394=INDIRECT(CONCATENATE("$M$"&amp;GA$392)),INDIRECT(CONCATENATE("$M$"&amp;GA$391)),
IF($K394=INDIRECT(CONCATENATE("$L$"&amp;GA$392)),INDIRECT(CONCATENATE("$L$"&amp;GA$391)),
IF($K394=INDIRECT(CONCATENATE("$K$"&amp;GA$392)),INDIRECT(CONCATENATE("$K$"&amp;GA$391)),
IF($K394=INDIRECT(CONCATENATE("$J$"&amp;GA$392)),INDIRECT(CONCATENATE("$J$"&amp;GA$391)),
IF($K394=INDIRECT(CONCATENATE("$I$"&amp;GA$392)),INDIRECT(CONCATENATE("$I$"&amp;GA$391)),
IF($K394=INDIRECT(CONCATENATE("$H$"&amp;GA$392)),INDIRECT(CONCATENATE("$H$"&amp;GA$391)),
IF($K394=INDIRECT(CONCATENATE("$G$"&amp;GA$392)),INDIRECT(CONCATENATE("$G$"&amp;GA$391)),
IF($K394=INDIRECT(CONCATENATE("$F$"&amp;GA$392)),INDIRECT(CONCATENATE("$F$"&amp;GA$391)),
IF($K394=INDIRECT(CONCATENATE("$E$"&amp;GA$392)),INDIRECT(CONCATENATE("$E$"&amp;GA$391)),
IF($K394=INDIRECT(CONCATENATE("$D$"&amp;GA$392)),INDIRECT(CONCATENATE("$D$"&amp;GA$391)),
IF($K394=INDIRECT(CONCATENATE("$C$"&amp;GA$392)),INDIRECT(CONCATENATE("$C$"&amp;GA$391)),"X")))))))))))))))))))))))))))))))</f>
        <v>X</v>
      </c>
      <c r="MN394" s="58" t="str">
        <f t="shared" ref="MN394:MN428" ca="1" si="1766">IF($K394=INDIRECT(CONCATENATE("$AG$"&amp;GB$392)),INDIRECT(CONCATENATE("$AG$"&amp;GB$391)),
IF($K394=INDIRECT(CONCATENATE("$AF$"&amp;GB$392)),INDIRECT(CONCATENATE("$AF$"&amp;GB$391)),
IF($K394=INDIRECT(CONCATENATE("$AE$"&amp;GB$392)),INDIRECT(CONCATENATE("$AE$"&amp;GB$391)),
IF($K394=INDIRECT(CONCATENATE("$AD$"&amp;GB$392)),INDIRECT(CONCATENATE("$AD$"&amp;GB$391)),
IF($K394=INDIRECT(CONCATENATE("$AC$"&amp;GB$392)),INDIRECT(CONCATENATE("$AC$"&amp;GB$391)),
IF($K394=INDIRECT(CONCATENATE("$AB$"&amp;GB$392)),INDIRECT(CONCATENATE("$AB$"&amp;GB$391)),
IF($K394=INDIRECT(CONCATENATE("$AA$"&amp;GB$392)),INDIRECT(CONCATENATE("$AA$"&amp;GB$391)),
IF($K394=INDIRECT(CONCATENATE("$Z$"&amp;GB$392)),INDIRECT(CONCATENATE("$Z$"&amp;GB$391)),
IF($K394=INDIRECT(CONCATENATE("$Y$"&amp;GB$392)),INDIRECT(CONCATENATE("$Y$"&amp;GB$391)),
IF($K394=INDIRECT(CONCATENATE("$X$"&amp;GB$392)),INDIRECT(CONCATENATE("$X$"&amp;GB$391)),
IF($K394=INDIRECT(CONCATENATE("$W$"&amp;GB$392)),INDIRECT(CONCATENATE("$W$"&amp;GB$391)),
IF($K394=INDIRECT(CONCATENATE("$V$"&amp;GB$392)),INDIRECT(CONCATENATE("$V$"&amp;GB$391)),
IF($K394=INDIRECT(CONCATENATE("$U$"&amp;GB$392)),INDIRECT(CONCATENATE("$U$"&amp;GB$391)),
IF($K394=INDIRECT(CONCATENATE("$T$"&amp;GB$392)),INDIRECT(CONCATENATE("$T$"&amp;GB$391)),
IF($K394=INDIRECT(CONCATENATE("$S$"&amp;GB$392)),INDIRECT(CONCATENATE("$S$"&amp;GB$391)),
IF($K394=INDIRECT(CONCATENATE("$R$"&amp;GB$392)),INDIRECT(CONCATENATE("$R$"&amp;GB$391)),
IF($K394=INDIRECT(CONCATENATE("$Q$"&amp;GB$392)),INDIRECT(CONCATENATE("$Q$"&amp;GB$391)),
IF($K394=INDIRECT(CONCATENATE("$P$"&amp;GB$392)),INDIRECT(CONCATENATE("$P$"&amp;GB$391)),
IF($K394=INDIRECT(CONCATENATE("$O$"&amp;GB$392)),INDIRECT(CONCATENATE("$O$"&amp;GB$391)),
IF($K394=INDIRECT(CONCATENATE("$N$"&amp;GB$392)),INDIRECT(CONCATENATE("$N$"&amp;GB$391)),
IF($K394=INDIRECT(CONCATENATE("$M$"&amp;GB$392)),INDIRECT(CONCATENATE("$M$"&amp;GB$391)),
IF($K394=INDIRECT(CONCATENATE("$L$"&amp;GB$392)),INDIRECT(CONCATENATE("$L$"&amp;GB$391)),
IF($K394=INDIRECT(CONCATENATE("$K$"&amp;GB$392)),INDIRECT(CONCATENATE("$K$"&amp;GB$391)),
IF($K394=INDIRECT(CONCATENATE("$J$"&amp;GB$392)),INDIRECT(CONCATENATE("$J$"&amp;GB$391)),
IF($K394=INDIRECT(CONCATENATE("$I$"&amp;GB$392)),INDIRECT(CONCATENATE("$I$"&amp;GB$391)),
IF($K394=INDIRECT(CONCATENATE("$H$"&amp;GB$392)),INDIRECT(CONCATENATE("$H$"&amp;GB$391)),
IF($K394=INDIRECT(CONCATENATE("$G$"&amp;GB$392)),INDIRECT(CONCATENATE("$G$"&amp;GB$391)),
IF($K394=INDIRECT(CONCATENATE("$F$"&amp;GB$392)),INDIRECT(CONCATENATE("$F$"&amp;GB$391)),
IF($K394=INDIRECT(CONCATENATE("$E$"&amp;GB$392)),INDIRECT(CONCATENATE("$E$"&amp;GB$391)),
IF($K394=INDIRECT(CONCATENATE("$D$"&amp;GB$392)),INDIRECT(CONCATENATE("$D$"&amp;GB$391)),
IF($K394=INDIRECT(CONCATENATE("$C$"&amp;GB$392)),INDIRECT(CONCATENATE("$C$"&amp;GB$391)),"X")))))))))))))))))))))))))))))))</f>
        <v>X</v>
      </c>
      <c r="MO394" s="58" t="str">
        <f t="shared" ref="MO394:MO428" ca="1" si="1767">IF($K394=INDIRECT(CONCATENATE("$AG$"&amp;GC$392)),INDIRECT(CONCATENATE("$AG$"&amp;GC$391)),
IF($K394=INDIRECT(CONCATENATE("$AF$"&amp;GC$392)),INDIRECT(CONCATENATE("$AF$"&amp;GC$391)),
IF($K394=INDIRECT(CONCATENATE("$AE$"&amp;GC$392)),INDIRECT(CONCATENATE("$AE$"&amp;GC$391)),
IF($K394=INDIRECT(CONCATENATE("$AD$"&amp;GC$392)),INDIRECT(CONCATENATE("$AD$"&amp;GC$391)),
IF($K394=INDIRECT(CONCATENATE("$AC$"&amp;GC$392)),INDIRECT(CONCATENATE("$AC$"&amp;GC$391)),
IF($K394=INDIRECT(CONCATENATE("$AB$"&amp;GC$392)),INDIRECT(CONCATENATE("$AB$"&amp;GC$391)),
IF($K394=INDIRECT(CONCATENATE("$AA$"&amp;GC$392)),INDIRECT(CONCATENATE("$AA$"&amp;GC$391)),
IF($K394=INDIRECT(CONCATENATE("$Z$"&amp;GC$392)),INDIRECT(CONCATENATE("$Z$"&amp;GC$391)),
IF($K394=INDIRECT(CONCATENATE("$Y$"&amp;GC$392)),INDIRECT(CONCATENATE("$Y$"&amp;GC$391)),
IF($K394=INDIRECT(CONCATENATE("$X$"&amp;GC$392)),INDIRECT(CONCATENATE("$X$"&amp;GC$391)),
IF($K394=INDIRECT(CONCATENATE("$W$"&amp;GC$392)),INDIRECT(CONCATENATE("$W$"&amp;GC$391)),
IF($K394=INDIRECT(CONCATENATE("$V$"&amp;GC$392)),INDIRECT(CONCATENATE("$V$"&amp;GC$391)),
IF($K394=INDIRECT(CONCATENATE("$U$"&amp;GC$392)),INDIRECT(CONCATENATE("$U$"&amp;GC$391)),
IF($K394=INDIRECT(CONCATENATE("$T$"&amp;GC$392)),INDIRECT(CONCATENATE("$T$"&amp;GC$391)),
IF($K394=INDIRECT(CONCATENATE("$S$"&amp;GC$392)),INDIRECT(CONCATENATE("$S$"&amp;GC$391)),
IF($K394=INDIRECT(CONCATENATE("$R$"&amp;GC$392)),INDIRECT(CONCATENATE("$R$"&amp;GC$391)),
IF($K394=INDIRECT(CONCATENATE("$Q$"&amp;GC$392)),INDIRECT(CONCATENATE("$Q$"&amp;GC$391)),
IF($K394=INDIRECT(CONCATENATE("$P$"&amp;GC$392)),INDIRECT(CONCATENATE("$P$"&amp;GC$391)),
IF($K394=INDIRECT(CONCATENATE("$O$"&amp;GC$392)),INDIRECT(CONCATENATE("$O$"&amp;GC$391)),
IF($K394=INDIRECT(CONCATENATE("$N$"&amp;GC$392)),INDIRECT(CONCATENATE("$N$"&amp;GC$391)),
IF($K394=INDIRECT(CONCATENATE("$M$"&amp;GC$392)),INDIRECT(CONCATENATE("$M$"&amp;GC$391)),
IF($K394=INDIRECT(CONCATENATE("$L$"&amp;GC$392)),INDIRECT(CONCATENATE("$L$"&amp;GC$391)),
IF($K394=INDIRECT(CONCATENATE("$K$"&amp;GC$392)),INDIRECT(CONCATENATE("$K$"&amp;GC$391)),
IF($K394=INDIRECT(CONCATENATE("$J$"&amp;GC$392)),INDIRECT(CONCATENATE("$J$"&amp;GC$391)),
IF($K394=INDIRECT(CONCATENATE("$I$"&amp;GC$392)),INDIRECT(CONCATENATE("$I$"&amp;GC$391)),
IF($K394=INDIRECT(CONCATENATE("$H$"&amp;GC$392)),INDIRECT(CONCATENATE("$H$"&amp;GC$391)),
IF($K394=INDIRECT(CONCATENATE("$G$"&amp;GC$392)),INDIRECT(CONCATENATE("$G$"&amp;GC$391)),
IF($K394=INDIRECT(CONCATENATE("$F$"&amp;GC$392)),INDIRECT(CONCATENATE("$F$"&amp;GC$391)),
IF($K394=INDIRECT(CONCATENATE("$E$"&amp;GC$392)),INDIRECT(CONCATENATE("$E$"&amp;GC$391)),
IF($K394=INDIRECT(CONCATENATE("$D$"&amp;GC$392)),INDIRECT(CONCATENATE("$D$"&amp;GC$391)),
IF($K394=INDIRECT(CONCATENATE("$C$"&amp;GC$392)),INDIRECT(CONCATENATE("$C$"&amp;GC$391)),"X")))))))))))))))))))))))))))))))</f>
        <v>X</v>
      </c>
      <c r="MP394" s="58" t="str">
        <f t="shared" ref="MP394:MP428" ca="1" si="1768">IF($K394=INDIRECT(CONCATENATE("$AG$"&amp;GD$392)),INDIRECT(CONCATENATE("$AG$"&amp;GD$391)),
IF($K394=INDIRECT(CONCATENATE("$AF$"&amp;GD$392)),INDIRECT(CONCATENATE("$AF$"&amp;GD$391)),
IF($K394=INDIRECT(CONCATENATE("$AE$"&amp;GD$392)),INDIRECT(CONCATENATE("$AE$"&amp;GD$391)),
IF($K394=INDIRECT(CONCATENATE("$AD$"&amp;GD$392)),INDIRECT(CONCATENATE("$AD$"&amp;GD$391)),
IF($K394=INDIRECT(CONCATENATE("$AC$"&amp;GD$392)),INDIRECT(CONCATENATE("$AC$"&amp;GD$391)),
IF($K394=INDIRECT(CONCATENATE("$AB$"&amp;GD$392)),INDIRECT(CONCATENATE("$AB$"&amp;GD$391)),
IF($K394=INDIRECT(CONCATENATE("$AA$"&amp;GD$392)),INDIRECT(CONCATENATE("$AA$"&amp;GD$391)),
IF($K394=INDIRECT(CONCATENATE("$Z$"&amp;GD$392)),INDIRECT(CONCATENATE("$Z$"&amp;GD$391)),
IF($K394=INDIRECT(CONCATENATE("$Y$"&amp;GD$392)),INDIRECT(CONCATENATE("$Y$"&amp;GD$391)),
IF($K394=INDIRECT(CONCATENATE("$X$"&amp;GD$392)),INDIRECT(CONCATENATE("$X$"&amp;GD$391)),
IF($K394=INDIRECT(CONCATENATE("$W$"&amp;GD$392)),INDIRECT(CONCATENATE("$W$"&amp;GD$391)),
IF($K394=INDIRECT(CONCATENATE("$V$"&amp;GD$392)),INDIRECT(CONCATENATE("$V$"&amp;GD$391)),
IF($K394=INDIRECT(CONCATENATE("$U$"&amp;GD$392)),INDIRECT(CONCATENATE("$U$"&amp;GD$391)),
IF($K394=INDIRECT(CONCATENATE("$T$"&amp;GD$392)),INDIRECT(CONCATENATE("$T$"&amp;GD$391)),
IF($K394=INDIRECT(CONCATENATE("$S$"&amp;GD$392)),INDIRECT(CONCATENATE("$S$"&amp;GD$391)),
IF($K394=INDIRECT(CONCATENATE("$R$"&amp;GD$392)),INDIRECT(CONCATENATE("$R$"&amp;GD$391)),
IF($K394=INDIRECT(CONCATENATE("$Q$"&amp;GD$392)),INDIRECT(CONCATENATE("$Q$"&amp;GD$391)),
IF($K394=INDIRECT(CONCATENATE("$P$"&amp;GD$392)),INDIRECT(CONCATENATE("$P$"&amp;GD$391)),
IF($K394=INDIRECT(CONCATENATE("$O$"&amp;GD$392)),INDIRECT(CONCATENATE("$O$"&amp;GD$391)),
IF($K394=INDIRECT(CONCATENATE("$N$"&amp;GD$392)),INDIRECT(CONCATENATE("$N$"&amp;GD$391)),
IF($K394=INDIRECT(CONCATENATE("$M$"&amp;GD$392)),INDIRECT(CONCATENATE("$M$"&amp;GD$391)),
IF($K394=INDIRECT(CONCATENATE("$L$"&amp;GD$392)),INDIRECT(CONCATENATE("$L$"&amp;GD$391)),
IF($K394=INDIRECT(CONCATENATE("$K$"&amp;GD$392)),INDIRECT(CONCATENATE("$K$"&amp;GD$391)),
IF($K394=INDIRECT(CONCATENATE("$J$"&amp;GD$392)),INDIRECT(CONCATENATE("$J$"&amp;GD$391)),
IF($K394=INDIRECT(CONCATENATE("$I$"&amp;GD$392)),INDIRECT(CONCATENATE("$I$"&amp;GD$391)),
IF($K394=INDIRECT(CONCATENATE("$H$"&amp;GD$392)),INDIRECT(CONCATENATE("$H$"&amp;GD$391)),
IF($K394=INDIRECT(CONCATENATE("$G$"&amp;GD$392)),INDIRECT(CONCATENATE("$G$"&amp;GD$391)),
IF($K394=INDIRECT(CONCATENATE("$F$"&amp;GD$392)),INDIRECT(CONCATENATE("$F$"&amp;GD$391)),
IF($K394=INDIRECT(CONCATENATE("$E$"&amp;GD$392)),INDIRECT(CONCATENATE("$E$"&amp;GD$391)),
IF($K394=INDIRECT(CONCATENATE("$D$"&amp;GD$392)),INDIRECT(CONCATENATE("$D$"&amp;GD$391)),
IF($K394=INDIRECT(CONCATENATE("$C$"&amp;GD$392)),INDIRECT(CONCATENATE("$C$"&amp;GD$391)),"X")))))))))))))))))))))))))))))))</f>
        <v>X</v>
      </c>
      <c r="MQ394" s="58" t="str">
        <f t="shared" ref="MQ394:MQ428" ca="1" si="1769">IF($K394=INDIRECT(CONCATENATE("$AG$"&amp;GE$392)),INDIRECT(CONCATENATE("$AG$"&amp;GE$391)),
IF($K394=INDIRECT(CONCATENATE("$AF$"&amp;GE$392)),INDIRECT(CONCATENATE("$AF$"&amp;GE$391)),
IF($K394=INDIRECT(CONCATENATE("$AE$"&amp;GE$392)),INDIRECT(CONCATENATE("$AE$"&amp;GE$391)),
IF($K394=INDIRECT(CONCATENATE("$AD$"&amp;GE$392)),INDIRECT(CONCATENATE("$AD$"&amp;GE$391)),
IF($K394=INDIRECT(CONCATENATE("$AC$"&amp;GE$392)),INDIRECT(CONCATENATE("$AC$"&amp;GE$391)),
IF($K394=INDIRECT(CONCATENATE("$AB$"&amp;GE$392)),INDIRECT(CONCATENATE("$AB$"&amp;GE$391)),
IF($K394=INDIRECT(CONCATENATE("$AA$"&amp;GE$392)),INDIRECT(CONCATENATE("$AA$"&amp;GE$391)),
IF($K394=INDIRECT(CONCATENATE("$Z$"&amp;GE$392)),INDIRECT(CONCATENATE("$Z$"&amp;GE$391)),
IF($K394=INDIRECT(CONCATENATE("$Y$"&amp;GE$392)),INDIRECT(CONCATENATE("$Y$"&amp;GE$391)),
IF($K394=INDIRECT(CONCATENATE("$X$"&amp;GE$392)),INDIRECT(CONCATENATE("$X$"&amp;GE$391)),
IF($K394=INDIRECT(CONCATENATE("$W$"&amp;GE$392)),INDIRECT(CONCATENATE("$W$"&amp;GE$391)),
IF($K394=INDIRECT(CONCATENATE("$V$"&amp;GE$392)),INDIRECT(CONCATENATE("$V$"&amp;GE$391)),
IF($K394=INDIRECT(CONCATENATE("$U$"&amp;GE$392)),INDIRECT(CONCATENATE("$U$"&amp;GE$391)),
IF($K394=INDIRECT(CONCATENATE("$T$"&amp;GE$392)),INDIRECT(CONCATENATE("$T$"&amp;GE$391)),
IF($K394=INDIRECT(CONCATENATE("$S$"&amp;GE$392)),INDIRECT(CONCATENATE("$S$"&amp;GE$391)),
IF($K394=INDIRECT(CONCATENATE("$R$"&amp;GE$392)),INDIRECT(CONCATENATE("$R$"&amp;GE$391)),
IF($K394=INDIRECT(CONCATENATE("$Q$"&amp;GE$392)),INDIRECT(CONCATENATE("$Q$"&amp;GE$391)),
IF($K394=INDIRECT(CONCATENATE("$P$"&amp;GE$392)),INDIRECT(CONCATENATE("$P$"&amp;GE$391)),
IF($K394=INDIRECT(CONCATENATE("$O$"&amp;GE$392)),INDIRECT(CONCATENATE("$O$"&amp;GE$391)),
IF($K394=INDIRECT(CONCATENATE("$N$"&amp;GE$392)),INDIRECT(CONCATENATE("$N$"&amp;GE$391)),
IF($K394=INDIRECT(CONCATENATE("$M$"&amp;GE$392)),INDIRECT(CONCATENATE("$M$"&amp;GE$391)),
IF($K394=INDIRECT(CONCATENATE("$L$"&amp;GE$392)),INDIRECT(CONCATENATE("$L$"&amp;GE$391)),
IF($K394=INDIRECT(CONCATENATE("$K$"&amp;GE$392)),INDIRECT(CONCATENATE("$K$"&amp;GE$391)),
IF($K394=INDIRECT(CONCATENATE("$J$"&amp;GE$392)),INDIRECT(CONCATENATE("$J$"&amp;GE$391)),
IF($K394=INDIRECT(CONCATENATE("$I$"&amp;GE$392)),INDIRECT(CONCATENATE("$I$"&amp;GE$391)),
IF($K394=INDIRECT(CONCATENATE("$H$"&amp;GE$392)),INDIRECT(CONCATENATE("$H$"&amp;GE$391)),
IF($K394=INDIRECT(CONCATENATE("$G$"&amp;GE$392)),INDIRECT(CONCATENATE("$G$"&amp;GE$391)),
IF($K394=INDIRECT(CONCATENATE("$F$"&amp;GE$392)),INDIRECT(CONCATENATE("$F$"&amp;GE$391)),
IF($K394=INDIRECT(CONCATENATE("$E$"&amp;GE$392)),INDIRECT(CONCATENATE("$E$"&amp;GE$391)),
IF($K394=INDIRECT(CONCATENATE("$D$"&amp;GE$392)),INDIRECT(CONCATENATE("$D$"&amp;GE$391)),
IF($K394=INDIRECT(CONCATENATE("$C$"&amp;GE$392)),INDIRECT(CONCATENATE("$C$"&amp;GE$391)),"X")))))))))))))))))))))))))))))))</f>
        <v>X</v>
      </c>
      <c r="MR394" s="58" t="str">
        <f t="shared" ref="MR394:MR428" ca="1" si="1770">IF($K394=INDIRECT(CONCATENATE("$AG$"&amp;GF$392)),INDIRECT(CONCATENATE("$AG$"&amp;GF$391)),
IF($K394=INDIRECT(CONCATENATE("$AF$"&amp;GF$392)),INDIRECT(CONCATENATE("$AF$"&amp;GF$391)),
IF($K394=INDIRECT(CONCATENATE("$AE$"&amp;GF$392)),INDIRECT(CONCATENATE("$AE$"&amp;GF$391)),
IF($K394=INDIRECT(CONCATENATE("$AD$"&amp;GF$392)),INDIRECT(CONCATENATE("$AD$"&amp;GF$391)),
IF($K394=INDIRECT(CONCATENATE("$AC$"&amp;GF$392)),INDIRECT(CONCATENATE("$AC$"&amp;GF$391)),
IF($K394=INDIRECT(CONCATENATE("$AB$"&amp;GF$392)),INDIRECT(CONCATENATE("$AB$"&amp;GF$391)),
IF($K394=INDIRECT(CONCATENATE("$AA$"&amp;GF$392)),INDIRECT(CONCATENATE("$AA$"&amp;GF$391)),
IF($K394=INDIRECT(CONCATENATE("$Z$"&amp;GF$392)),INDIRECT(CONCATENATE("$Z$"&amp;GF$391)),
IF($K394=INDIRECT(CONCATENATE("$Y$"&amp;GF$392)),INDIRECT(CONCATENATE("$Y$"&amp;GF$391)),
IF($K394=INDIRECT(CONCATENATE("$X$"&amp;GF$392)),INDIRECT(CONCATENATE("$X$"&amp;GF$391)),
IF($K394=INDIRECT(CONCATENATE("$W$"&amp;GF$392)),INDIRECT(CONCATENATE("$W$"&amp;GF$391)),
IF($K394=INDIRECT(CONCATENATE("$V$"&amp;GF$392)),INDIRECT(CONCATENATE("$V$"&amp;GF$391)),
IF($K394=INDIRECT(CONCATENATE("$U$"&amp;GF$392)),INDIRECT(CONCATENATE("$U$"&amp;GF$391)),
IF($K394=INDIRECT(CONCATENATE("$T$"&amp;GF$392)),INDIRECT(CONCATENATE("$T$"&amp;GF$391)),
IF($K394=INDIRECT(CONCATENATE("$S$"&amp;GF$392)),INDIRECT(CONCATENATE("$S$"&amp;GF$391)),
IF($K394=INDIRECT(CONCATENATE("$R$"&amp;GF$392)),INDIRECT(CONCATENATE("$R$"&amp;GF$391)),
IF($K394=INDIRECT(CONCATENATE("$Q$"&amp;GF$392)),INDIRECT(CONCATENATE("$Q$"&amp;GF$391)),
IF($K394=INDIRECT(CONCATENATE("$P$"&amp;GF$392)),INDIRECT(CONCATENATE("$P$"&amp;GF$391)),
IF($K394=INDIRECT(CONCATENATE("$O$"&amp;GF$392)),INDIRECT(CONCATENATE("$O$"&amp;GF$391)),
IF($K394=INDIRECT(CONCATENATE("$N$"&amp;GF$392)),INDIRECT(CONCATENATE("$N$"&amp;GF$391)),
IF($K394=INDIRECT(CONCATENATE("$M$"&amp;GF$392)),INDIRECT(CONCATENATE("$M$"&amp;GF$391)),
IF($K394=INDIRECT(CONCATENATE("$L$"&amp;GF$392)),INDIRECT(CONCATENATE("$L$"&amp;GF$391)),
IF($K394=INDIRECT(CONCATENATE("$K$"&amp;GF$392)),INDIRECT(CONCATENATE("$K$"&amp;GF$391)),
IF($K394=INDIRECT(CONCATENATE("$J$"&amp;GF$392)),INDIRECT(CONCATENATE("$J$"&amp;GF$391)),
IF($K394=INDIRECT(CONCATENATE("$I$"&amp;GF$392)),INDIRECT(CONCATENATE("$I$"&amp;GF$391)),
IF($K394=INDIRECT(CONCATENATE("$H$"&amp;GF$392)),INDIRECT(CONCATENATE("$H$"&amp;GF$391)),
IF($K394=INDIRECT(CONCATENATE("$G$"&amp;GF$392)),INDIRECT(CONCATENATE("$G$"&amp;GF$391)),
IF($K394=INDIRECT(CONCATENATE("$F$"&amp;GF$392)),INDIRECT(CONCATENATE("$F$"&amp;GF$391)),
IF($K394=INDIRECT(CONCATENATE("$E$"&amp;GF$392)),INDIRECT(CONCATENATE("$E$"&amp;GF$391)),
IF($K394=INDIRECT(CONCATENATE("$D$"&amp;GF$392)),INDIRECT(CONCATENATE("$D$"&amp;GF$391)),
IF($K394=INDIRECT(CONCATENATE("$C$"&amp;GF$392)),INDIRECT(CONCATENATE("$C$"&amp;GF$391)),"X")))))))))))))))))))))))))))))))</f>
        <v>X</v>
      </c>
      <c r="MS394" s="58" t="str">
        <f t="shared" ref="MS394:MS428" ca="1" si="1771">IF($K394=INDIRECT(CONCATENATE("$AG$"&amp;GG$392)),INDIRECT(CONCATENATE("$AG$"&amp;GG$391)),
IF($K394=INDIRECT(CONCATENATE("$AF$"&amp;GG$392)),INDIRECT(CONCATENATE("$AF$"&amp;GG$391)),
IF($K394=INDIRECT(CONCATENATE("$AE$"&amp;GG$392)),INDIRECT(CONCATENATE("$AE$"&amp;GG$391)),
IF($K394=INDIRECT(CONCATENATE("$AD$"&amp;GG$392)),INDIRECT(CONCATENATE("$AD$"&amp;GG$391)),
IF($K394=INDIRECT(CONCATENATE("$AC$"&amp;GG$392)),INDIRECT(CONCATENATE("$AC$"&amp;GG$391)),
IF($K394=INDIRECT(CONCATENATE("$AB$"&amp;GG$392)),INDIRECT(CONCATENATE("$AB$"&amp;GG$391)),
IF($K394=INDIRECT(CONCATENATE("$AA$"&amp;GG$392)),INDIRECT(CONCATENATE("$AA$"&amp;GG$391)),
IF($K394=INDIRECT(CONCATENATE("$Z$"&amp;GG$392)),INDIRECT(CONCATENATE("$Z$"&amp;GG$391)),
IF($K394=INDIRECT(CONCATENATE("$Y$"&amp;GG$392)),INDIRECT(CONCATENATE("$Y$"&amp;GG$391)),
IF($K394=INDIRECT(CONCATENATE("$X$"&amp;GG$392)),INDIRECT(CONCATENATE("$X$"&amp;GG$391)),
IF($K394=INDIRECT(CONCATENATE("$W$"&amp;GG$392)),INDIRECT(CONCATENATE("$W$"&amp;GG$391)),
IF($K394=INDIRECT(CONCATENATE("$V$"&amp;GG$392)),INDIRECT(CONCATENATE("$V$"&amp;GG$391)),
IF($K394=INDIRECT(CONCATENATE("$U$"&amp;GG$392)),INDIRECT(CONCATENATE("$U$"&amp;GG$391)),
IF($K394=INDIRECT(CONCATENATE("$T$"&amp;GG$392)),INDIRECT(CONCATENATE("$T$"&amp;GG$391)),
IF($K394=INDIRECT(CONCATENATE("$S$"&amp;GG$392)),INDIRECT(CONCATENATE("$S$"&amp;GG$391)),
IF($K394=INDIRECT(CONCATENATE("$R$"&amp;GG$392)),INDIRECT(CONCATENATE("$R$"&amp;GG$391)),
IF($K394=INDIRECT(CONCATENATE("$Q$"&amp;GG$392)),INDIRECT(CONCATENATE("$Q$"&amp;GG$391)),
IF($K394=INDIRECT(CONCATENATE("$P$"&amp;GG$392)),INDIRECT(CONCATENATE("$P$"&amp;GG$391)),
IF($K394=INDIRECT(CONCATENATE("$O$"&amp;GG$392)),INDIRECT(CONCATENATE("$O$"&amp;GG$391)),
IF($K394=INDIRECT(CONCATENATE("$N$"&amp;GG$392)),INDIRECT(CONCATENATE("$N$"&amp;GG$391)),
IF($K394=INDIRECT(CONCATENATE("$M$"&amp;GG$392)),INDIRECT(CONCATENATE("$M$"&amp;GG$391)),
IF($K394=INDIRECT(CONCATENATE("$L$"&amp;GG$392)),INDIRECT(CONCATENATE("$L$"&amp;GG$391)),
IF($K394=INDIRECT(CONCATENATE("$K$"&amp;GG$392)),INDIRECT(CONCATENATE("$K$"&amp;GG$391)),
IF($K394=INDIRECT(CONCATENATE("$J$"&amp;GG$392)),INDIRECT(CONCATENATE("$J$"&amp;GG$391)),
IF($K394=INDIRECT(CONCATENATE("$I$"&amp;GG$392)),INDIRECT(CONCATENATE("$I$"&amp;GG$391)),
IF($K394=INDIRECT(CONCATENATE("$H$"&amp;GG$392)),INDIRECT(CONCATENATE("$H$"&amp;GG$391)),
IF($K394=INDIRECT(CONCATENATE("$G$"&amp;GG$392)),INDIRECT(CONCATENATE("$G$"&amp;GG$391)),
IF($K394=INDIRECT(CONCATENATE("$F$"&amp;GG$392)),INDIRECT(CONCATENATE("$F$"&amp;GG$391)),
IF($K394=INDIRECT(CONCATENATE("$E$"&amp;GG$392)),INDIRECT(CONCATENATE("$E$"&amp;GG$391)),
IF($K394=INDIRECT(CONCATENATE("$D$"&amp;GG$392)),INDIRECT(CONCATENATE("$D$"&amp;GG$391)),
IF($K394=INDIRECT(CONCATENATE("$C$"&amp;GG$392)),INDIRECT(CONCATENATE("$C$"&amp;GG$391)),"X")))))))))))))))))))))))))))))))</f>
        <v>X</v>
      </c>
      <c r="MT394" s="58" t="str">
        <f t="shared" ref="MT394:NE394" ca="1" si="1772">IF($K394=INDIRECT(CONCATENATE("$AG$"&amp;GH$392)),INDIRECT(CONCATENATE("$AG$"&amp;GH$391)),
IF($K394=INDIRECT(CONCATENATE("$AF$"&amp;GH$392)),INDIRECT(CONCATENATE("$AF$"&amp;GH$391)),
IF($K394=INDIRECT(CONCATENATE("$AE$"&amp;GH$392)),INDIRECT(CONCATENATE("$AE$"&amp;GH$391)),
IF($K394=INDIRECT(CONCATENATE("$AD$"&amp;GH$392)),INDIRECT(CONCATENATE("$AD$"&amp;GH$391)),
IF($K394=INDIRECT(CONCATENATE("$AC$"&amp;GH$392)),INDIRECT(CONCATENATE("$AC$"&amp;GH$391)),
IF($K394=INDIRECT(CONCATENATE("$AB$"&amp;GH$392)),INDIRECT(CONCATENATE("$AB$"&amp;GH$391)),
IF($K394=INDIRECT(CONCATENATE("$AA$"&amp;GH$392)),INDIRECT(CONCATENATE("$AA$"&amp;GH$391)),
IF($K394=INDIRECT(CONCATENATE("$Z$"&amp;GH$392)),INDIRECT(CONCATENATE("$Z$"&amp;GH$391)),
IF($K394=INDIRECT(CONCATENATE("$Y$"&amp;GH$392)),INDIRECT(CONCATENATE("$Y$"&amp;GH$391)),
IF($K394=INDIRECT(CONCATENATE("$X$"&amp;GH$392)),INDIRECT(CONCATENATE("$X$"&amp;GH$391)),
IF($K394=INDIRECT(CONCATENATE("$W$"&amp;GH$392)),INDIRECT(CONCATENATE("$W$"&amp;GH$391)),
IF($K394=INDIRECT(CONCATENATE("$V$"&amp;GH$392)),INDIRECT(CONCATENATE("$V$"&amp;GH$391)),
IF($K394=INDIRECT(CONCATENATE("$U$"&amp;GH$392)),INDIRECT(CONCATENATE("$U$"&amp;GH$391)),
IF($K394=INDIRECT(CONCATENATE("$T$"&amp;GH$392)),INDIRECT(CONCATENATE("$T$"&amp;GH$391)),
IF($K394=INDIRECT(CONCATENATE("$S$"&amp;GH$392)),INDIRECT(CONCATENATE("$S$"&amp;GH$391)),
IF($K394=INDIRECT(CONCATENATE("$R$"&amp;GH$392)),INDIRECT(CONCATENATE("$R$"&amp;GH$391)),
IF($K394=INDIRECT(CONCATENATE("$Q$"&amp;GH$392)),INDIRECT(CONCATENATE("$Q$"&amp;GH$391)),
IF($K394=INDIRECT(CONCATENATE("$P$"&amp;GH$392)),INDIRECT(CONCATENATE("$P$"&amp;GH$391)),
IF($K394=INDIRECT(CONCATENATE("$O$"&amp;GH$392)),INDIRECT(CONCATENATE("$O$"&amp;GH$391)),
IF($K394=INDIRECT(CONCATENATE("$N$"&amp;GH$392)),INDIRECT(CONCATENATE("$N$"&amp;GH$391)),
IF($K394=INDIRECT(CONCATENATE("$M$"&amp;GH$392)),INDIRECT(CONCATENATE("$M$"&amp;GH$391)),
IF($K394=INDIRECT(CONCATENATE("$L$"&amp;GH$392)),INDIRECT(CONCATENATE("$L$"&amp;GH$391)),
IF($K394=INDIRECT(CONCATENATE("$K$"&amp;GH$392)),INDIRECT(CONCATENATE("$K$"&amp;GH$391)),
IF($K394=INDIRECT(CONCATENATE("$J$"&amp;GH$392)),INDIRECT(CONCATENATE("$J$"&amp;GH$391)),
IF($K394=INDIRECT(CONCATENATE("$I$"&amp;GH$392)),INDIRECT(CONCATENATE("$I$"&amp;GH$391)),
IF($K394=INDIRECT(CONCATENATE("$H$"&amp;GH$392)),INDIRECT(CONCATENATE("$H$"&amp;GH$391)),
IF($K394=INDIRECT(CONCATENATE("$G$"&amp;GH$392)),INDIRECT(CONCATENATE("$G$"&amp;GH$391)),
IF($K394=INDIRECT(CONCATENATE("$F$"&amp;GH$392)),INDIRECT(CONCATENATE("$F$"&amp;GH$391)),
IF($K394=INDIRECT(CONCATENATE("$E$"&amp;GH$392)),INDIRECT(CONCATENATE("$E$"&amp;GH$391)),
IF($K394=INDIRECT(CONCATENATE("$D$"&amp;GH$392)),INDIRECT(CONCATENATE("$D$"&amp;GH$391)),
IF($K394=INDIRECT(CONCATENATE("$C$"&amp;GH$392)),INDIRECT(CONCATENATE("$C$"&amp;GH$391)),"X")))))))))))))))))))))))))))))))</f>
        <v>X</v>
      </c>
      <c r="MU394" s="58" t="str">
        <f t="shared" ca="1" si="1772"/>
        <v>X</v>
      </c>
      <c r="MV394" s="58" t="str">
        <f t="shared" ca="1" si="1772"/>
        <v>X</v>
      </c>
      <c r="MW394" s="58" t="str">
        <f t="shared" ca="1" si="1772"/>
        <v>X</v>
      </c>
      <c r="MX394" s="58" t="str">
        <f t="shared" ca="1" si="1772"/>
        <v>X</v>
      </c>
      <c r="MY394" s="58" t="str">
        <f t="shared" ca="1" si="1772"/>
        <v>X</v>
      </c>
      <c r="MZ394" s="58" t="str">
        <f t="shared" ca="1" si="1772"/>
        <v>X</v>
      </c>
      <c r="NA394" s="58" t="str">
        <f t="shared" ca="1" si="1772"/>
        <v>X</v>
      </c>
      <c r="NB394" s="58" t="str">
        <f t="shared" ca="1" si="1772"/>
        <v>X</v>
      </c>
      <c r="NC394" s="58" t="str">
        <f t="shared" ca="1" si="1772"/>
        <v>X</v>
      </c>
      <c r="ND394" s="58" t="str">
        <f t="shared" ca="1" si="1772"/>
        <v>X</v>
      </c>
      <c r="NE394" s="58" t="str">
        <f t="shared" ca="1" si="1772"/>
        <v>X</v>
      </c>
      <c r="NF394" s="58" t="str">
        <f t="shared" ref="NF394:NF428" ca="1" si="1773">IF($K394=INDIRECT(CONCATENATE("$AG$"&amp;GT$392)),INDIRECT(CONCATENATE("$AG$"&amp;GT$391)),
IF($K394=INDIRECT(CONCATENATE("$AF$"&amp;GT$392)),INDIRECT(CONCATENATE("$AF$"&amp;GT$391)),
IF($K394=INDIRECT(CONCATENATE("$AE$"&amp;GT$392)),INDIRECT(CONCATENATE("$AE$"&amp;GT$391)),
IF($K394=INDIRECT(CONCATENATE("$AD$"&amp;GT$392)),INDIRECT(CONCATENATE("$AD$"&amp;GT$391)),
IF($K394=INDIRECT(CONCATENATE("$AC$"&amp;GT$392)),INDIRECT(CONCATENATE("$AC$"&amp;GT$391)),
IF($K394=INDIRECT(CONCATENATE("$AB$"&amp;GT$392)),INDIRECT(CONCATENATE("$AB$"&amp;GT$391)),
IF($K394=INDIRECT(CONCATENATE("$AA$"&amp;GT$392)),INDIRECT(CONCATENATE("$AA$"&amp;GT$391)),
IF($K394=INDIRECT(CONCATENATE("$Z$"&amp;GT$392)),INDIRECT(CONCATENATE("$Z$"&amp;GT$391)),
IF($K394=INDIRECT(CONCATENATE("$Y$"&amp;GT$392)),INDIRECT(CONCATENATE("$Y$"&amp;GT$391)),
IF($K394=INDIRECT(CONCATENATE("$X$"&amp;GT$392)),INDIRECT(CONCATENATE("$X$"&amp;GT$391)),
IF($K394=INDIRECT(CONCATENATE("$W$"&amp;GT$392)),INDIRECT(CONCATENATE("$W$"&amp;GT$391)),
IF($K394=INDIRECT(CONCATENATE("$V$"&amp;GT$392)),INDIRECT(CONCATENATE("$V$"&amp;GT$391)),
IF($K394=INDIRECT(CONCATENATE("$U$"&amp;GT$392)),INDIRECT(CONCATENATE("$U$"&amp;GT$391)),
IF($K394=INDIRECT(CONCATENATE("$T$"&amp;GT$392)),INDIRECT(CONCATENATE("$T$"&amp;GT$391)),
IF($K394=INDIRECT(CONCATENATE("$S$"&amp;GT$392)),INDIRECT(CONCATENATE("$S$"&amp;GT$391)),
IF($K394=INDIRECT(CONCATENATE("$R$"&amp;GT$392)),INDIRECT(CONCATENATE("$R$"&amp;GT$391)),
IF($K394=INDIRECT(CONCATENATE("$Q$"&amp;GT$392)),INDIRECT(CONCATENATE("$Q$"&amp;GT$391)),
IF($K394=INDIRECT(CONCATENATE("$P$"&amp;GT$392)),INDIRECT(CONCATENATE("$P$"&amp;GT$391)),
IF($K394=INDIRECT(CONCATENATE("$O$"&amp;GT$392)),INDIRECT(CONCATENATE("$O$"&amp;GT$391)),
IF($K394=INDIRECT(CONCATENATE("$N$"&amp;GT$392)),INDIRECT(CONCATENATE("$N$"&amp;GT$391)),
IF($K394=INDIRECT(CONCATENATE("$M$"&amp;GT$392)),INDIRECT(CONCATENATE("$M$"&amp;GT$391)),
IF($K394=INDIRECT(CONCATENATE("$L$"&amp;GT$392)),INDIRECT(CONCATENATE("$L$"&amp;GT$391)),
IF($K394=INDIRECT(CONCATENATE("$K$"&amp;GT$392)),INDIRECT(CONCATENATE("$K$"&amp;GT$391)),
IF($K394=INDIRECT(CONCATENATE("$J$"&amp;GT$392)),INDIRECT(CONCATENATE("$J$"&amp;GT$391)),
IF($K394=INDIRECT(CONCATENATE("$I$"&amp;GT$392)),INDIRECT(CONCATENATE("$I$"&amp;GT$391)),
IF($K394=INDIRECT(CONCATENATE("$H$"&amp;GT$392)),INDIRECT(CONCATENATE("$H$"&amp;GT$391)),
IF($K394=INDIRECT(CONCATENATE("$G$"&amp;GT$392)),INDIRECT(CONCATENATE("$G$"&amp;GT$391)),
IF($K394=INDIRECT(CONCATENATE("$F$"&amp;GT$392)),INDIRECT(CONCATENATE("$F$"&amp;GT$391)),
IF($K394=INDIRECT(CONCATENATE("$E$"&amp;GT$392)),INDIRECT(CONCATENATE("$E$"&amp;GT$391)),
IF($K394=INDIRECT(CONCATENATE("$D$"&amp;GT$392)),INDIRECT(CONCATENATE("$D$"&amp;GT$391)),
IF($K394=INDIRECT(CONCATENATE("$C$"&amp;GT$392)),INDIRECT(CONCATENATE("$C$"&amp;GT$391)),"X")))))))))))))))))))))))))))))))</f>
        <v>X</v>
      </c>
      <c r="NG394" s="58" t="str">
        <f t="shared" ref="NG394:NG428" ca="1" si="1774">IF($K394=INDIRECT(CONCATENATE("$AG$"&amp;GU$392)),INDIRECT(CONCATENATE("$AG$"&amp;GU$391)),
IF($K394=INDIRECT(CONCATENATE("$AF$"&amp;GU$392)),INDIRECT(CONCATENATE("$AF$"&amp;GU$391)),
IF($K394=INDIRECT(CONCATENATE("$AE$"&amp;GU$392)),INDIRECT(CONCATENATE("$AE$"&amp;GU$391)),
IF($K394=INDIRECT(CONCATENATE("$AD$"&amp;GU$392)),INDIRECT(CONCATENATE("$AD$"&amp;GU$391)),
IF($K394=INDIRECT(CONCATENATE("$AC$"&amp;GU$392)),INDIRECT(CONCATENATE("$AC$"&amp;GU$391)),
IF($K394=INDIRECT(CONCATENATE("$AB$"&amp;GU$392)),INDIRECT(CONCATENATE("$AB$"&amp;GU$391)),
IF($K394=INDIRECT(CONCATENATE("$AA$"&amp;GU$392)),INDIRECT(CONCATENATE("$AA$"&amp;GU$391)),
IF($K394=INDIRECT(CONCATENATE("$Z$"&amp;GU$392)),INDIRECT(CONCATENATE("$Z$"&amp;GU$391)),
IF($K394=INDIRECT(CONCATENATE("$Y$"&amp;GU$392)),INDIRECT(CONCATENATE("$Y$"&amp;GU$391)),
IF($K394=INDIRECT(CONCATENATE("$X$"&amp;GU$392)),INDIRECT(CONCATENATE("$X$"&amp;GU$391)),
IF($K394=INDIRECT(CONCATENATE("$W$"&amp;GU$392)),INDIRECT(CONCATENATE("$W$"&amp;GU$391)),
IF($K394=INDIRECT(CONCATENATE("$V$"&amp;GU$392)),INDIRECT(CONCATENATE("$V$"&amp;GU$391)),
IF($K394=INDIRECT(CONCATENATE("$U$"&amp;GU$392)),INDIRECT(CONCATENATE("$U$"&amp;GU$391)),
IF($K394=INDIRECT(CONCATENATE("$T$"&amp;GU$392)),INDIRECT(CONCATENATE("$T$"&amp;GU$391)),
IF($K394=INDIRECT(CONCATENATE("$S$"&amp;GU$392)),INDIRECT(CONCATENATE("$S$"&amp;GU$391)),
IF($K394=INDIRECT(CONCATENATE("$R$"&amp;GU$392)),INDIRECT(CONCATENATE("$R$"&amp;GU$391)),
IF($K394=INDIRECT(CONCATENATE("$Q$"&amp;GU$392)),INDIRECT(CONCATENATE("$Q$"&amp;GU$391)),
IF($K394=INDIRECT(CONCATENATE("$P$"&amp;GU$392)),INDIRECT(CONCATENATE("$P$"&amp;GU$391)),
IF($K394=INDIRECT(CONCATENATE("$O$"&amp;GU$392)),INDIRECT(CONCATENATE("$O$"&amp;GU$391)),
IF($K394=INDIRECT(CONCATENATE("$N$"&amp;GU$392)),INDIRECT(CONCATENATE("$N$"&amp;GU$391)),
IF($K394=INDIRECT(CONCATENATE("$M$"&amp;GU$392)),INDIRECT(CONCATENATE("$M$"&amp;GU$391)),
IF($K394=INDIRECT(CONCATENATE("$L$"&amp;GU$392)),INDIRECT(CONCATENATE("$L$"&amp;GU$391)),
IF($K394=INDIRECT(CONCATENATE("$K$"&amp;GU$392)),INDIRECT(CONCATENATE("$K$"&amp;GU$391)),
IF($K394=INDIRECT(CONCATENATE("$J$"&amp;GU$392)),INDIRECT(CONCATENATE("$J$"&amp;GU$391)),
IF($K394=INDIRECT(CONCATENATE("$I$"&amp;GU$392)),INDIRECT(CONCATENATE("$I$"&amp;GU$391)),
IF($K394=INDIRECT(CONCATENATE("$H$"&amp;GU$392)),INDIRECT(CONCATENATE("$H$"&amp;GU$391)),
IF($K394=INDIRECT(CONCATENATE("$G$"&amp;GU$392)),INDIRECT(CONCATENATE("$G$"&amp;GU$391)),
IF($K394=INDIRECT(CONCATENATE("$F$"&amp;GU$392)),INDIRECT(CONCATENATE("$F$"&amp;GU$391)),
IF($K394=INDIRECT(CONCATENATE("$E$"&amp;GU$392)),INDIRECT(CONCATENATE("$E$"&amp;GU$391)),
IF($K394=INDIRECT(CONCATENATE("$D$"&amp;GU$392)),INDIRECT(CONCATENATE("$D$"&amp;GU$391)),
IF($K394=INDIRECT(CONCATENATE("$C$"&amp;GU$392)),INDIRECT(CONCATENATE("$C$"&amp;GU$391)),"X")))))))))))))))))))))))))))))))</f>
        <v>X</v>
      </c>
    </row>
    <row r="395" spans="1:371" ht="18" customHeight="1">
      <c r="A395" s="241"/>
      <c r="B395" s="304"/>
      <c r="C395" s="304"/>
      <c r="D395" s="304"/>
      <c r="E395" s="304"/>
      <c r="F395" s="304"/>
      <c r="G395" s="304"/>
      <c r="H395" s="304"/>
      <c r="I395" s="304"/>
      <c r="J395" s="303"/>
      <c r="K395" s="237" t="s">
        <v>84</v>
      </c>
      <c r="L395" s="303"/>
      <c r="M395" s="60"/>
      <c r="N395" s="225"/>
      <c r="O395" s="304"/>
      <c r="P395" s="304"/>
      <c r="Q395" s="304"/>
      <c r="R395" s="303"/>
      <c r="S395" s="226"/>
      <c r="T395" s="304"/>
      <c r="U395" s="303"/>
      <c r="V395" s="227"/>
      <c r="W395" s="303"/>
      <c r="X395" s="56" t="str">
        <f t="shared" ref="X395:X428" ca="1" si="1775">IF(ISERR(SMALL(AJ395:GU395,1)),"-",SMALL(AJ395:GU395,1))</f>
        <v>-</v>
      </c>
      <c r="Y395" s="56" t="str">
        <f t="shared" ref="Y395:Y428" ca="1" si="1776">IF(ISERR(LARGE(GV395:NG395,1)),"-",LARGE(GV395:NG395,1))</f>
        <v>-</v>
      </c>
      <c r="Z395" s="228" t="str">
        <f t="shared" ca="1" si="1612"/>
        <v/>
      </c>
      <c r="AA395" s="304"/>
      <c r="AB395" s="303"/>
      <c r="AC395" s="224">
        <f t="shared" ref="AC395:AC428" si="1777">COUNTIF($C$10:$AG$389,K395)</f>
        <v>0</v>
      </c>
      <c r="AD395" s="303"/>
      <c r="AE395" s="229">
        <f t="shared" ref="AE395:AE428" si="1778">M395-AC395</f>
        <v>0</v>
      </c>
      <c r="AF395" s="303"/>
      <c r="AG395" s="57" t="str">
        <f t="shared" si="1615"/>
        <v/>
      </c>
      <c r="AH395" s="59"/>
      <c r="AI395" s="70"/>
      <c r="AJ395" s="58" t="str">
        <f t="shared" ref="AJ395:GT395" ca="1" si="1779">IF($K395=INDIRECT(CONCATENATE("$C$"&amp;AJ$392)), INDIRECT(CONCATENATE("$C$"&amp;AJ$391)),
IF($K395=INDIRECT(CONCATENATE("$D$"&amp;AJ$392)), INDIRECT(CONCATENATE("$D$"&amp;AJ$391)),
IF($K395=INDIRECT(CONCATENATE("$E$"&amp;AJ$392)), INDIRECT(CONCATENATE("$E$"&amp;AJ$391)),
IF($K395=INDIRECT(CONCATENATE("$F$"&amp;AJ$392)), INDIRECT(CONCATENATE("$F$"&amp;AJ$391)),
IF($K395=INDIRECT(CONCATENATE("$G$"&amp;AJ$392)), INDIRECT(CONCATENATE("$G$"&amp;AJ$391)),
IF($K395=INDIRECT(CONCATENATE("$H$"&amp;AJ$392)), INDIRECT(CONCATENATE("$H$"&amp;AJ$391)),
IF($K395=INDIRECT(CONCATENATE("$I$"&amp;AJ$392)), INDIRECT(CONCATENATE("$I$"&amp;AJ$391)),
IF($K395=INDIRECT(CONCATENATE("$J$"&amp;AJ$392)), INDIRECT(CONCATENATE("$J$"&amp;AJ$391)),
IF($K395=INDIRECT(CONCATENATE("$K$"&amp;AJ$392)), INDIRECT(CONCATENATE("$K$"&amp;AJ$391)),
IF($K395=INDIRECT(CONCATENATE("$L$"&amp;AJ$392)), INDIRECT(CONCATENATE("$L$"&amp;AJ$391)),
IF($K395=INDIRECT(CONCATENATE("$M$"&amp;AJ$392)), INDIRECT(CONCATENATE("$M$"&amp;AJ$391)),
IF($K395=INDIRECT(CONCATENATE("$N$"&amp;AJ$392)), INDIRECT(CONCATENATE("$N$"&amp;AJ$391)),
IF($K395=INDIRECT(CONCATENATE("$O$"&amp;AJ$392)), INDIRECT(CONCATENATE("$O$"&amp;AJ$391)),
IF($K395=INDIRECT(CONCATENATE("$P$"&amp;AJ$392)), INDIRECT(CONCATENATE("$P$"&amp;AJ$391)),
IF($K395=INDIRECT(CONCATENATE("$Q$"&amp;AJ$392)), INDIRECT(CONCATENATE("$Q$"&amp;AJ$391)),
IF($K395=INDIRECT(CONCATENATE("$R$"&amp;AJ$392)), INDIRECT(CONCATENATE("$R$"&amp;AJ$391)),
IF($K395=INDIRECT(CONCATENATE("$S$"&amp;AJ$392)), INDIRECT(CONCATENATE("$S$"&amp;AJ$391)),
IF($K395=INDIRECT(CONCATENATE("$T$"&amp;AJ$392)), INDIRECT(CONCATENATE("$T$"&amp;AJ$391)),
IF($K395=INDIRECT(CONCATENATE("$U$"&amp;AJ$392)), INDIRECT(CONCATENATE("$U$"&amp;AJ$391)),
IF($K395=INDIRECT(CONCATENATE("$V$"&amp;AJ$392)), INDIRECT(CONCATENATE("$V$"&amp;AJ$391)),
IF($K395=INDIRECT(CONCATENATE("$W$"&amp;AJ$392)), INDIRECT(CONCATENATE("$W$"&amp;AJ$391)),
IF($K395=INDIRECT(CONCATENATE("$X$"&amp;AJ$392)), INDIRECT(CONCATENATE("$X$"&amp;AJ$391)),
IF($K395=INDIRECT(CONCATENATE("$Y$"&amp;AJ$392)), INDIRECT(CONCATENATE("$Y$"&amp;AJ$391)),
IF($K395=INDIRECT(CONCATENATE("$Z$"&amp;AJ$392)), INDIRECT(CONCATENATE("$Z$"&amp;AJ$391)),
IF($K395=INDIRECT(CONCATENATE("$AA$"&amp;AJ$392)), INDIRECT(CONCATENATE("$AA$"&amp;AJ$391)),
IF($K395=INDIRECT(CONCATENATE("$AB$"&amp;AJ$392)), INDIRECT(CONCATENATE("$AB$"&amp;AJ$391)),
IF($K395=INDIRECT(CONCATENATE("$AC$"&amp;AJ$392)), INDIRECT(CONCATENATE("$AC$"&amp;AJ$391)),
IF($K395=INDIRECT(CONCATENATE("$AD$"&amp;AJ$392)), INDIRECT(CONCATENATE("$AD$"&amp;AJ$391)),
IF($K395=INDIRECT(CONCATENATE("$AE$"&amp;AJ$392)), INDIRECT(CONCATENATE("$AE$"&amp;AJ$391)),
IF($K395=INDIRECT(CONCATENATE("$AF$"&amp;AJ$392)), INDIRECT(CONCATENATE("$AF$"&amp;AJ$391)),
IF($K395=INDIRECT(CONCATENATE("$AG$"&amp;AJ$392)), INDIRECT(CONCATENATE("$AG$"&amp;AJ$391)),"X")))))))))))))))))))))))))))))))</f>
        <v>X</v>
      </c>
      <c r="AK395" s="58" t="str">
        <f t="shared" ca="1" si="1779"/>
        <v>X</v>
      </c>
      <c r="AL395" s="58" t="str">
        <f t="shared" ca="1" si="1779"/>
        <v>X</v>
      </c>
      <c r="AM395" s="58" t="str">
        <f t="shared" ca="1" si="1779"/>
        <v>X</v>
      </c>
      <c r="AN395" s="58" t="str">
        <f t="shared" ca="1" si="1779"/>
        <v>X</v>
      </c>
      <c r="AO395" s="58" t="str">
        <f t="shared" ca="1" si="1779"/>
        <v>X</v>
      </c>
      <c r="AP395" s="58" t="str">
        <f t="shared" ca="1" si="1779"/>
        <v>X</v>
      </c>
      <c r="AQ395" s="58" t="str">
        <f t="shared" ca="1" si="1779"/>
        <v>X</v>
      </c>
      <c r="AR395" s="58" t="str">
        <f t="shared" ca="1" si="1779"/>
        <v>X</v>
      </c>
      <c r="AS395" s="58" t="str">
        <f t="shared" ca="1" si="1779"/>
        <v>X</v>
      </c>
      <c r="AT395" s="58" t="str">
        <f t="shared" ca="1" si="1779"/>
        <v>X</v>
      </c>
      <c r="AU395" s="58" t="str">
        <f t="shared" ca="1" si="1779"/>
        <v>X</v>
      </c>
      <c r="AV395" s="58" t="str">
        <f t="shared" ca="1" si="1779"/>
        <v>X</v>
      </c>
      <c r="AW395" s="58" t="str">
        <f t="shared" ca="1" si="1779"/>
        <v>X</v>
      </c>
      <c r="AX395" s="58" t="str">
        <f t="shared" ca="1" si="1779"/>
        <v>X</v>
      </c>
      <c r="AY395" s="58" t="str">
        <f t="shared" ca="1" si="1779"/>
        <v>X</v>
      </c>
      <c r="AZ395" s="58" t="str">
        <f t="shared" ca="1" si="1779"/>
        <v>X</v>
      </c>
      <c r="BA395" s="58" t="str">
        <f t="shared" ca="1" si="1779"/>
        <v>X</v>
      </c>
      <c r="BB395" s="58" t="str">
        <f t="shared" ca="1" si="1779"/>
        <v>X</v>
      </c>
      <c r="BC395" s="58" t="str">
        <f t="shared" ca="1" si="1779"/>
        <v>X</v>
      </c>
      <c r="BD395" s="58" t="str">
        <f t="shared" ca="1" si="1779"/>
        <v>X</v>
      </c>
      <c r="BE395" s="58" t="str">
        <f t="shared" ca="1" si="1779"/>
        <v>X</v>
      </c>
      <c r="BF395" s="58" t="str">
        <f t="shared" ca="1" si="1779"/>
        <v>X</v>
      </c>
      <c r="BG395" s="58" t="str">
        <f t="shared" ca="1" si="1779"/>
        <v>X</v>
      </c>
      <c r="BH395" s="58" t="str">
        <f t="shared" ca="1" si="1779"/>
        <v>X</v>
      </c>
      <c r="BI395" s="58" t="str">
        <f t="shared" ca="1" si="1779"/>
        <v>X</v>
      </c>
      <c r="BJ395" s="58" t="str">
        <f t="shared" ca="1" si="1779"/>
        <v>X</v>
      </c>
      <c r="BK395" s="58" t="str">
        <f t="shared" ca="1" si="1779"/>
        <v>X</v>
      </c>
      <c r="BL395" s="58" t="str">
        <f t="shared" ca="1" si="1779"/>
        <v>X</v>
      </c>
      <c r="BM395" s="58" t="str">
        <f t="shared" ca="1" si="1779"/>
        <v>X</v>
      </c>
      <c r="BN395" s="58" t="str">
        <f t="shared" ca="1" si="1779"/>
        <v>X</v>
      </c>
      <c r="BO395" s="58" t="str">
        <f t="shared" ca="1" si="1779"/>
        <v>X</v>
      </c>
      <c r="BP395" s="58" t="str">
        <f t="shared" ca="1" si="1779"/>
        <v>X</v>
      </c>
      <c r="BQ395" s="58" t="str">
        <f t="shared" ca="1" si="1779"/>
        <v>X</v>
      </c>
      <c r="BR395" s="58" t="str">
        <f t="shared" ca="1" si="1779"/>
        <v>X</v>
      </c>
      <c r="BS395" s="58" t="str">
        <f t="shared" ca="1" si="1779"/>
        <v>X</v>
      </c>
      <c r="BT395" s="58" t="str">
        <f t="shared" ca="1" si="1779"/>
        <v>X</v>
      </c>
      <c r="BU395" s="58" t="str">
        <f t="shared" ca="1" si="1779"/>
        <v>X</v>
      </c>
      <c r="BV395" s="58" t="str">
        <f t="shared" ca="1" si="1779"/>
        <v>X</v>
      </c>
      <c r="BW395" s="58" t="str">
        <f t="shared" ca="1" si="1779"/>
        <v>X</v>
      </c>
      <c r="BX395" s="58" t="str">
        <f t="shared" ca="1" si="1779"/>
        <v>X</v>
      </c>
      <c r="BY395" s="58" t="str">
        <f t="shared" ca="1" si="1779"/>
        <v>X</v>
      </c>
      <c r="BZ395" s="58" t="str">
        <f t="shared" ca="1" si="1779"/>
        <v>X</v>
      </c>
      <c r="CA395" s="58" t="str">
        <f t="shared" ca="1" si="1779"/>
        <v>X</v>
      </c>
      <c r="CB395" s="58" t="str">
        <f t="shared" ca="1" si="1779"/>
        <v>X</v>
      </c>
      <c r="CC395" s="58" t="str">
        <f t="shared" ca="1" si="1779"/>
        <v>X</v>
      </c>
      <c r="CD395" s="58" t="str">
        <f t="shared" ca="1" si="1779"/>
        <v>X</v>
      </c>
      <c r="CE395" s="58" t="str">
        <f t="shared" ca="1" si="1779"/>
        <v>X</v>
      </c>
      <c r="CF395" s="58" t="str">
        <f t="shared" ca="1" si="1779"/>
        <v>X</v>
      </c>
      <c r="CG395" s="58" t="str">
        <f t="shared" ca="1" si="1779"/>
        <v>X</v>
      </c>
      <c r="CH395" s="58" t="str">
        <f t="shared" ca="1" si="1779"/>
        <v>X</v>
      </c>
      <c r="CI395" s="58" t="str">
        <f t="shared" ca="1" si="1779"/>
        <v>X</v>
      </c>
      <c r="CJ395" s="58" t="str">
        <f t="shared" ca="1" si="1779"/>
        <v>X</v>
      </c>
      <c r="CK395" s="58" t="str">
        <f t="shared" ca="1" si="1779"/>
        <v>X</v>
      </c>
      <c r="CL395" s="58" t="str">
        <f t="shared" ca="1" si="1779"/>
        <v>X</v>
      </c>
      <c r="CM395" s="58" t="str">
        <f t="shared" ca="1" si="1779"/>
        <v>X</v>
      </c>
      <c r="CN395" s="58" t="str">
        <f t="shared" ca="1" si="1779"/>
        <v>X</v>
      </c>
      <c r="CO395" s="58" t="str">
        <f t="shared" ca="1" si="1779"/>
        <v>X</v>
      </c>
      <c r="CP395" s="58" t="str">
        <f t="shared" ca="1" si="1779"/>
        <v>X</v>
      </c>
      <c r="CQ395" s="58" t="str">
        <f t="shared" ca="1" si="1779"/>
        <v>X</v>
      </c>
      <c r="CR395" s="58" t="str">
        <f t="shared" ca="1" si="1779"/>
        <v>X</v>
      </c>
      <c r="CS395" s="58" t="str">
        <f t="shared" ca="1" si="1779"/>
        <v>X</v>
      </c>
      <c r="CT395" s="58" t="str">
        <f t="shared" ca="1" si="1779"/>
        <v>X</v>
      </c>
      <c r="CU395" s="58" t="str">
        <f t="shared" ca="1" si="1779"/>
        <v>X</v>
      </c>
      <c r="CV395" s="58" t="str">
        <f t="shared" ca="1" si="1779"/>
        <v>X</v>
      </c>
      <c r="CW395" s="58" t="str">
        <f t="shared" ca="1" si="1779"/>
        <v>X</v>
      </c>
      <c r="CX395" s="58" t="str">
        <f t="shared" ca="1" si="1779"/>
        <v>X</v>
      </c>
      <c r="CY395" s="58" t="str">
        <f t="shared" ca="1" si="1779"/>
        <v>X</v>
      </c>
      <c r="CZ395" s="58" t="str">
        <f t="shared" ca="1" si="1779"/>
        <v>X</v>
      </c>
      <c r="DA395" s="58" t="str">
        <f t="shared" ca="1" si="1779"/>
        <v>X</v>
      </c>
      <c r="DB395" s="58" t="str">
        <f t="shared" ca="1" si="1779"/>
        <v>X</v>
      </c>
      <c r="DC395" s="58" t="str">
        <f t="shared" ca="1" si="1779"/>
        <v>X</v>
      </c>
      <c r="DD395" s="58" t="str">
        <f t="shared" ca="1" si="1779"/>
        <v>X</v>
      </c>
      <c r="DE395" s="58" t="str">
        <f t="shared" ca="1" si="1779"/>
        <v>X</v>
      </c>
      <c r="DF395" s="58" t="str">
        <f t="shared" ca="1" si="1779"/>
        <v>X</v>
      </c>
      <c r="DG395" s="58" t="str">
        <f t="shared" ca="1" si="1779"/>
        <v>X</v>
      </c>
      <c r="DH395" s="58" t="str">
        <f t="shared" ca="1" si="1779"/>
        <v>X</v>
      </c>
      <c r="DI395" s="58" t="str">
        <f t="shared" ca="1" si="1779"/>
        <v>X</v>
      </c>
      <c r="DJ395" s="58" t="str">
        <f t="shared" ca="1" si="1779"/>
        <v>X</v>
      </c>
      <c r="DK395" s="58" t="str">
        <f t="shared" ca="1" si="1779"/>
        <v>X</v>
      </c>
      <c r="DL395" s="58" t="str">
        <f t="shared" ca="1" si="1779"/>
        <v>X</v>
      </c>
      <c r="DM395" s="58" t="str">
        <f t="shared" ca="1" si="1779"/>
        <v>X</v>
      </c>
      <c r="DN395" s="58" t="str">
        <f t="shared" ca="1" si="1779"/>
        <v>X</v>
      </c>
      <c r="DO395" s="58" t="str">
        <f t="shared" ca="1" si="1779"/>
        <v>X</v>
      </c>
      <c r="DP395" s="58" t="str">
        <f t="shared" ca="1" si="1779"/>
        <v>X</v>
      </c>
      <c r="DQ395" s="58" t="str">
        <f t="shared" ca="1" si="1779"/>
        <v>X</v>
      </c>
      <c r="DR395" s="58" t="str">
        <f t="shared" ca="1" si="1779"/>
        <v>X</v>
      </c>
      <c r="DS395" s="58" t="str">
        <f t="shared" ca="1" si="1779"/>
        <v>X</v>
      </c>
      <c r="DT395" s="58" t="str">
        <f t="shared" ca="1" si="1779"/>
        <v>X</v>
      </c>
      <c r="DU395" s="58" t="str">
        <f t="shared" ca="1" si="1779"/>
        <v>X</v>
      </c>
      <c r="DV395" s="58" t="str">
        <f t="shared" ca="1" si="1779"/>
        <v>X</v>
      </c>
      <c r="DW395" s="58" t="str">
        <f t="shared" ca="1" si="1779"/>
        <v>X</v>
      </c>
      <c r="DX395" s="58" t="str">
        <f t="shared" ca="1" si="1779"/>
        <v>X</v>
      </c>
      <c r="DY395" s="58" t="str">
        <f t="shared" ca="1" si="1779"/>
        <v>X</v>
      </c>
      <c r="DZ395" s="58" t="str">
        <f t="shared" ca="1" si="1779"/>
        <v>X</v>
      </c>
      <c r="EA395" s="58" t="str">
        <f t="shared" ca="1" si="1779"/>
        <v>X</v>
      </c>
      <c r="EB395" s="58" t="str">
        <f t="shared" ca="1" si="1779"/>
        <v>X</v>
      </c>
      <c r="EC395" s="58" t="str">
        <f t="shared" ca="1" si="1779"/>
        <v>X</v>
      </c>
      <c r="ED395" s="58" t="str">
        <f t="shared" ca="1" si="1779"/>
        <v>X</v>
      </c>
      <c r="EE395" s="58" t="str">
        <f t="shared" ca="1" si="1779"/>
        <v>X</v>
      </c>
      <c r="EF395" s="58" t="str">
        <f t="shared" ca="1" si="1779"/>
        <v>X</v>
      </c>
      <c r="EG395" s="58" t="str">
        <f t="shared" ca="1" si="1779"/>
        <v>X</v>
      </c>
      <c r="EH395" s="58" t="str">
        <f t="shared" ca="1" si="1779"/>
        <v>X</v>
      </c>
      <c r="EI395" s="58" t="str">
        <f t="shared" ca="1" si="1779"/>
        <v>X</v>
      </c>
      <c r="EJ395" s="58" t="str">
        <f t="shared" ca="1" si="1779"/>
        <v>X</v>
      </c>
      <c r="EK395" s="58" t="str">
        <f t="shared" ca="1" si="1779"/>
        <v>X</v>
      </c>
      <c r="EL395" s="58" t="str">
        <f t="shared" ca="1" si="1779"/>
        <v>X</v>
      </c>
      <c r="EM395" s="58" t="str">
        <f t="shared" ca="1" si="1779"/>
        <v>X</v>
      </c>
      <c r="EN395" s="58" t="str">
        <f t="shared" ca="1" si="1779"/>
        <v>X</v>
      </c>
      <c r="EO395" s="58" t="str">
        <f t="shared" ca="1" si="1779"/>
        <v>X</v>
      </c>
      <c r="EP395" s="58" t="str">
        <f t="shared" ca="1" si="1779"/>
        <v>X</v>
      </c>
      <c r="EQ395" s="58" t="str">
        <f t="shared" ca="1" si="1779"/>
        <v>X</v>
      </c>
      <c r="ER395" s="58" t="str">
        <f t="shared" ca="1" si="1779"/>
        <v>X</v>
      </c>
      <c r="ES395" s="58" t="str">
        <f t="shared" ca="1" si="1779"/>
        <v>X</v>
      </c>
      <c r="ET395" s="58" t="str">
        <f t="shared" ca="1" si="1779"/>
        <v>X</v>
      </c>
      <c r="EU395" s="58" t="str">
        <f t="shared" ca="1" si="1779"/>
        <v>X</v>
      </c>
      <c r="EV395" s="58" t="str">
        <f t="shared" ca="1" si="1779"/>
        <v>X</v>
      </c>
      <c r="EW395" s="58" t="str">
        <f t="shared" ca="1" si="1779"/>
        <v>X</v>
      </c>
      <c r="EX395" s="58" t="str">
        <f t="shared" ca="1" si="1779"/>
        <v>X</v>
      </c>
      <c r="EY395" s="58" t="str">
        <f t="shared" ca="1" si="1779"/>
        <v>X</v>
      </c>
      <c r="EZ395" s="58" t="str">
        <f t="shared" ca="1" si="1779"/>
        <v>X</v>
      </c>
      <c r="FA395" s="58" t="str">
        <f t="shared" ca="1" si="1779"/>
        <v>X</v>
      </c>
      <c r="FB395" s="58" t="str">
        <f t="shared" ca="1" si="1779"/>
        <v>X</v>
      </c>
      <c r="FC395" s="58" t="str">
        <f t="shared" ca="1" si="1779"/>
        <v>X</v>
      </c>
      <c r="FD395" s="58" t="str">
        <f t="shared" ca="1" si="1779"/>
        <v>X</v>
      </c>
      <c r="FE395" s="58" t="str">
        <f t="shared" ca="1" si="1779"/>
        <v>X</v>
      </c>
      <c r="FF395" s="58" t="str">
        <f t="shared" ca="1" si="1779"/>
        <v>X</v>
      </c>
      <c r="FG395" s="58" t="str">
        <f t="shared" ca="1" si="1779"/>
        <v>X</v>
      </c>
      <c r="FH395" s="58" t="str">
        <f t="shared" ca="1" si="1779"/>
        <v>X</v>
      </c>
      <c r="FI395" s="58" t="str">
        <f t="shared" ca="1" si="1779"/>
        <v>X</v>
      </c>
      <c r="FJ395" s="58" t="str">
        <f t="shared" ca="1" si="1779"/>
        <v>X</v>
      </c>
      <c r="FK395" s="58" t="str">
        <f t="shared" ca="1" si="1779"/>
        <v>X</v>
      </c>
      <c r="FL395" s="58" t="str">
        <f t="shared" ca="1" si="1779"/>
        <v>X</v>
      </c>
      <c r="FM395" s="58" t="str">
        <f t="shared" ca="1" si="1779"/>
        <v>X</v>
      </c>
      <c r="FN395" s="58" t="str">
        <f t="shared" ca="1" si="1779"/>
        <v>X</v>
      </c>
      <c r="FO395" s="58" t="str">
        <f t="shared" ca="1" si="1779"/>
        <v>X</v>
      </c>
      <c r="FP395" s="58" t="str">
        <f t="shared" ca="1" si="1779"/>
        <v>X</v>
      </c>
      <c r="FQ395" s="58" t="str">
        <f t="shared" ca="1" si="1779"/>
        <v>X</v>
      </c>
      <c r="FR395" s="58" t="str">
        <f t="shared" ca="1" si="1779"/>
        <v>X</v>
      </c>
      <c r="FS395" s="58" t="str">
        <f t="shared" ca="1" si="1779"/>
        <v>X</v>
      </c>
      <c r="FT395" s="58" t="str">
        <f t="shared" ca="1" si="1779"/>
        <v>X</v>
      </c>
      <c r="FU395" s="58" t="str">
        <f t="shared" ca="1" si="1779"/>
        <v>X</v>
      </c>
      <c r="FV395" s="58" t="str">
        <f t="shared" ca="1" si="1779"/>
        <v>X</v>
      </c>
      <c r="FW395" s="58" t="str">
        <f t="shared" ca="1" si="1779"/>
        <v>X</v>
      </c>
      <c r="FX395" s="58" t="str">
        <f t="shared" ca="1" si="1779"/>
        <v>X</v>
      </c>
      <c r="FY395" s="58" t="str">
        <f t="shared" ca="1" si="1779"/>
        <v>X</v>
      </c>
      <c r="FZ395" s="58" t="str">
        <f t="shared" ca="1" si="1779"/>
        <v>X</v>
      </c>
      <c r="GA395" s="58" t="str">
        <f t="shared" ca="1" si="1779"/>
        <v>X</v>
      </c>
      <c r="GB395" s="58" t="str">
        <f t="shared" ca="1" si="1779"/>
        <v>X</v>
      </c>
      <c r="GC395" s="58" t="str">
        <f t="shared" ca="1" si="1779"/>
        <v>X</v>
      </c>
      <c r="GD395" s="58" t="str">
        <f t="shared" ca="1" si="1779"/>
        <v>X</v>
      </c>
      <c r="GE395" s="58" t="str">
        <f t="shared" ca="1" si="1779"/>
        <v>X</v>
      </c>
      <c r="GF395" s="58" t="str">
        <f t="shared" ca="1" si="1779"/>
        <v>X</v>
      </c>
      <c r="GG395" s="58" t="str">
        <f t="shared" ca="1" si="1779"/>
        <v>X</v>
      </c>
      <c r="GH395" s="58" t="str">
        <f t="shared" ca="1" si="1779"/>
        <v>X</v>
      </c>
      <c r="GI395" s="58" t="str">
        <f t="shared" ca="1" si="1779"/>
        <v>X</v>
      </c>
      <c r="GJ395" s="58" t="str">
        <f t="shared" ca="1" si="1779"/>
        <v>X</v>
      </c>
      <c r="GK395" s="58" t="str">
        <f t="shared" ca="1" si="1779"/>
        <v>X</v>
      </c>
      <c r="GL395" s="58" t="str">
        <f t="shared" ca="1" si="1779"/>
        <v>X</v>
      </c>
      <c r="GM395" s="58" t="str">
        <f t="shared" ca="1" si="1779"/>
        <v>X</v>
      </c>
      <c r="GN395" s="58" t="str">
        <f t="shared" ca="1" si="1779"/>
        <v>X</v>
      </c>
      <c r="GO395" s="58" t="str">
        <f t="shared" ca="1" si="1779"/>
        <v>X</v>
      </c>
      <c r="GP395" s="58" t="str">
        <f t="shared" ca="1" si="1779"/>
        <v>X</v>
      </c>
      <c r="GQ395" s="58" t="str">
        <f t="shared" ca="1" si="1779"/>
        <v>X</v>
      </c>
      <c r="GR395" s="58" t="str">
        <f t="shared" ca="1" si="1779"/>
        <v>X</v>
      </c>
      <c r="GS395" s="80" t="str">
        <f t="shared" ca="1" si="1779"/>
        <v>X</v>
      </c>
      <c r="GT395" s="58" t="str">
        <f t="shared" ca="1" si="1779"/>
        <v>X</v>
      </c>
      <c r="GU395" s="82" t="str">
        <f t="shared" ca="1" si="1617"/>
        <v>X</v>
      </c>
      <c r="GV395" s="58" t="str">
        <f t="shared" ca="1" si="1618"/>
        <v>X</v>
      </c>
      <c r="GW395" s="58" t="str">
        <f t="shared" ca="1" si="1619"/>
        <v>X</v>
      </c>
      <c r="GX395" s="58" t="str">
        <f t="shared" ca="1" si="1620"/>
        <v>X</v>
      </c>
      <c r="GY395" s="58" t="str">
        <f t="shared" ca="1" si="1621"/>
        <v>X</v>
      </c>
      <c r="GZ395" s="58" t="str">
        <f t="shared" ca="1" si="1622"/>
        <v>X</v>
      </c>
      <c r="HA395" s="58" t="str">
        <f t="shared" ca="1" si="1623"/>
        <v>X</v>
      </c>
      <c r="HB395" s="58" t="str">
        <f t="shared" ca="1" si="1624"/>
        <v>X</v>
      </c>
      <c r="HC395" s="58" t="str">
        <f t="shared" ca="1" si="1625"/>
        <v>X</v>
      </c>
      <c r="HD395" s="58" t="str">
        <f t="shared" ca="1" si="1626"/>
        <v>X</v>
      </c>
      <c r="HE395" s="58" t="str">
        <f t="shared" ca="1" si="1627"/>
        <v>X</v>
      </c>
      <c r="HF395" s="58" t="str">
        <f t="shared" ca="1" si="1628"/>
        <v>X</v>
      </c>
      <c r="HG395" s="58" t="str">
        <f t="shared" ca="1" si="1629"/>
        <v>X</v>
      </c>
      <c r="HH395" s="58" t="str">
        <f t="shared" ca="1" si="1630"/>
        <v>X</v>
      </c>
      <c r="HI395" s="58" t="str">
        <f t="shared" ca="1" si="1631"/>
        <v>X</v>
      </c>
      <c r="HJ395" s="58" t="str">
        <f t="shared" ca="1" si="1632"/>
        <v>X</v>
      </c>
      <c r="HK395" s="58" t="str">
        <f t="shared" ca="1" si="1633"/>
        <v>X</v>
      </c>
      <c r="HL395" s="58" t="str">
        <f t="shared" ca="1" si="1634"/>
        <v>X</v>
      </c>
      <c r="HM395" s="58" t="str">
        <f t="shared" ca="1" si="1635"/>
        <v>X</v>
      </c>
      <c r="HN395" s="58" t="str">
        <f t="shared" ca="1" si="1636"/>
        <v>X</v>
      </c>
      <c r="HO395" s="58" t="str">
        <f t="shared" ca="1" si="1637"/>
        <v>X</v>
      </c>
      <c r="HP395" s="58" t="str">
        <f t="shared" ca="1" si="1638"/>
        <v>X</v>
      </c>
      <c r="HQ395" s="58" t="str">
        <f t="shared" ca="1" si="1639"/>
        <v>X</v>
      </c>
      <c r="HR395" s="58" t="str">
        <f t="shared" ca="1" si="1640"/>
        <v>X</v>
      </c>
      <c r="HS395" s="58" t="str">
        <f t="shared" ca="1" si="1641"/>
        <v>X</v>
      </c>
      <c r="HT395" s="58" t="str">
        <f t="shared" ca="1" si="1642"/>
        <v>X</v>
      </c>
      <c r="HU395" s="58" t="str">
        <f t="shared" ca="1" si="1643"/>
        <v>X</v>
      </c>
      <c r="HV395" s="58" t="str">
        <f t="shared" ca="1" si="1644"/>
        <v>X</v>
      </c>
      <c r="HW395" s="58" t="str">
        <f t="shared" ca="1" si="1645"/>
        <v>X</v>
      </c>
      <c r="HX395" s="58" t="str">
        <f t="shared" ca="1" si="1646"/>
        <v>X</v>
      </c>
      <c r="HY395" s="58" t="str">
        <f t="shared" ca="1" si="1647"/>
        <v>X</v>
      </c>
      <c r="HZ395" s="58" t="str">
        <f t="shared" ca="1" si="1648"/>
        <v>X</v>
      </c>
      <c r="IA395" s="58" t="str">
        <f t="shared" ca="1" si="1649"/>
        <v>X</v>
      </c>
      <c r="IB395" s="58" t="str">
        <f t="shared" ca="1" si="1650"/>
        <v>X</v>
      </c>
      <c r="IC395" s="58" t="str">
        <f t="shared" ca="1" si="1651"/>
        <v>X</v>
      </c>
      <c r="ID395" s="58" t="str">
        <f t="shared" ca="1" si="1652"/>
        <v>X</v>
      </c>
      <c r="IE395" s="58" t="str">
        <f t="shared" ca="1" si="1653"/>
        <v>X</v>
      </c>
      <c r="IF395" s="58" t="str">
        <f t="shared" ca="1" si="1654"/>
        <v>X</v>
      </c>
      <c r="IG395" s="58" t="str">
        <f t="shared" ca="1" si="1655"/>
        <v>X</v>
      </c>
      <c r="IH395" s="58" t="str">
        <f t="shared" ca="1" si="1656"/>
        <v>X</v>
      </c>
      <c r="II395" s="58" t="str">
        <f t="shared" ca="1" si="1657"/>
        <v>X</v>
      </c>
      <c r="IJ395" s="58" t="str">
        <f t="shared" ca="1" si="1658"/>
        <v>X</v>
      </c>
      <c r="IK395" s="58" t="str">
        <f t="shared" ca="1" si="1659"/>
        <v>X</v>
      </c>
      <c r="IL395" s="58" t="str">
        <f t="shared" ca="1" si="1660"/>
        <v>X</v>
      </c>
      <c r="IM395" s="58" t="str">
        <f t="shared" ca="1" si="1661"/>
        <v>X</v>
      </c>
      <c r="IN395" s="58" t="str">
        <f t="shared" ca="1" si="1662"/>
        <v>X</v>
      </c>
      <c r="IO395" s="58" t="str">
        <f t="shared" ca="1" si="1663"/>
        <v>X</v>
      </c>
      <c r="IP395" s="58" t="str">
        <f t="shared" ca="1" si="1664"/>
        <v>X</v>
      </c>
      <c r="IQ395" s="58" t="str">
        <f t="shared" ca="1" si="1665"/>
        <v>X</v>
      </c>
      <c r="IR395" s="58" t="str">
        <f t="shared" ca="1" si="1666"/>
        <v>X</v>
      </c>
      <c r="IS395" s="58" t="str">
        <f t="shared" ca="1" si="1667"/>
        <v>X</v>
      </c>
      <c r="IT395" s="58" t="str">
        <f t="shared" ca="1" si="1668"/>
        <v>X</v>
      </c>
      <c r="IU395" s="58" t="str">
        <f t="shared" ca="1" si="1669"/>
        <v>X</v>
      </c>
      <c r="IV395" s="58" t="str">
        <f t="shared" ca="1" si="1670"/>
        <v>X</v>
      </c>
      <c r="IW395" s="58" t="str">
        <f t="shared" ca="1" si="1671"/>
        <v>X</v>
      </c>
      <c r="IX395" s="58" t="str">
        <f t="shared" ca="1" si="1672"/>
        <v>X</v>
      </c>
      <c r="IY395" s="58" t="str">
        <f t="shared" ca="1" si="1673"/>
        <v>X</v>
      </c>
      <c r="IZ395" s="58" t="str">
        <f t="shared" ca="1" si="1674"/>
        <v>X</v>
      </c>
      <c r="JA395" s="58" t="str">
        <f t="shared" ca="1" si="1675"/>
        <v>X</v>
      </c>
      <c r="JB395" s="58" t="str">
        <f t="shared" ca="1" si="1676"/>
        <v>X</v>
      </c>
      <c r="JC395" s="58" t="str">
        <f t="shared" ca="1" si="1677"/>
        <v>X</v>
      </c>
      <c r="JD395" s="58" t="str">
        <f t="shared" ca="1" si="1678"/>
        <v>X</v>
      </c>
      <c r="JE395" s="58" t="str">
        <f t="shared" ca="1" si="1679"/>
        <v>X</v>
      </c>
      <c r="JF395" s="58" t="str">
        <f t="shared" ca="1" si="1680"/>
        <v>X</v>
      </c>
      <c r="JG395" s="58" t="str">
        <f t="shared" ca="1" si="1681"/>
        <v>X</v>
      </c>
      <c r="JH395" s="58" t="str">
        <f t="shared" ca="1" si="1682"/>
        <v>X</v>
      </c>
      <c r="JI395" s="58" t="str">
        <f t="shared" ca="1" si="1683"/>
        <v>X</v>
      </c>
      <c r="JJ395" s="58" t="str">
        <f t="shared" ca="1" si="1684"/>
        <v>X</v>
      </c>
      <c r="JK395" s="58" t="str">
        <f t="shared" ca="1" si="1685"/>
        <v>X</v>
      </c>
      <c r="JL395" s="58" t="str">
        <f t="shared" ca="1" si="1686"/>
        <v>X</v>
      </c>
      <c r="JM395" s="58" t="str">
        <f t="shared" ca="1" si="1687"/>
        <v>X</v>
      </c>
      <c r="JN395" s="58" t="str">
        <f t="shared" ca="1" si="1688"/>
        <v>X</v>
      </c>
      <c r="JO395" s="58" t="str">
        <f t="shared" ca="1" si="1689"/>
        <v>X</v>
      </c>
      <c r="JP395" s="58" t="str">
        <f t="shared" ca="1" si="1690"/>
        <v>X</v>
      </c>
      <c r="JQ395" s="58" t="str">
        <f t="shared" ca="1" si="1691"/>
        <v>X</v>
      </c>
      <c r="JR395" s="58" t="str">
        <f t="shared" ca="1" si="1692"/>
        <v>X</v>
      </c>
      <c r="JS395" s="58" t="str">
        <f t="shared" ca="1" si="1693"/>
        <v>X</v>
      </c>
      <c r="JT395" s="58" t="str">
        <f t="shared" ca="1" si="1694"/>
        <v>X</v>
      </c>
      <c r="JU395" s="58" t="str">
        <f t="shared" ca="1" si="1695"/>
        <v>X</v>
      </c>
      <c r="JV395" s="58" t="str">
        <f t="shared" ca="1" si="1696"/>
        <v>X</v>
      </c>
      <c r="JW395" s="58" t="str">
        <f t="shared" ca="1" si="1697"/>
        <v>X</v>
      </c>
      <c r="JX395" s="58" t="str">
        <f t="shared" ca="1" si="1698"/>
        <v>X</v>
      </c>
      <c r="JY395" s="58" t="str">
        <f t="shared" ca="1" si="1699"/>
        <v>X</v>
      </c>
      <c r="JZ395" s="58" t="str">
        <f t="shared" ca="1" si="1700"/>
        <v>X</v>
      </c>
      <c r="KA395" s="58" t="str">
        <f t="shared" ca="1" si="1701"/>
        <v>X</v>
      </c>
      <c r="KB395" s="58" t="str">
        <f t="shared" ca="1" si="1702"/>
        <v>X</v>
      </c>
      <c r="KC395" s="58" t="str">
        <f t="shared" ca="1" si="1703"/>
        <v>X</v>
      </c>
      <c r="KD395" s="58" t="str">
        <f t="shared" ca="1" si="1704"/>
        <v>X</v>
      </c>
      <c r="KE395" s="58" t="str">
        <f t="shared" ca="1" si="1705"/>
        <v>X</v>
      </c>
      <c r="KF395" s="58" t="str">
        <f t="shared" ca="1" si="1706"/>
        <v>X</v>
      </c>
      <c r="KG395" s="58" t="str">
        <f t="shared" ca="1" si="1707"/>
        <v>X</v>
      </c>
      <c r="KH395" s="58" t="str">
        <f t="shared" ca="1" si="1708"/>
        <v>X</v>
      </c>
      <c r="KI395" s="58" t="str">
        <f t="shared" ca="1" si="1709"/>
        <v>X</v>
      </c>
      <c r="KJ395" s="58" t="str">
        <f t="shared" ca="1" si="1710"/>
        <v>X</v>
      </c>
      <c r="KK395" s="58" t="str">
        <f t="shared" ca="1" si="1711"/>
        <v>X</v>
      </c>
      <c r="KL395" s="58" t="str">
        <f t="shared" ca="1" si="1712"/>
        <v>X</v>
      </c>
      <c r="KM395" s="58" t="str">
        <f t="shared" ca="1" si="1713"/>
        <v>X</v>
      </c>
      <c r="KN395" s="58" t="str">
        <f t="shared" ca="1" si="1714"/>
        <v>X</v>
      </c>
      <c r="KO395" s="58" t="str">
        <f t="shared" ca="1" si="1715"/>
        <v>X</v>
      </c>
      <c r="KP395" s="58" t="str">
        <f t="shared" ca="1" si="1716"/>
        <v>X</v>
      </c>
      <c r="KQ395" s="58" t="str">
        <f t="shared" ca="1" si="1717"/>
        <v>X</v>
      </c>
      <c r="KR395" s="58" t="str">
        <f t="shared" ca="1" si="1718"/>
        <v>X</v>
      </c>
      <c r="KS395" s="58" t="str">
        <f t="shared" ca="1" si="1719"/>
        <v>X</v>
      </c>
      <c r="KT395" s="58" t="str">
        <f t="shared" ca="1" si="1720"/>
        <v>X</v>
      </c>
      <c r="KU395" s="58" t="str">
        <f t="shared" ca="1" si="1721"/>
        <v>X</v>
      </c>
      <c r="KV395" s="58" t="str">
        <f t="shared" ca="1" si="1722"/>
        <v>X</v>
      </c>
      <c r="KW395" s="58" t="str">
        <f t="shared" ca="1" si="1723"/>
        <v>X</v>
      </c>
      <c r="KX395" s="58" t="str">
        <f t="shared" ca="1" si="1724"/>
        <v>X</v>
      </c>
      <c r="KY395" s="58" t="str">
        <f t="shared" ca="1" si="1725"/>
        <v>X</v>
      </c>
      <c r="KZ395" s="58" t="str">
        <f t="shared" ca="1" si="1726"/>
        <v>X</v>
      </c>
      <c r="LA395" s="58" t="str">
        <f t="shared" ca="1" si="1727"/>
        <v>X</v>
      </c>
      <c r="LB395" s="58" t="str">
        <f t="shared" ca="1" si="1728"/>
        <v>X</v>
      </c>
      <c r="LC395" s="58" t="str">
        <f t="shared" ca="1" si="1729"/>
        <v>X</v>
      </c>
      <c r="LD395" s="58" t="str">
        <f t="shared" ca="1" si="1730"/>
        <v>X</v>
      </c>
      <c r="LE395" s="58" t="str">
        <f t="shared" ca="1" si="1731"/>
        <v>X</v>
      </c>
      <c r="LF395" s="58" t="str">
        <f t="shared" ca="1" si="1732"/>
        <v>X</v>
      </c>
      <c r="LG395" s="58" t="str">
        <f t="shared" ca="1" si="1733"/>
        <v>X</v>
      </c>
      <c r="LH395" s="58" t="str">
        <f t="shared" ca="1" si="1734"/>
        <v>X</v>
      </c>
      <c r="LI395" s="58" t="str">
        <f t="shared" ca="1" si="1735"/>
        <v>X</v>
      </c>
      <c r="LJ395" s="58" t="str">
        <f t="shared" ca="1" si="1736"/>
        <v>X</v>
      </c>
      <c r="LK395" s="58" t="str">
        <f t="shared" ca="1" si="1737"/>
        <v>X</v>
      </c>
      <c r="LL395" s="58" t="str">
        <f t="shared" ca="1" si="1738"/>
        <v>X</v>
      </c>
      <c r="LM395" s="58" t="str">
        <f t="shared" ca="1" si="1739"/>
        <v>X</v>
      </c>
      <c r="LN395" s="58" t="str">
        <f t="shared" ca="1" si="1740"/>
        <v>X</v>
      </c>
      <c r="LO395" s="58" t="str">
        <f t="shared" ca="1" si="1741"/>
        <v>X</v>
      </c>
      <c r="LP395" s="58" t="str">
        <f t="shared" ca="1" si="1742"/>
        <v>X</v>
      </c>
      <c r="LQ395" s="58" t="str">
        <f t="shared" ca="1" si="1743"/>
        <v>X</v>
      </c>
      <c r="LR395" s="58" t="str">
        <f t="shared" ca="1" si="1744"/>
        <v>X</v>
      </c>
      <c r="LS395" s="58" t="str">
        <f t="shared" ca="1" si="1745"/>
        <v>X</v>
      </c>
      <c r="LT395" s="58" t="str">
        <f t="shared" ca="1" si="1746"/>
        <v>X</v>
      </c>
      <c r="LU395" s="58" t="str">
        <f t="shared" ca="1" si="1747"/>
        <v>X</v>
      </c>
      <c r="LV395" s="58" t="str">
        <f t="shared" ca="1" si="1748"/>
        <v>X</v>
      </c>
      <c r="LW395" s="58" t="str">
        <f t="shared" ca="1" si="1749"/>
        <v>X</v>
      </c>
      <c r="LX395" s="58" t="str">
        <f t="shared" ca="1" si="1750"/>
        <v>X</v>
      </c>
      <c r="LY395" s="58" t="str">
        <f t="shared" ca="1" si="1751"/>
        <v>X</v>
      </c>
      <c r="LZ395" s="58" t="str">
        <f t="shared" ca="1" si="1752"/>
        <v>X</v>
      </c>
      <c r="MA395" s="58" t="str">
        <f t="shared" ca="1" si="1753"/>
        <v>X</v>
      </c>
      <c r="MB395" s="58" t="str">
        <f t="shared" ca="1" si="1754"/>
        <v>X</v>
      </c>
      <c r="MC395" s="58" t="str">
        <f t="shared" ca="1" si="1755"/>
        <v>X</v>
      </c>
      <c r="MD395" s="58" t="str">
        <f t="shared" ca="1" si="1756"/>
        <v>X</v>
      </c>
      <c r="ME395" s="58" t="str">
        <f t="shared" ca="1" si="1757"/>
        <v>X</v>
      </c>
      <c r="MF395" s="58" t="str">
        <f t="shared" ca="1" si="1758"/>
        <v>X</v>
      </c>
      <c r="MG395" s="58" t="str">
        <f t="shared" ca="1" si="1759"/>
        <v>X</v>
      </c>
      <c r="MH395" s="58" t="str">
        <f t="shared" ca="1" si="1760"/>
        <v>X</v>
      </c>
      <c r="MI395" s="58" t="str">
        <f t="shared" ca="1" si="1761"/>
        <v>X</v>
      </c>
      <c r="MJ395" s="58" t="str">
        <f t="shared" ca="1" si="1762"/>
        <v>X</v>
      </c>
      <c r="MK395" s="58" t="str">
        <f t="shared" ca="1" si="1763"/>
        <v>X</v>
      </c>
      <c r="ML395" s="58" t="str">
        <f t="shared" ca="1" si="1764"/>
        <v>X</v>
      </c>
      <c r="MM395" s="58" t="str">
        <f t="shared" ca="1" si="1765"/>
        <v>X</v>
      </c>
      <c r="MN395" s="58" t="str">
        <f t="shared" ca="1" si="1766"/>
        <v>X</v>
      </c>
      <c r="MO395" s="58" t="str">
        <f t="shared" ca="1" si="1767"/>
        <v>X</v>
      </c>
      <c r="MP395" s="58" t="str">
        <f t="shared" ca="1" si="1768"/>
        <v>X</v>
      </c>
      <c r="MQ395" s="58" t="str">
        <f t="shared" ca="1" si="1769"/>
        <v>X</v>
      </c>
      <c r="MR395" s="58" t="str">
        <f t="shared" ca="1" si="1770"/>
        <v>X</v>
      </c>
      <c r="MS395" s="58" t="str">
        <f t="shared" ca="1" si="1771"/>
        <v>X</v>
      </c>
      <c r="MT395" s="58" t="str">
        <f t="shared" ref="MT395:NE395" ca="1" si="1780">IF($K395=INDIRECT(CONCATENATE("$AG$"&amp;GH$392)),INDIRECT(CONCATENATE("$AG$"&amp;GH$391)),
IF($K395=INDIRECT(CONCATENATE("$AF$"&amp;GH$392)),INDIRECT(CONCATENATE("$AF$"&amp;GH$391)),
IF($K395=INDIRECT(CONCATENATE("$AE$"&amp;GH$392)),INDIRECT(CONCATENATE("$AE$"&amp;GH$391)),
IF($K395=INDIRECT(CONCATENATE("$AD$"&amp;GH$392)),INDIRECT(CONCATENATE("$AD$"&amp;GH$391)),
IF($K395=INDIRECT(CONCATENATE("$AC$"&amp;GH$392)),INDIRECT(CONCATENATE("$AC$"&amp;GH$391)),
IF($K395=INDIRECT(CONCATENATE("$AB$"&amp;GH$392)),INDIRECT(CONCATENATE("$AB$"&amp;GH$391)),
IF($K395=INDIRECT(CONCATENATE("$AA$"&amp;GH$392)),INDIRECT(CONCATENATE("$AA$"&amp;GH$391)),
IF($K395=INDIRECT(CONCATENATE("$Z$"&amp;GH$392)),INDIRECT(CONCATENATE("$Z$"&amp;GH$391)),
IF($K395=INDIRECT(CONCATENATE("$Y$"&amp;GH$392)),INDIRECT(CONCATENATE("$Y$"&amp;GH$391)),
IF($K395=INDIRECT(CONCATENATE("$X$"&amp;GH$392)),INDIRECT(CONCATENATE("$X$"&amp;GH$391)),
IF($K395=INDIRECT(CONCATENATE("$W$"&amp;GH$392)),INDIRECT(CONCATENATE("$W$"&amp;GH$391)),
IF($K395=INDIRECT(CONCATENATE("$V$"&amp;GH$392)),INDIRECT(CONCATENATE("$V$"&amp;GH$391)),
IF($K395=INDIRECT(CONCATENATE("$U$"&amp;GH$392)),INDIRECT(CONCATENATE("$U$"&amp;GH$391)),
IF($K395=INDIRECT(CONCATENATE("$T$"&amp;GH$392)),INDIRECT(CONCATENATE("$T$"&amp;GH$391)),
IF($K395=INDIRECT(CONCATENATE("$S$"&amp;GH$392)),INDIRECT(CONCATENATE("$S$"&amp;GH$391)),
IF($K395=INDIRECT(CONCATENATE("$R$"&amp;GH$392)),INDIRECT(CONCATENATE("$R$"&amp;GH$391)),
IF($K395=INDIRECT(CONCATENATE("$Q$"&amp;GH$392)),INDIRECT(CONCATENATE("$Q$"&amp;GH$391)),
IF($K395=INDIRECT(CONCATENATE("$P$"&amp;GH$392)),INDIRECT(CONCATENATE("$P$"&amp;GH$391)),
IF($K395=INDIRECT(CONCATENATE("$O$"&amp;GH$392)),INDIRECT(CONCATENATE("$O$"&amp;GH$391)),
IF($K395=INDIRECT(CONCATENATE("$N$"&amp;GH$392)),INDIRECT(CONCATENATE("$N$"&amp;GH$391)),
IF($K395=INDIRECT(CONCATENATE("$M$"&amp;GH$392)),INDIRECT(CONCATENATE("$M$"&amp;GH$391)),
IF($K395=INDIRECT(CONCATENATE("$L$"&amp;GH$392)),INDIRECT(CONCATENATE("$L$"&amp;GH$391)),
IF($K395=INDIRECT(CONCATENATE("$K$"&amp;GH$392)),INDIRECT(CONCATENATE("$K$"&amp;GH$391)),
IF($K395=INDIRECT(CONCATENATE("$J$"&amp;GH$392)),INDIRECT(CONCATENATE("$J$"&amp;GH$391)),
IF($K395=INDIRECT(CONCATENATE("$I$"&amp;GH$392)),INDIRECT(CONCATENATE("$I$"&amp;GH$391)),
IF($K395=INDIRECT(CONCATENATE("$H$"&amp;GH$392)),INDIRECT(CONCATENATE("$H$"&amp;GH$391)),
IF($K395=INDIRECT(CONCATENATE("$G$"&amp;GH$392)),INDIRECT(CONCATENATE("$G$"&amp;GH$391)),
IF($K395=INDIRECT(CONCATENATE("$F$"&amp;GH$392)),INDIRECT(CONCATENATE("$F$"&amp;GH$391)),
IF($K395=INDIRECT(CONCATENATE("$E$"&amp;GH$392)),INDIRECT(CONCATENATE("$E$"&amp;GH$391)),
IF($K395=INDIRECT(CONCATENATE("$D$"&amp;GH$392)),INDIRECT(CONCATENATE("$D$"&amp;GH$391)),
IF($K395=INDIRECT(CONCATENATE("$C$"&amp;GH$392)),INDIRECT(CONCATENATE("$C$"&amp;GH$391)),"X")))))))))))))))))))))))))))))))</f>
        <v>X</v>
      </c>
      <c r="MU395" s="58" t="str">
        <f t="shared" ca="1" si="1780"/>
        <v>X</v>
      </c>
      <c r="MV395" s="58" t="str">
        <f t="shared" ca="1" si="1780"/>
        <v>X</v>
      </c>
      <c r="MW395" s="58" t="str">
        <f t="shared" ca="1" si="1780"/>
        <v>X</v>
      </c>
      <c r="MX395" s="58" t="str">
        <f t="shared" ca="1" si="1780"/>
        <v>X</v>
      </c>
      <c r="MY395" s="58" t="str">
        <f t="shared" ca="1" si="1780"/>
        <v>X</v>
      </c>
      <c r="MZ395" s="58" t="str">
        <f t="shared" ca="1" si="1780"/>
        <v>X</v>
      </c>
      <c r="NA395" s="58" t="str">
        <f t="shared" ca="1" si="1780"/>
        <v>X</v>
      </c>
      <c r="NB395" s="58" t="str">
        <f t="shared" ca="1" si="1780"/>
        <v>X</v>
      </c>
      <c r="NC395" s="58" t="str">
        <f t="shared" ca="1" si="1780"/>
        <v>X</v>
      </c>
      <c r="ND395" s="58" t="str">
        <f t="shared" ca="1" si="1780"/>
        <v>X</v>
      </c>
      <c r="NE395" s="58" t="str">
        <f t="shared" ca="1" si="1780"/>
        <v>X</v>
      </c>
      <c r="NF395" s="58" t="str">
        <f t="shared" ca="1" si="1773"/>
        <v>X</v>
      </c>
      <c r="NG395" s="58" t="str">
        <f t="shared" ca="1" si="1774"/>
        <v>X</v>
      </c>
    </row>
    <row r="396" spans="1:371" ht="18" customHeight="1">
      <c r="A396" s="241" t="s">
        <v>85</v>
      </c>
      <c r="B396" s="271"/>
      <c r="C396" s="271"/>
      <c r="D396" s="271"/>
      <c r="E396" s="271"/>
      <c r="F396" s="271"/>
      <c r="G396" s="271"/>
      <c r="H396" s="271"/>
      <c r="I396" s="271"/>
      <c r="J396" s="272"/>
      <c r="K396" s="237" t="s">
        <v>31</v>
      </c>
      <c r="L396" s="279"/>
      <c r="M396" s="55">
        <v>80</v>
      </c>
      <c r="N396" s="225" t="s">
        <v>86</v>
      </c>
      <c r="O396" s="274"/>
      <c r="P396" s="274"/>
      <c r="Q396" s="274"/>
      <c r="R396" s="275"/>
      <c r="S396" s="226">
        <v>101706</v>
      </c>
      <c r="T396" s="276"/>
      <c r="U396" s="277"/>
      <c r="V396" s="227" t="s">
        <v>87</v>
      </c>
      <c r="W396" s="278"/>
      <c r="X396" s="56">
        <f t="shared" ca="1" si="1775"/>
        <v>46057</v>
      </c>
      <c r="Y396" s="56">
        <f t="shared" ca="1" si="1776"/>
        <v>46134</v>
      </c>
      <c r="Z396" s="228" t="str">
        <f t="shared" ca="1" si="1612"/>
        <v>CONCLUÍDA</v>
      </c>
      <c r="AA396" s="304"/>
      <c r="AB396" s="303"/>
      <c r="AC396" s="224">
        <f t="shared" si="1777"/>
        <v>80</v>
      </c>
      <c r="AD396" s="303"/>
      <c r="AE396" s="229">
        <f t="shared" si="1778"/>
        <v>0</v>
      </c>
      <c r="AF396" s="303"/>
      <c r="AG396" s="57" t="str">
        <f t="shared" si="1615"/>
        <v>OK</v>
      </c>
      <c r="AH396" s="59"/>
      <c r="AI396" s="70"/>
      <c r="AJ396" s="58" t="str">
        <f t="shared" ref="AJ396:GT396" ca="1" si="1781">IF($K396=INDIRECT(CONCATENATE("$C$"&amp;AJ$392)), INDIRECT(CONCATENATE("$C$"&amp;AJ$391)),
IF($K396=INDIRECT(CONCATENATE("$D$"&amp;AJ$392)), INDIRECT(CONCATENATE("$D$"&amp;AJ$391)),
IF($K396=INDIRECT(CONCATENATE("$E$"&amp;AJ$392)), INDIRECT(CONCATENATE("$E$"&amp;AJ$391)),
IF($K396=INDIRECT(CONCATENATE("$F$"&amp;AJ$392)), INDIRECT(CONCATENATE("$F$"&amp;AJ$391)),
IF($K396=INDIRECT(CONCATENATE("$G$"&amp;AJ$392)), INDIRECT(CONCATENATE("$G$"&amp;AJ$391)),
IF($K396=INDIRECT(CONCATENATE("$H$"&amp;AJ$392)), INDIRECT(CONCATENATE("$H$"&amp;AJ$391)),
IF($K396=INDIRECT(CONCATENATE("$I$"&amp;AJ$392)), INDIRECT(CONCATENATE("$I$"&amp;AJ$391)),
IF($K396=INDIRECT(CONCATENATE("$J$"&amp;AJ$392)), INDIRECT(CONCATENATE("$J$"&amp;AJ$391)),
IF($K396=INDIRECT(CONCATENATE("$K$"&amp;AJ$392)), INDIRECT(CONCATENATE("$K$"&amp;AJ$391)),
IF($K396=INDIRECT(CONCATENATE("$L$"&amp;AJ$392)), INDIRECT(CONCATENATE("$L$"&amp;AJ$391)),
IF($K396=INDIRECT(CONCATENATE("$M$"&amp;AJ$392)), INDIRECT(CONCATENATE("$M$"&amp;AJ$391)),
IF($K396=INDIRECT(CONCATENATE("$N$"&amp;AJ$392)), INDIRECT(CONCATENATE("$N$"&amp;AJ$391)),
IF($K396=INDIRECT(CONCATENATE("$O$"&amp;AJ$392)), INDIRECT(CONCATENATE("$O$"&amp;AJ$391)),
IF($K396=INDIRECT(CONCATENATE("$P$"&amp;AJ$392)), INDIRECT(CONCATENATE("$P$"&amp;AJ$391)),
IF($K396=INDIRECT(CONCATENATE("$Q$"&amp;AJ$392)), INDIRECT(CONCATENATE("$Q$"&amp;AJ$391)),
IF($K396=INDIRECT(CONCATENATE("$R$"&amp;AJ$392)), INDIRECT(CONCATENATE("$R$"&amp;AJ$391)),
IF($K396=INDIRECT(CONCATENATE("$S$"&amp;AJ$392)), INDIRECT(CONCATENATE("$S$"&amp;AJ$391)),
IF($K396=INDIRECT(CONCATENATE("$T$"&amp;AJ$392)), INDIRECT(CONCATENATE("$T$"&amp;AJ$391)),
IF($K396=INDIRECT(CONCATENATE("$U$"&amp;AJ$392)), INDIRECT(CONCATENATE("$U$"&amp;AJ$391)),
IF($K396=INDIRECT(CONCATENATE("$V$"&amp;AJ$392)), INDIRECT(CONCATENATE("$V$"&amp;AJ$391)),
IF($K396=INDIRECT(CONCATENATE("$W$"&amp;AJ$392)), INDIRECT(CONCATENATE("$W$"&amp;AJ$391)),
IF($K396=INDIRECT(CONCATENATE("$X$"&amp;AJ$392)), INDIRECT(CONCATENATE("$X$"&amp;AJ$391)),
IF($K396=INDIRECT(CONCATENATE("$Y$"&amp;AJ$392)), INDIRECT(CONCATENATE("$Y$"&amp;AJ$391)),
IF($K396=INDIRECT(CONCATENATE("$Z$"&amp;AJ$392)), INDIRECT(CONCATENATE("$Z$"&amp;AJ$391)),
IF($K396=INDIRECT(CONCATENATE("$AA$"&amp;AJ$392)), INDIRECT(CONCATENATE("$AA$"&amp;AJ$391)),
IF($K396=INDIRECT(CONCATENATE("$AB$"&amp;AJ$392)), INDIRECT(CONCATENATE("$AB$"&amp;AJ$391)),
IF($K396=INDIRECT(CONCATENATE("$AC$"&amp;AJ$392)), INDIRECT(CONCATENATE("$AC$"&amp;AJ$391)),
IF($K396=INDIRECT(CONCATENATE("$AD$"&amp;AJ$392)), INDIRECT(CONCATENATE("$AD$"&amp;AJ$391)),
IF($K396=INDIRECT(CONCATENATE("$AE$"&amp;AJ$392)), INDIRECT(CONCATENATE("$AE$"&amp;AJ$391)),
IF($K396=INDIRECT(CONCATENATE("$AF$"&amp;AJ$392)), INDIRECT(CONCATENATE("$AF$"&amp;AJ$391)),
IF($K396=INDIRECT(CONCATENATE("$AG$"&amp;AJ$392)), INDIRECT(CONCATENATE("$AG$"&amp;AJ$391)),"X")))))))))))))))))))))))))))))))</f>
        <v>X</v>
      </c>
      <c r="AK396" s="58" t="str">
        <f t="shared" ca="1" si="1781"/>
        <v>X</v>
      </c>
      <c r="AL396" s="58" t="str">
        <f t="shared" ca="1" si="1781"/>
        <v>X</v>
      </c>
      <c r="AM396" s="58" t="str">
        <f t="shared" ca="1" si="1781"/>
        <v>X</v>
      </c>
      <c r="AN396" s="58" t="str">
        <f t="shared" ca="1" si="1781"/>
        <v>X</v>
      </c>
      <c r="AO396" s="58" t="str">
        <f t="shared" ca="1" si="1781"/>
        <v>X</v>
      </c>
      <c r="AP396" s="58" t="str">
        <f t="shared" ca="1" si="1781"/>
        <v>X</v>
      </c>
      <c r="AQ396" s="58" t="str">
        <f t="shared" ca="1" si="1781"/>
        <v>X</v>
      </c>
      <c r="AR396" s="58" t="str">
        <f t="shared" ca="1" si="1781"/>
        <v>X</v>
      </c>
      <c r="AS396" s="58" t="str">
        <f t="shared" ca="1" si="1781"/>
        <v>X</v>
      </c>
      <c r="AT396" s="58" t="str">
        <f t="shared" ca="1" si="1781"/>
        <v>X</v>
      </c>
      <c r="AU396" s="58" t="str">
        <f t="shared" ca="1" si="1781"/>
        <v>X</v>
      </c>
      <c r="AV396" s="58" t="str">
        <f t="shared" ca="1" si="1781"/>
        <v>X</v>
      </c>
      <c r="AW396" s="58" t="str">
        <f t="shared" ca="1" si="1781"/>
        <v>X</v>
      </c>
      <c r="AX396" s="58" t="str">
        <f t="shared" ca="1" si="1781"/>
        <v>X</v>
      </c>
      <c r="AY396" s="58" t="str">
        <f t="shared" ca="1" si="1781"/>
        <v>X</v>
      </c>
      <c r="AZ396" s="58" t="str">
        <f t="shared" ca="1" si="1781"/>
        <v>X</v>
      </c>
      <c r="BA396" s="58" t="str">
        <f t="shared" ca="1" si="1781"/>
        <v>X</v>
      </c>
      <c r="BB396" s="58" t="str">
        <f t="shared" ca="1" si="1781"/>
        <v>X</v>
      </c>
      <c r="BC396" s="58">
        <f t="shared" ca="1" si="1781"/>
        <v>46057</v>
      </c>
      <c r="BD396" s="58">
        <f t="shared" ca="1" si="1781"/>
        <v>46057</v>
      </c>
      <c r="BE396" s="58">
        <f t="shared" ca="1" si="1781"/>
        <v>46057</v>
      </c>
      <c r="BF396" s="58">
        <f t="shared" ca="1" si="1781"/>
        <v>46057</v>
      </c>
      <c r="BG396" s="58" t="str">
        <f t="shared" ca="1" si="1781"/>
        <v>X</v>
      </c>
      <c r="BH396" s="58" t="str">
        <f t="shared" ca="1" si="1781"/>
        <v>X</v>
      </c>
      <c r="BI396" s="58" t="str">
        <f t="shared" ca="1" si="1781"/>
        <v>X</v>
      </c>
      <c r="BJ396" s="58" t="str">
        <f t="shared" ca="1" si="1781"/>
        <v>X</v>
      </c>
      <c r="BK396" s="58" t="str">
        <f t="shared" ca="1" si="1781"/>
        <v>X</v>
      </c>
      <c r="BL396" s="58" t="str">
        <f t="shared" ca="1" si="1781"/>
        <v>X</v>
      </c>
      <c r="BM396" s="58" t="str">
        <f t="shared" ca="1" si="1781"/>
        <v>X</v>
      </c>
      <c r="BN396" s="58" t="str">
        <f t="shared" ca="1" si="1781"/>
        <v>X</v>
      </c>
      <c r="BO396" s="58" t="str">
        <f t="shared" ca="1" si="1781"/>
        <v>X</v>
      </c>
      <c r="BP396" s="58" t="str">
        <f t="shared" ca="1" si="1781"/>
        <v>X</v>
      </c>
      <c r="BQ396" s="58">
        <f t="shared" ca="1" si="1781"/>
        <v>46083</v>
      </c>
      <c r="BR396" s="58">
        <f t="shared" ca="1" si="1781"/>
        <v>46083</v>
      </c>
      <c r="BS396" s="58">
        <f t="shared" ca="1" si="1781"/>
        <v>46083</v>
      </c>
      <c r="BT396" s="58">
        <f t="shared" ca="1" si="1781"/>
        <v>46083</v>
      </c>
      <c r="BU396" s="58" t="str">
        <f t="shared" ca="1" si="1781"/>
        <v>X</v>
      </c>
      <c r="BV396" s="58" t="str">
        <f t="shared" ca="1" si="1781"/>
        <v>X</v>
      </c>
      <c r="BW396" s="58" t="str">
        <f t="shared" ca="1" si="1781"/>
        <v>X</v>
      </c>
      <c r="BX396" s="58" t="str">
        <f t="shared" ca="1" si="1781"/>
        <v>X</v>
      </c>
      <c r="BY396" s="58" t="str">
        <f t="shared" ca="1" si="1781"/>
        <v>X</v>
      </c>
      <c r="BZ396" s="58" t="str">
        <f t="shared" ca="1" si="1781"/>
        <v>X</v>
      </c>
      <c r="CA396" s="58" t="str">
        <f t="shared" ca="1" si="1781"/>
        <v>X</v>
      </c>
      <c r="CB396" s="58" t="str">
        <f t="shared" ca="1" si="1781"/>
        <v>X</v>
      </c>
      <c r="CC396" s="58" t="str">
        <f t="shared" ca="1" si="1781"/>
        <v>X</v>
      </c>
      <c r="CD396" s="58" t="str">
        <f t="shared" ca="1" si="1781"/>
        <v>X</v>
      </c>
      <c r="CE396" s="58">
        <f t="shared" ca="1" si="1781"/>
        <v>46113</v>
      </c>
      <c r="CF396" s="58">
        <f t="shared" ca="1" si="1781"/>
        <v>46113</v>
      </c>
      <c r="CG396" s="58">
        <f t="shared" ca="1" si="1781"/>
        <v>46113</v>
      </c>
      <c r="CH396" s="58">
        <f t="shared" ca="1" si="1781"/>
        <v>46113</v>
      </c>
      <c r="CI396" s="58" t="str">
        <f t="shared" ca="1" si="1781"/>
        <v>X</v>
      </c>
      <c r="CJ396" s="58" t="str">
        <f t="shared" ca="1" si="1781"/>
        <v>X</v>
      </c>
      <c r="CK396" s="58" t="str">
        <f t="shared" ca="1" si="1781"/>
        <v>X</v>
      </c>
      <c r="CL396" s="58" t="str">
        <f t="shared" ca="1" si="1781"/>
        <v>X</v>
      </c>
      <c r="CM396" s="58" t="str">
        <f t="shared" ca="1" si="1781"/>
        <v>X</v>
      </c>
      <c r="CN396" s="58" t="str">
        <f t="shared" ca="1" si="1781"/>
        <v>X</v>
      </c>
      <c r="CO396" s="58" t="str">
        <f t="shared" ca="1" si="1781"/>
        <v>X</v>
      </c>
      <c r="CP396" s="58" t="str">
        <f t="shared" ca="1" si="1781"/>
        <v>X</v>
      </c>
      <c r="CQ396" s="58" t="str">
        <f t="shared" ca="1" si="1781"/>
        <v>X</v>
      </c>
      <c r="CR396" s="58" t="str">
        <f t="shared" ca="1" si="1781"/>
        <v>X</v>
      </c>
      <c r="CS396" s="58" t="str">
        <f t="shared" ca="1" si="1781"/>
        <v>X</v>
      </c>
      <c r="CT396" s="58" t="str">
        <f t="shared" ca="1" si="1781"/>
        <v>X</v>
      </c>
      <c r="CU396" s="58" t="str">
        <f t="shared" ca="1" si="1781"/>
        <v>X</v>
      </c>
      <c r="CV396" s="58" t="str">
        <f t="shared" ca="1" si="1781"/>
        <v>X</v>
      </c>
      <c r="CW396" s="58" t="str">
        <f t="shared" ca="1" si="1781"/>
        <v>X</v>
      </c>
      <c r="CX396" s="58" t="str">
        <f t="shared" ca="1" si="1781"/>
        <v>X</v>
      </c>
      <c r="CY396" s="58" t="str">
        <f t="shared" ca="1" si="1781"/>
        <v>X</v>
      </c>
      <c r="CZ396" s="58" t="str">
        <f t="shared" ca="1" si="1781"/>
        <v>X</v>
      </c>
      <c r="DA396" s="58" t="str">
        <f t="shared" ca="1" si="1781"/>
        <v>X</v>
      </c>
      <c r="DB396" s="58" t="str">
        <f t="shared" ca="1" si="1781"/>
        <v>X</v>
      </c>
      <c r="DC396" s="58" t="str">
        <f t="shared" ca="1" si="1781"/>
        <v>X</v>
      </c>
      <c r="DD396" s="58" t="str">
        <f t="shared" ca="1" si="1781"/>
        <v>X</v>
      </c>
      <c r="DE396" s="58" t="str">
        <f t="shared" ca="1" si="1781"/>
        <v>X</v>
      </c>
      <c r="DF396" s="58" t="str">
        <f t="shared" ca="1" si="1781"/>
        <v>X</v>
      </c>
      <c r="DG396" s="58" t="str">
        <f t="shared" ca="1" si="1781"/>
        <v>X</v>
      </c>
      <c r="DH396" s="58" t="str">
        <f t="shared" ca="1" si="1781"/>
        <v>X</v>
      </c>
      <c r="DI396" s="58" t="str">
        <f t="shared" ca="1" si="1781"/>
        <v>X</v>
      </c>
      <c r="DJ396" s="58" t="str">
        <f t="shared" ca="1" si="1781"/>
        <v>X</v>
      </c>
      <c r="DK396" s="58" t="str">
        <f t="shared" ca="1" si="1781"/>
        <v>X</v>
      </c>
      <c r="DL396" s="58" t="str">
        <f t="shared" ca="1" si="1781"/>
        <v>X</v>
      </c>
      <c r="DM396" s="58" t="str">
        <f t="shared" ca="1" si="1781"/>
        <v>X</v>
      </c>
      <c r="DN396" s="58" t="str">
        <f t="shared" ca="1" si="1781"/>
        <v>X</v>
      </c>
      <c r="DO396" s="58" t="str">
        <f t="shared" ca="1" si="1781"/>
        <v>X</v>
      </c>
      <c r="DP396" s="58" t="str">
        <f t="shared" ca="1" si="1781"/>
        <v>X</v>
      </c>
      <c r="DQ396" s="58" t="str">
        <f t="shared" ca="1" si="1781"/>
        <v>X</v>
      </c>
      <c r="DR396" s="58" t="str">
        <f t="shared" ca="1" si="1781"/>
        <v>X</v>
      </c>
      <c r="DS396" s="58" t="str">
        <f t="shared" ca="1" si="1781"/>
        <v>X</v>
      </c>
      <c r="DT396" s="58" t="str">
        <f t="shared" ca="1" si="1781"/>
        <v>X</v>
      </c>
      <c r="DU396" s="58" t="str">
        <f t="shared" ca="1" si="1781"/>
        <v>X</v>
      </c>
      <c r="DV396" s="58" t="str">
        <f t="shared" ca="1" si="1781"/>
        <v>X</v>
      </c>
      <c r="DW396" s="58" t="str">
        <f t="shared" ca="1" si="1781"/>
        <v>X</v>
      </c>
      <c r="DX396" s="58" t="str">
        <f t="shared" ca="1" si="1781"/>
        <v>X</v>
      </c>
      <c r="DY396" s="58" t="str">
        <f t="shared" ca="1" si="1781"/>
        <v>X</v>
      </c>
      <c r="DZ396" s="58" t="str">
        <f t="shared" ca="1" si="1781"/>
        <v>X</v>
      </c>
      <c r="EA396" s="58" t="str">
        <f t="shared" ca="1" si="1781"/>
        <v>X</v>
      </c>
      <c r="EB396" s="58" t="str">
        <f t="shared" ca="1" si="1781"/>
        <v>X</v>
      </c>
      <c r="EC396" s="58" t="str">
        <f t="shared" ca="1" si="1781"/>
        <v>X</v>
      </c>
      <c r="ED396" s="58" t="str">
        <f t="shared" ca="1" si="1781"/>
        <v>X</v>
      </c>
      <c r="EE396" s="58" t="str">
        <f t="shared" ca="1" si="1781"/>
        <v>X</v>
      </c>
      <c r="EF396" s="58" t="str">
        <f t="shared" ca="1" si="1781"/>
        <v>X</v>
      </c>
      <c r="EG396" s="58" t="str">
        <f t="shared" ca="1" si="1781"/>
        <v>X</v>
      </c>
      <c r="EH396" s="58" t="str">
        <f t="shared" ca="1" si="1781"/>
        <v>X</v>
      </c>
      <c r="EI396" s="58" t="str">
        <f t="shared" ca="1" si="1781"/>
        <v>X</v>
      </c>
      <c r="EJ396" s="58" t="str">
        <f t="shared" ca="1" si="1781"/>
        <v>X</v>
      </c>
      <c r="EK396" s="58" t="str">
        <f t="shared" ca="1" si="1781"/>
        <v>X</v>
      </c>
      <c r="EL396" s="58" t="str">
        <f t="shared" ca="1" si="1781"/>
        <v>X</v>
      </c>
      <c r="EM396" s="58" t="str">
        <f t="shared" ca="1" si="1781"/>
        <v>X</v>
      </c>
      <c r="EN396" s="58" t="str">
        <f t="shared" ca="1" si="1781"/>
        <v>X</v>
      </c>
      <c r="EO396" s="58" t="str">
        <f t="shared" ca="1" si="1781"/>
        <v>X</v>
      </c>
      <c r="EP396" s="58" t="str">
        <f t="shared" ca="1" si="1781"/>
        <v>X</v>
      </c>
      <c r="EQ396" s="58" t="str">
        <f t="shared" ca="1" si="1781"/>
        <v>X</v>
      </c>
      <c r="ER396" s="58" t="str">
        <f t="shared" ca="1" si="1781"/>
        <v>X</v>
      </c>
      <c r="ES396" s="58" t="str">
        <f t="shared" ca="1" si="1781"/>
        <v>X</v>
      </c>
      <c r="ET396" s="58" t="str">
        <f t="shared" ca="1" si="1781"/>
        <v>X</v>
      </c>
      <c r="EU396" s="58" t="str">
        <f t="shared" ca="1" si="1781"/>
        <v>X</v>
      </c>
      <c r="EV396" s="58" t="str">
        <f t="shared" ca="1" si="1781"/>
        <v>X</v>
      </c>
      <c r="EW396" s="58" t="str">
        <f t="shared" ca="1" si="1781"/>
        <v>X</v>
      </c>
      <c r="EX396" s="58" t="str">
        <f t="shared" ca="1" si="1781"/>
        <v>X</v>
      </c>
      <c r="EY396" s="58" t="str">
        <f t="shared" ca="1" si="1781"/>
        <v>X</v>
      </c>
      <c r="EZ396" s="58" t="str">
        <f t="shared" ca="1" si="1781"/>
        <v>X</v>
      </c>
      <c r="FA396" s="58" t="str">
        <f t="shared" ca="1" si="1781"/>
        <v>X</v>
      </c>
      <c r="FB396" s="58" t="str">
        <f t="shared" ca="1" si="1781"/>
        <v>X</v>
      </c>
      <c r="FC396" s="58" t="str">
        <f t="shared" ca="1" si="1781"/>
        <v>X</v>
      </c>
      <c r="FD396" s="58" t="str">
        <f t="shared" ca="1" si="1781"/>
        <v>X</v>
      </c>
      <c r="FE396" s="58" t="str">
        <f t="shared" ca="1" si="1781"/>
        <v>X</v>
      </c>
      <c r="FF396" s="58" t="str">
        <f t="shared" ca="1" si="1781"/>
        <v>X</v>
      </c>
      <c r="FG396" s="58" t="str">
        <f t="shared" ca="1" si="1781"/>
        <v>X</v>
      </c>
      <c r="FH396" s="58" t="str">
        <f t="shared" ca="1" si="1781"/>
        <v>X</v>
      </c>
      <c r="FI396" s="58" t="str">
        <f t="shared" ca="1" si="1781"/>
        <v>X</v>
      </c>
      <c r="FJ396" s="58" t="str">
        <f t="shared" ca="1" si="1781"/>
        <v>X</v>
      </c>
      <c r="FK396" s="58" t="str">
        <f t="shared" ca="1" si="1781"/>
        <v>X</v>
      </c>
      <c r="FL396" s="58" t="str">
        <f t="shared" ca="1" si="1781"/>
        <v>X</v>
      </c>
      <c r="FM396" s="58" t="str">
        <f t="shared" ca="1" si="1781"/>
        <v>X</v>
      </c>
      <c r="FN396" s="58" t="str">
        <f t="shared" ca="1" si="1781"/>
        <v>X</v>
      </c>
      <c r="FO396" s="58" t="str">
        <f t="shared" ca="1" si="1781"/>
        <v>X</v>
      </c>
      <c r="FP396" s="58" t="str">
        <f t="shared" ca="1" si="1781"/>
        <v>X</v>
      </c>
      <c r="FQ396" s="58" t="str">
        <f t="shared" ca="1" si="1781"/>
        <v>X</v>
      </c>
      <c r="FR396" s="58" t="str">
        <f t="shared" ca="1" si="1781"/>
        <v>X</v>
      </c>
      <c r="FS396" s="58" t="str">
        <f t="shared" ca="1" si="1781"/>
        <v>X</v>
      </c>
      <c r="FT396" s="58" t="str">
        <f t="shared" ca="1" si="1781"/>
        <v>X</v>
      </c>
      <c r="FU396" s="58" t="str">
        <f t="shared" ca="1" si="1781"/>
        <v>X</v>
      </c>
      <c r="FV396" s="58" t="str">
        <f t="shared" ca="1" si="1781"/>
        <v>X</v>
      </c>
      <c r="FW396" s="58" t="str">
        <f t="shared" ca="1" si="1781"/>
        <v>X</v>
      </c>
      <c r="FX396" s="58" t="str">
        <f t="shared" ca="1" si="1781"/>
        <v>X</v>
      </c>
      <c r="FY396" s="58" t="str">
        <f t="shared" ca="1" si="1781"/>
        <v>X</v>
      </c>
      <c r="FZ396" s="58" t="str">
        <f t="shared" ca="1" si="1781"/>
        <v>X</v>
      </c>
      <c r="GA396" s="58" t="str">
        <f t="shared" ca="1" si="1781"/>
        <v>X</v>
      </c>
      <c r="GB396" s="58" t="str">
        <f t="shared" ca="1" si="1781"/>
        <v>X</v>
      </c>
      <c r="GC396" s="58" t="str">
        <f t="shared" ca="1" si="1781"/>
        <v>X</v>
      </c>
      <c r="GD396" s="58" t="str">
        <f t="shared" ca="1" si="1781"/>
        <v>X</v>
      </c>
      <c r="GE396" s="58" t="str">
        <f t="shared" ca="1" si="1781"/>
        <v>X</v>
      </c>
      <c r="GF396" s="58" t="str">
        <f t="shared" ca="1" si="1781"/>
        <v>X</v>
      </c>
      <c r="GG396" s="58" t="str">
        <f t="shared" ca="1" si="1781"/>
        <v>X</v>
      </c>
      <c r="GH396" s="58" t="str">
        <f t="shared" ca="1" si="1781"/>
        <v>X</v>
      </c>
      <c r="GI396" s="58" t="str">
        <f t="shared" ca="1" si="1781"/>
        <v>X</v>
      </c>
      <c r="GJ396" s="58" t="str">
        <f t="shared" ca="1" si="1781"/>
        <v>X</v>
      </c>
      <c r="GK396" s="58" t="str">
        <f t="shared" ca="1" si="1781"/>
        <v>X</v>
      </c>
      <c r="GL396" s="58" t="str">
        <f t="shared" ca="1" si="1781"/>
        <v>X</v>
      </c>
      <c r="GM396" s="58" t="str">
        <f t="shared" ca="1" si="1781"/>
        <v>X</v>
      </c>
      <c r="GN396" s="58" t="str">
        <f t="shared" ca="1" si="1781"/>
        <v>X</v>
      </c>
      <c r="GO396" s="58" t="str">
        <f t="shared" ca="1" si="1781"/>
        <v>X</v>
      </c>
      <c r="GP396" s="58" t="str">
        <f t="shared" ca="1" si="1781"/>
        <v>X</v>
      </c>
      <c r="GQ396" s="58" t="str">
        <f t="shared" ca="1" si="1781"/>
        <v>X</v>
      </c>
      <c r="GR396" s="58" t="str">
        <f t="shared" ca="1" si="1781"/>
        <v>X</v>
      </c>
      <c r="GS396" s="80" t="str">
        <f t="shared" ca="1" si="1781"/>
        <v>X</v>
      </c>
      <c r="GT396" s="58" t="str">
        <f t="shared" ca="1" si="1781"/>
        <v>X</v>
      </c>
      <c r="GU396" s="82" t="str">
        <f t="shared" ca="1" si="1617"/>
        <v>X</v>
      </c>
      <c r="GV396" s="58" t="str">
        <f t="shared" ca="1" si="1618"/>
        <v>X</v>
      </c>
      <c r="GW396" s="58" t="str">
        <f t="shared" ca="1" si="1619"/>
        <v>X</v>
      </c>
      <c r="GX396" s="58" t="str">
        <f t="shared" ca="1" si="1620"/>
        <v>X</v>
      </c>
      <c r="GY396" s="58" t="str">
        <f t="shared" ca="1" si="1621"/>
        <v>X</v>
      </c>
      <c r="GZ396" s="58" t="str">
        <f t="shared" ca="1" si="1622"/>
        <v>X</v>
      </c>
      <c r="HA396" s="58" t="str">
        <f t="shared" ca="1" si="1623"/>
        <v>X</v>
      </c>
      <c r="HB396" s="58" t="str">
        <f t="shared" ca="1" si="1624"/>
        <v>X</v>
      </c>
      <c r="HC396" s="58" t="str">
        <f t="shared" ca="1" si="1625"/>
        <v>X</v>
      </c>
      <c r="HD396" s="58" t="str">
        <f t="shared" ca="1" si="1626"/>
        <v>X</v>
      </c>
      <c r="HE396" s="58" t="str">
        <f t="shared" ca="1" si="1627"/>
        <v>X</v>
      </c>
      <c r="HF396" s="58" t="str">
        <f t="shared" ca="1" si="1628"/>
        <v>X</v>
      </c>
      <c r="HG396" s="58" t="str">
        <f t="shared" ca="1" si="1629"/>
        <v>X</v>
      </c>
      <c r="HH396" s="58" t="str">
        <f t="shared" ca="1" si="1630"/>
        <v>X</v>
      </c>
      <c r="HI396" s="58" t="str">
        <f t="shared" ca="1" si="1631"/>
        <v>X</v>
      </c>
      <c r="HJ396" s="58" t="str">
        <f t="shared" ca="1" si="1632"/>
        <v>X</v>
      </c>
      <c r="HK396" s="58" t="str">
        <f t="shared" ca="1" si="1633"/>
        <v>X</v>
      </c>
      <c r="HL396" s="58" t="str">
        <f t="shared" ca="1" si="1634"/>
        <v>X</v>
      </c>
      <c r="HM396" s="58" t="str">
        <f t="shared" ca="1" si="1635"/>
        <v>X</v>
      </c>
      <c r="HN396" s="58" t="str">
        <f t="shared" ca="1" si="1636"/>
        <v>X</v>
      </c>
      <c r="HO396" s="58">
        <f t="shared" ca="1" si="1637"/>
        <v>46064</v>
      </c>
      <c r="HP396" s="58">
        <f t="shared" ca="1" si="1638"/>
        <v>46064</v>
      </c>
      <c r="HQ396" s="58">
        <f t="shared" ca="1" si="1639"/>
        <v>46064</v>
      </c>
      <c r="HR396" s="58">
        <f t="shared" ca="1" si="1640"/>
        <v>46064</v>
      </c>
      <c r="HS396" s="58" t="str">
        <f t="shared" ca="1" si="1641"/>
        <v>X</v>
      </c>
      <c r="HT396" s="58" t="str">
        <f t="shared" ca="1" si="1642"/>
        <v>X</v>
      </c>
      <c r="HU396" s="58" t="str">
        <f t="shared" ca="1" si="1643"/>
        <v>X</v>
      </c>
      <c r="HV396" s="58" t="str">
        <f t="shared" ca="1" si="1644"/>
        <v>X</v>
      </c>
      <c r="HW396" s="58" t="str">
        <f t="shared" ca="1" si="1645"/>
        <v>X</v>
      </c>
      <c r="HX396" s="58" t="str">
        <f t="shared" ca="1" si="1646"/>
        <v>X</v>
      </c>
      <c r="HY396" s="58" t="str">
        <f t="shared" ca="1" si="1647"/>
        <v>X</v>
      </c>
      <c r="HZ396" s="58" t="str">
        <f t="shared" ca="1" si="1648"/>
        <v>X</v>
      </c>
      <c r="IA396" s="58" t="str">
        <f t="shared" ca="1" si="1649"/>
        <v>X</v>
      </c>
      <c r="IB396" s="58" t="str">
        <f t="shared" ca="1" si="1650"/>
        <v>X</v>
      </c>
      <c r="IC396" s="58">
        <f t="shared" ca="1" si="1651"/>
        <v>46111</v>
      </c>
      <c r="ID396" s="58">
        <f t="shared" ca="1" si="1652"/>
        <v>46111</v>
      </c>
      <c r="IE396" s="58">
        <f t="shared" ca="1" si="1653"/>
        <v>46111</v>
      </c>
      <c r="IF396" s="58">
        <f t="shared" ca="1" si="1654"/>
        <v>46111</v>
      </c>
      <c r="IG396" s="58" t="str">
        <f t="shared" ca="1" si="1655"/>
        <v>X</v>
      </c>
      <c r="IH396" s="58" t="str">
        <f t="shared" ca="1" si="1656"/>
        <v>X</v>
      </c>
      <c r="II396" s="58" t="str">
        <f t="shared" ca="1" si="1657"/>
        <v>X</v>
      </c>
      <c r="IJ396" s="58" t="str">
        <f t="shared" ca="1" si="1658"/>
        <v>X</v>
      </c>
      <c r="IK396" s="58" t="str">
        <f t="shared" ca="1" si="1659"/>
        <v>X</v>
      </c>
      <c r="IL396" s="58" t="str">
        <f t="shared" ca="1" si="1660"/>
        <v>X</v>
      </c>
      <c r="IM396" s="58" t="str">
        <f t="shared" ca="1" si="1661"/>
        <v>X</v>
      </c>
      <c r="IN396" s="58" t="str">
        <f t="shared" ca="1" si="1662"/>
        <v>X</v>
      </c>
      <c r="IO396" s="58" t="str">
        <f t="shared" ca="1" si="1663"/>
        <v>X</v>
      </c>
      <c r="IP396" s="58" t="str">
        <f t="shared" ca="1" si="1664"/>
        <v>X</v>
      </c>
      <c r="IQ396" s="58">
        <f t="shared" ca="1" si="1665"/>
        <v>46134</v>
      </c>
      <c r="IR396" s="58">
        <f t="shared" ca="1" si="1666"/>
        <v>46134</v>
      </c>
      <c r="IS396" s="58">
        <f t="shared" ca="1" si="1667"/>
        <v>46134</v>
      </c>
      <c r="IT396" s="58">
        <f t="shared" ca="1" si="1668"/>
        <v>46134</v>
      </c>
      <c r="IU396" s="58" t="str">
        <f t="shared" ca="1" si="1669"/>
        <v>X</v>
      </c>
      <c r="IV396" s="58" t="str">
        <f t="shared" ca="1" si="1670"/>
        <v>X</v>
      </c>
      <c r="IW396" s="58" t="str">
        <f t="shared" ca="1" si="1671"/>
        <v>X</v>
      </c>
      <c r="IX396" s="58" t="str">
        <f t="shared" ca="1" si="1672"/>
        <v>X</v>
      </c>
      <c r="IY396" s="58" t="str">
        <f t="shared" ca="1" si="1673"/>
        <v>X</v>
      </c>
      <c r="IZ396" s="58" t="str">
        <f t="shared" ca="1" si="1674"/>
        <v>X</v>
      </c>
      <c r="JA396" s="58" t="str">
        <f t="shared" ca="1" si="1675"/>
        <v>X</v>
      </c>
      <c r="JB396" s="58" t="str">
        <f t="shared" ca="1" si="1676"/>
        <v>X</v>
      </c>
      <c r="JC396" s="58" t="str">
        <f t="shared" ca="1" si="1677"/>
        <v>X</v>
      </c>
      <c r="JD396" s="58" t="str">
        <f t="shared" ca="1" si="1678"/>
        <v>X</v>
      </c>
      <c r="JE396" s="58" t="str">
        <f t="shared" ca="1" si="1679"/>
        <v>X</v>
      </c>
      <c r="JF396" s="58" t="str">
        <f t="shared" ca="1" si="1680"/>
        <v>X</v>
      </c>
      <c r="JG396" s="58" t="str">
        <f t="shared" ca="1" si="1681"/>
        <v>X</v>
      </c>
      <c r="JH396" s="58" t="str">
        <f t="shared" ca="1" si="1682"/>
        <v>X</v>
      </c>
      <c r="JI396" s="58" t="str">
        <f t="shared" ca="1" si="1683"/>
        <v>X</v>
      </c>
      <c r="JJ396" s="58" t="str">
        <f t="shared" ca="1" si="1684"/>
        <v>X</v>
      </c>
      <c r="JK396" s="58" t="str">
        <f t="shared" ca="1" si="1685"/>
        <v>X</v>
      </c>
      <c r="JL396" s="58" t="str">
        <f t="shared" ca="1" si="1686"/>
        <v>X</v>
      </c>
      <c r="JM396" s="58" t="str">
        <f t="shared" ca="1" si="1687"/>
        <v>X</v>
      </c>
      <c r="JN396" s="58" t="str">
        <f t="shared" ca="1" si="1688"/>
        <v>X</v>
      </c>
      <c r="JO396" s="58" t="str">
        <f t="shared" ca="1" si="1689"/>
        <v>X</v>
      </c>
      <c r="JP396" s="58" t="str">
        <f t="shared" ca="1" si="1690"/>
        <v>X</v>
      </c>
      <c r="JQ396" s="58" t="str">
        <f t="shared" ca="1" si="1691"/>
        <v>X</v>
      </c>
      <c r="JR396" s="58" t="str">
        <f t="shared" ca="1" si="1692"/>
        <v>X</v>
      </c>
      <c r="JS396" s="58" t="str">
        <f t="shared" ca="1" si="1693"/>
        <v>X</v>
      </c>
      <c r="JT396" s="58" t="str">
        <f t="shared" ca="1" si="1694"/>
        <v>X</v>
      </c>
      <c r="JU396" s="58" t="str">
        <f t="shared" ca="1" si="1695"/>
        <v>X</v>
      </c>
      <c r="JV396" s="58" t="str">
        <f t="shared" ca="1" si="1696"/>
        <v>X</v>
      </c>
      <c r="JW396" s="58" t="str">
        <f t="shared" ca="1" si="1697"/>
        <v>X</v>
      </c>
      <c r="JX396" s="58" t="str">
        <f t="shared" ca="1" si="1698"/>
        <v>X</v>
      </c>
      <c r="JY396" s="58" t="str">
        <f t="shared" ca="1" si="1699"/>
        <v>X</v>
      </c>
      <c r="JZ396" s="58" t="str">
        <f t="shared" ca="1" si="1700"/>
        <v>X</v>
      </c>
      <c r="KA396" s="58" t="str">
        <f t="shared" ca="1" si="1701"/>
        <v>X</v>
      </c>
      <c r="KB396" s="58" t="str">
        <f t="shared" ca="1" si="1702"/>
        <v>X</v>
      </c>
      <c r="KC396" s="58" t="str">
        <f t="shared" ca="1" si="1703"/>
        <v>X</v>
      </c>
      <c r="KD396" s="58" t="str">
        <f t="shared" ca="1" si="1704"/>
        <v>X</v>
      </c>
      <c r="KE396" s="58" t="str">
        <f t="shared" ca="1" si="1705"/>
        <v>X</v>
      </c>
      <c r="KF396" s="58" t="str">
        <f t="shared" ca="1" si="1706"/>
        <v>X</v>
      </c>
      <c r="KG396" s="58" t="str">
        <f t="shared" ca="1" si="1707"/>
        <v>X</v>
      </c>
      <c r="KH396" s="58" t="str">
        <f t="shared" ca="1" si="1708"/>
        <v>X</v>
      </c>
      <c r="KI396" s="58" t="str">
        <f t="shared" ca="1" si="1709"/>
        <v>X</v>
      </c>
      <c r="KJ396" s="58" t="str">
        <f t="shared" ca="1" si="1710"/>
        <v>X</v>
      </c>
      <c r="KK396" s="58" t="str">
        <f t="shared" ca="1" si="1711"/>
        <v>X</v>
      </c>
      <c r="KL396" s="58" t="str">
        <f t="shared" ca="1" si="1712"/>
        <v>X</v>
      </c>
      <c r="KM396" s="58" t="str">
        <f t="shared" ca="1" si="1713"/>
        <v>X</v>
      </c>
      <c r="KN396" s="58" t="str">
        <f t="shared" ca="1" si="1714"/>
        <v>X</v>
      </c>
      <c r="KO396" s="58" t="str">
        <f t="shared" ca="1" si="1715"/>
        <v>X</v>
      </c>
      <c r="KP396" s="58" t="str">
        <f t="shared" ca="1" si="1716"/>
        <v>X</v>
      </c>
      <c r="KQ396" s="58" t="str">
        <f t="shared" ca="1" si="1717"/>
        <v>X</v>
      </c>
      <c r="KR396" s="58" t="str">
        <f t="shared" ca="1" si="1718"/>
        <v>X</v>
      </c>
      <c r="KS396" s="58" t="str">
        <f t="shared" ca="1" si="1719"/>
        <v>X</v>
      </c>
      <c r="KT396" s="58" t="str">
        <f t="shared" ca="1" si="1720"/>
        <v>X</v>
      </c>
      <c r="KU396" s="58" t="str">
        <f t="shared" ca="1" si="1721"/>
        <v>X</v>
      </c>
      <c r="KV396" s="58" t="str">
        <f t="shared" ca="1" si="1722"/>
        <v>X</v>
      </c>
      <c r="KW396" s="58" t="str">
        <f t="shared" ca="1" si="1723"/>
        <v>X</v>
      </c>
      <c r="KX396" s="58" t="str">
        <f t="shared" ca="1" si="1724"/>
        <v>X</v>
      </c>
      <c r="KY396" s="58" t="str">
        <f t="shared" ca="1" si="1725"/>
        <v>X</v>
      </c>
      <c r="KZ396" s="58" t="str">
        <f t="shared" ca="1" si="1726"/>
        <v>X</v>
      </c>
      <c r="LA396" s="58" t="str">
        <f t="shared" ca="1" si="1727"/>
        <v>X</v>
      </c>
      <c r="LB396" s="58" t="str">
        <f t="shared" ca="1" si="1728"/>
        <v>X</v>
      </c>
      <c r="LC396" s="58" t="str">
        <f t="shared" ca="1" si="1729"/>
        <v>X</v>
      </c>
      <c r="LD396" s="58" t="str">
        <f t="shared" ca="1" si="1730"/>
        <v>X</v>
      </c>
      <c r="LE396" s="58" t="str">
        <f t="shared" ca="1" si="1731"/>
        <v>X</v>
      </c>
      <c r="LF396" s="58" t="str">
        <f t="shared" ca="1" si="1732"/>
        <v>X</v>
      </c>
      <c r="LG396" s="58" t="str">
        <f t="shared" ca="1" si="1733"/>
        <v>X</v>
      </c>
      <c r="LH396" s="58" t="str">
        <f t="shared" ca="1" si="1734"/>
        <v>X</v>
      </c>
      <c r="LI396" s="58" t="str">
        <f t="shared" ca="1" si="1735"/>
        <v>X</v>
      </c>
      <c r="LJ396" s="58" t="str">
        <f t="shared" ca="1" si="1736"/>
        <v>X</v>
      </c>
      <c r="LK396" s="58" t="str">
        <f t="shared" ca="1" si="1737"/>
        <v>X</v>
      </c>
      <c r="LL396" s="58" t="str">
        <f t="shared" ca="1" si="1738"/>
        <v>X</v>
      </c>
      <c r="LM396" s="58" t="str">
        <f t="shared" ca="1" si="1739"/>
        <v>X</v>
      </c>
      <c r="LN396" s="58" t="str">
        <f t="shared" ca="1" si="1740"/>
        <v>X</v>
      </c>
      <c r="LO396" s="58" t="str">
        <f t="shared" ca="1" si="1741"/>
        <v>X</v>
      </c>
      <c r="LP396" s="58" t="str">
        <f t="shared" ca="1" si="1742"/>
        <v>X</v>
      </c>
      <c r="LQ396" s="58" t="str">
        <f t="shared" ca="1" si="1743"/>
        <v>X</v>
      </c>
      <c r="LR396" s="58" t="str">
        <f t="shared" ca="1" si="1744"/>
        <v>X</v>
      </c>
      <c r="LS396" s="58" t="str">
        <f t="shared" ca="1" si="1745"/>
        <v>X</v>
      </c>
      <c r="LT396" s="58" t="str">
        <f t="shared" ca="1" si="1746"/>
        <v>X</v>
      </c>
      <c r="LU396" s="58" t="str">
        <f t="shared" ca="1" si="1747"/>
        <v>X</v>
      </c>
      <c r="LV396" s="58" t="str">
        <f t="shared" ca="1" si="1748"/>
        <v>X</v>
      </c>
      <c r="LW396" s="58" t="str">
        <f t="shared" ca="1" si="1749"/>
        <v>X</v>
      </c>
      <c r="LX396" s="58" t="str">
        <f t="shared" ca="1" si="1750"/>
        <v>X</v>
      </c>
      <c r="LY396" s="58" t="str">
        <f t="shared" ca="1" si="1751"/>
        <v>X</v>
      </c>
      <c r="LZ396" s="58" t="str">
        <f t="shared" ca="1" si="1752"/>
        <v>X</v>
      </c>
      <c r="MA396" s="58" t="str">
        <f t="shared" ca="1" si="1753"/>
        <v>X</v>
      </c>
      <c r="MB396" s="58" t="str">
        <f t="shared" ca="1" si="1754"/>
        <v>X</v>
      </c>
      <c r="MC396" s="58" t="str">
        <f t="shared" ca="1" si="1755"/>
        <v>X</v>
      </c>
      <c r="MD396" s="58" t="str">
        <f t="shared" ca="1" si="1756"/>
        <v>X</v>
      </c>
      <c r="ME396" s="58" t="str">
        <f t="shared" ca="1" si="1757"/>
        <v>X</v>
      </c>
      <c r="MF396" s="58" t="str">
        <f t="shared" ca="1" si="1758"/>
        <v>X</v>
      </c>
      <c r="MG396" s="58" t="str">
        <f t="shared" ca="1" si="1759"/>
        <v>X</v>
      </c>
      <c r="MH396" s="58" t="str">
        <f t="shared" ca="1" si="1760"/>
        <v>X</v>
      </c>
      <c r="MI396" s="58" t="str">
        <f t="shared" ca="1" si="1761"/>
        <v>X</v>
      </c>
      <c r="MJ396" s="58" t="str">
        <f t="shared" ca="1" si="1762"/>
        <v>X</v>
      </c>
      <c r="MK396" s="58" t="str">
        <f t="shared" ca="1" si="1763"/>
        <v>X</v>
      </c>
      <c r="ML396" s="58" t="str">
        <f t="shared" ca="1" si="1764"/>
        <v>X</v>
      </c>
      <c r="MM396" s="58" t="str">
        <f t="shared" ca="1" si="1765"/>
        <v>X</v>
      </c>
      <c r="MN396" s="58" t="str">
        <f t="shared" ca="1" si="1766"/>
        <v>X</v>
      </c>
      <c r="MO396" s="58" t="str">
        <f t="shared" ca="1" si="1767"/>
        <v>X</v>
      </c>
      <c r="MP396" s="58" t="str">
        <f t="shared" ca="1" si="1768"/>
        <v>X</v>
      </c>
      <c r="MQ396" s="58" t="str">
        <f t="shared" ca="1" si="1769"/>
        <v>X</v>
      </c>
      <c r="MR396" s="58" t="str">
        <f t="shared" ca="1" si="1770"/>
        <v>X</v>
      </c>
      <c r="MS396" s="58" t="str">
        <f t="shared" ca="1" si="1771"/>
        <v>X</v>
      </c>
      <c r="MT396" s="58" t="str">
        <f t="shared" ref="MT396:NE396" ca="1" si="1782">IF($K396=INDIRECT(CONCATENATE("$AG$"&amp;GH$392)),INDIRECT(CONCATENATE("$AG$"&amp;GH$391)),
IF($K396=INDIRECT(CONCATENATE("$AF$"&amp;GH$392)),INDIRECT(CONCATENATE("$AF$"&amp;GH$391)),
IF($K396=INDIRECT(CONCATENATE("$AE$"&amp;GH$392)),INDIRECT(CONCATENATE("$AE$"&amp;GH$391)),
IF($K396=INDIRECT(CONCATENATE("$AD$"&amp;GH$392)),INDIRECT(CONCATENATE("$AD$"&amp;GH$391)),
IF($K396=INDIRECT(CONCATENATE("$AC$"&amp;GH$392)),INDIRECT(CONCATENATE("$AC$"&amp;GH$391)),
IF($K396=INDIRECT(CONCATENATE("$AB$"&amp;GH$392)),INDIRECT(CONCATENATE("$AB$"&amp;GH$391)),
IF($K396=INDIRECT(CONCATENATE("$AA$"&amp;GH$392)),INDIRECT(CONCATENATE("$AA$"&amp;GH$391)),
IF($K396=INDIRECT(CONCATENATE("$Z$"&amp;GH$392)),INDIRECT(CONCATENATE("$Z$"&amp;GH$391)),
IF($K396=INDIRECT(CONCATENATE("$Y$"&amp;GH$392)),INDIRECT(CONCATENATE("$Y$"&amp;GH$391)),
IF($K396=INDIRECT(CONCATENATE("$X$"&amp;GH$392)),INDIRECT(CONCATENATE("$X$"&amp;GH$391)),
IF($K396=INDIRECT(CONCATENATE("$W$"&amp;GH$392)),INDIRECT(CONCATENATE("$W$"&amp;GH$391)),
IF($K396=INDIRECT(CONCATENATE("$V$"&amp;GH$392)),INDIRECT(CONCATENATE("$V$"&amp;GH$391)),
IF($K396=INDIRECT(CONCATENATE("$U$"&amp;GH$392)),INDIRECT(CONCATENATE("$U$"&amp;GH$391)),
IF($K396=INDIRECT(CONCATENATE("$T$"&amp;GH$392)),INDIRECT(CONCATENATE("$T$"&amp;GH$391)),
IF($K396=INDIRECT(CONCATENATE("$S$"&amp;GH$392)),INDIRECT(CONCATENATE("$S$"&amp;GH$391)),
IF($K396=INDIRECT(CONCATENATE("$R$"&amp;GH$392)),INDIRECT(CONCATENATE("$R$"&amp;GH$391)),
IF($K396=INDIRECT(CONCATENATE("$Q$"&amp;GH$392)),INDIRECT(CONCATENATE("$Q$"&amp;GH$391)),
IF($K396=INDIRECT(CONCATENATE("$P$"&amp;GH$392)),INDIRECT(CONCATENATE("$P$"&amp;GH$391)),
IF($K396=INDIRECT(CONCATENATE("$O$"&amp;GH$392)),INDIRECT(CONCATENATE("$O$"&amp;GH$391)),
IF($K396=INDIRECT(CONCATENATE("$N$"&amp;GH$392)),INDIRECT(CONCATENATE("$N$"&amp;GH$391)),
IF($K396=INDIRECT(CONCATENATE("$M$"&amp;GH$392)),INDIRECT(CONCATENATE("$M$"&amp;GH$391)),
IF($K396=INDIRECT(CONCATENATE("$L$"&amp;GH$392)),INDIRECT(CONCATENATE("$L$"&amp;GH$391)),
IF($K396=INDIRECT(CONCATENATE("$K$"&amp;GH$392)),INDIRECT(CONCATENATE("$K$"&amp;GH$391)),
IF($K396=INDIRECT(CONCATENATE("$J$"&amp;GH$392)),INDIRECT(CONCATENATE("$J$"&amp;GH$391)),
IF($K396=INDIRECT(CONCATENATE("$I$"&amp;GH$392)),INDIRECT(CONCATENATE("$I$"&amp;GH$391)),
IF($K396=INDIRECT(CONCATENATE("$H$"&amp;GH$392)),INDIRECT(CONCATENATE("$H$"&amp;GH$391)),
IF($K396=INDIRECT(CONCATENATE("$G$"&amp;GH$392)),INDIRECT(CONCATENATE("$G$"&amp;GH$391)),
IF($K396=INDIRECT(CONCATENATE("$F$"&amp;GH$392)),INDIRECT(CONCATENATE("$F$"&amp;GH$391)),
IF($K396=INDIRECT(CONCATENATE("$E$"&amp;GH$392)),INDIRECT(CONCATENATE("$E$"&amp;GH$391)),
IF($K396=INDIRECT(CONCATENATE("$D$"&amp;GH$392)),INDIRECT(CONCATENATE("$D$"&amp;GH$391)),
IF($K396=INDIRECT(CONCATENATE("$C$"&amp;GH$392)),INDIRECT(CONCATENATE("$C$"&amp;GH$391)),"X")))))))))))))))))))))))))))))))</f>
        <v>X</v>
      </c>
      <c r="MU396" s="58" t="str">
        <f t="shared" ca="1" si="1782"/>
        <v>X</v>
      </c>
      <c r="MV396" s="58" t="str">
        <f t="shared" ca="1" si="1782"/>
        <v>X</v>
      </c>
      <c r="MW396" s="58" t="str">
        <f t="shared" ca="1" si="1782"/>
        <v>X</v>
      </c>
      <c r="MX396" s="58" t="str">
        <f t="shared" ca="1" si="1782"/>
        <v>X</v>
      </c>
      <c r="MY396" s="58" t="str">
        <f t="shared" ca="1" si="1782"/>
        <v>X</v>
      </c>
      <c r="MZ396" s="58" t="str">
        <f t="shared" ca="1" si="1782"/>
        <v>X</v>
      </c>
      <c r="NA396" s="58" t="str">
        <f t="shared" ca="1" si="1782"/>
        <v>X</v>
      </c>
      <c r="NB396" s="58" t="str">
        <f t="shared" ca="1" si="1782"/>
        <v>X</v>
      </c>
      <c r="NC396" s="58" t="str">
        <f t="shared" ca="1" si="1782"/>
        <v>X</v>
      </c>
      <c r="ND396" s="58" t="str">
        <f t="shared" ca="1" si="1782"/>
        <v>X</v>
      </c>
      <c r="NE396" s="58" t="str">
        <f t="shared" ca="1" si="1782"/>
        <v>X</v>
      </c>
      <c r="NF396" s="58" t="str">
        <f t="shared" ca="1" si="1773"/>
        <v>X</v>
      </c>
      <c r="NG396" s="58" t="str">
        <f t="shared" ca="1" si="1774"/>
        <v>X</v>
      </c>
    </row>
    <row r="397" spans="1:371" ht="18" customHeight="1">
      <c r="A397" s="241" t="s">
        <v>88</v>
      </c>
      <c r="B397" s="271"/>
      <c r="C397" s="271"/>
      <c r="D397" s="271"/>
      <c r="E397" s="271"/>
      <c r="F397" s="271"/>
      <c r="G397" s="271"/>
      <c r="H397" s="271"/>
      <c r="I397" s="271"/>
      <c r="J397" s="272"/>
      <c r="K397" s="237" t="s">
        <v>27</v>
      </c>
      <c r="L397" s="279"/>
      <c r="M397" s="55">
        <v>4</v>
      </c>
      <c r="N397" s="225" t="s">
        <v>86</v>
      </c>
      <c r="O397" s="274"/>
      <c r="P397" s="274"/>
      <c r="Q397" s="274"/>
      <c r="R397" s="275"/>
      <c r="S397" s="226">
        <v>101705</v>
      </c>
      <c r="T397" s="276"/>
      <c r="U397" s="277"/>
      <c r="V397" s="227" t="s">
        <v>89</v>
      </c>
      <c r="W397" s="278"/>
      <c r="X397" s="56">
        <f t="shared" ca="1" si="1775"/>
        <v>46055</v>
      </c>
      <c r="Y397" s="56">
        <f t="shared" ca="1" si="1776"/>
        <v>46055</v>
      </c>
      <c r="Z397" s="228" t="str">
        <f t="shared" ca="1" si="1612"/>
        <v>CONCLUÍDA</v>
      </c>
      <c r="AA397" s="304"/>
      <c r="AB397" s="303"/>
      <c r="AC397" s="224">
        <f t="shared" si="1777"/>
        <v>4</v>
      </c>
      <c r="AD397" s="303"/>
      <c r="AE397" s="229">
        <f t="shared" si="1778"/>
        <v>0</v>
      </c>
      <c r="AF397" s="303"/>
      <c r="AG397" s="57" t="str">
        <f t="shared" si="1615"/>
        <v>OK</v>
      </c>
      <c r="AH397" s="59"/>
      <c r="AI397" s="70"/>
      <c r="AJ397" s="58" t="str">
        <f t="shared" ref="AJ397:GT397" ca="1" si="1783">IF($K397=INDIRECT(CONCATENATE("$C$"&amp;AJ$392)), INDIRECT(CONCATENATE("$C$"&amp;AJ$391)),
IF($K397=INDIRECT(CONCATENATE("$D$"&amp;AJ$392)), INDIRECT(CONCATENATE("$D$"&amp;AJ$391)),
IF($K397=INDIRECT(CONCATENATE("$E$"&amp;AJ$392)), INDIRECT(CONCATENATE("$E$"&amp;AJ$391)),
IF($K397=INDIRECT(CONCATENATE("$F$"&amp;AJ$392)), INDIRECT(CONCATENATE("$F$"&amp;AJ$391)),
IF($K397=INDIRECT(CONCATENATE("$G$"&amp;AJ$392)), INDIRECT(CONCATENATE("$G$"&amp;AJ$391)),
IF($K397=INDIRECT(CONCATENATE("$H$"&amp;AJ$392)), INDIRECT(CONCATENATE("$H$"&amp;AJ$391)),
IF($K397=INDIRECT(CONCATENATE("$I$"&amp;AJ$392)), INDIRECT(CONCATENATE("$I$"&amp;AJ$391)),
IF($K397=INDIRECT(CONCATENATE("$J$"&amp;AJ$392)), INDIRECT(CONCATENATE("$J$"&amp;AJ$391)),
IF($K397=INDIRECT(CONCATENATE("$K$"&amp;AJ$392)), INDIRECT(CONCATENATE("$K$"&amp;AJ$391)),
IF($K397=INDIRECT(CONCATENATE("$L$"&amp;AJ$392)), INDIRECT(CONCATENATE("$L$"&amp;AJ$391)),
IF($K397=INDIRECT(CONCATENATE("$M$"&amp;AJ$392)), INDIRECT(CONCATENATE("$M$"&amp;AJ$391)),
IF($K397=INDIRECT(CONCATENATE("$N$"&amp;AJ$392)), INDIRECT(CONCATENATE("$N$"&amp;AJ$391)),
IF($K397=INDIRECT(CONCATENATE("$O$"&amp;AJ$392)), INDIRECT(CONCATENATE("$O$"&amp;AJ$391)),
IF($K397=INDIRECT(CONCATENATE("$P$"&amp;AJ$392)), INDIRECT(CONCATENATE("$P$"&amp;AJ$391)),
IF($K397=INDIRECT(CONCATENATE("$Q$"&amp;AJ$392)), INDIRECT(CONCATENATE("$Q$"&amp;AJ$391)),
IF($K397=INDIRECT(CONCATENATE("$R$"&amp;AJ$392)), INDIRECT(CONCATENATE("$R$"&amp;AJ$391)),
IF($K397=INDIRECT(CONCATENATE("$S$"&amp;AJ$392)), INDIRECT(CONCATENATE("$S$"&amp;AJ$391)),
IF($K397=INDIRECT(CONCATENATE("$T$"&amp;AJ$392)), INDIRECT(CONCATENATE("$T$"&amp;AJ$391)),
IF($K397=INDIRECT(CONCATENATE("$U$"&amp;AJ$392)), INDIRECT(CONCATENATE("$U$"&amp;AJ$391)),
IF($K397=INDIRECT(CONCATENATE("$V$"&amp;AJ$392)), INDIRECT(CONCATENATE("$V$"&amp;AJ$391)),
IF($K397=INDIRECT(CONCATENATE("$W$"&amp;AJ$392)), INDIRECT(CONCATENATE("$W$"&amp;AJ$391)),
IF($K397=INDIRECT(CONCATENATE("$X$"&amp;AJ$392)), INDIRECT(CONCATENATE("$X$"&amp;AJ$391)),
IF($K397=INDIRECT(CONCATENATE("$Y$"&amp;AJ$392)), INDIRECT(CONCATENATE("$Y$"&amp;AJ$391)),
IF($K397=INDIRECT(CONCATENATE("$Z$"&amp;AJ$392)), INDIRECT(CONCATENATE("$Z$"&amp;AJ$391)),
IF($K397=INDIRECT(CONCATENATE("$AA$"&amp;AJ$392)), INDIRECT(CONCATENATE("$AA$"&amp;AJ$391)),
IF($K397=INDIRECT(CONCATENATE("$AB$"&amp;AJ$392)), INDIRECT(CONCATENATE("$AB$"&amp;AJ$391)),
IF($K397=INDIRECT(CONCATENATE("$AC$"&amp;AJ$392)), INDIRECT(CONCATENATE("$AC$"&amp;AJ$391)),
IF($K397=INDIRECT(CONCATENATE("$AD$"&amp;AJ$392)), INDIRECT(CONCATENATE("$AD$"&amp;AJ$391)),
IF($K397=INDIRECT(CONCATENATE("$AE$"&amp;AJ$392)), INDIRECT(CONCATENATE("$AE$"&amp;AJ$391)),
IF($K397=INDIRECT(CONCATENATE("$AF$"&amp;AJ$392)), INDIRECT(CONCATENATE("$AF$"&amp;AJ$391)),
IF($K397=INDIRECT(CONCATENATE("$AG$"&amp;AJ$392)), INDIRECT(CONCATENATE("$AG$"&amp;AJ$391)),"X")))))))))))))))))))))))))))))))</f>
        <v>X</v>
      </c>
      <c r="AK397" s="58" t="str">
        <f t="shared" ca="1" si="1783"/>
        <v>X</v>
      </c>
      <c r="AL397" s="58" t="str">
        <f t="shared" ca="1" si="1783"/>
        <v>X</v>
      </c>
      <c r="AM397" s="58" t="str">
        <f t="shared" ca="1" si="1783"/>
        <v>X</v>
      </c>
      <c r="AN397" s="58" t="str">
        <f t="shared" ca="1" si="1783"/>
        <v>X</v>
      </c>
      <c r="AO397" s="58" t="str">
        <f t="shared" ca="1" si="1783"/>
        <v>X</v>
      </c>
      <c r="AP397" s="58" t="str">
        <f t="shared" ca="1" si="1783"/>
        <v>X</v>
      </c>
      <c r="AQ397" s="58" t="str">
        <f t="shared" ca="1" si="1783"/>
        <v>X</v>
      </c>
      <c r="AR397" s="58" t="str">
        <f t="shared" ca="1" si="1783"/>
        <v>X</v>
      </c>
      <c r="AS397" s="58" t="str">
        <f t="shared" ca="1" si="1783"/>
        <v>X</v>
      </c>
      <c r="AT397" s="58" t="str">
        <f t="shared" ca="1" si="1783"/>
        <v>X</v>
      </c>
      <c r="AU397" s="58" t="str">
        <f t="shared" ca="1" si="1783"/>
        <v>X</v>
      </c>
      <c r="AV397" s="58" t="str">
        <f t="shared" ca="1" si="1783"/>
        <v>X</v>
      </c>
      <c r="AW397" s="58" t="str">
        <f t="shared" ca="1" si="1783"/>
        <v>X</v>
      </c>
      <c r="AX397" s="58">
        <f t="shared" ca="1" si="1783"/>
        <v>46055</v>
      </c>
      <c r="AY397" s="58">
        <f t="shared" ca="1" si="1783"/>
        <v>46055</v>
      </c>
      <c r="AZ397" s="58">
        <f t="shared" ca="1" si="1783"/>
        <v>46055</v>
      </c>
      <c r="BA397" s="58">
        <f t="shared" ca="1" si="1783"/>
        <v>46055</v>
      </c>
      <c r="BB397" s="58" t="str">
        <f t="shared" ca="1" si="1783"/>
        <v>X</v>
      </c>
      <c r="BC397" s="58" t="str">
        <f t="shared" ca="1" si="1783"/>
        <v>X</v>
      </c>
      <c r="BD397" s="58" t="str">
        <f t="shared" ca="1" si="1783"/>
        <v>X</v>
      </c>
      <c r="BE397" s="58" t="str">
        <f t="shared" ca="1" si="1783"/>
        <v>X</v>
      </c>
      <c r="BF397" s="58" t="str">
        <f t="shared" ca="1" si="1783"/>
        <v>X</v>
      </c>
      <c r="BG397" s="58" t="str">
        <f t="shared" ca="1" si="1783"/>
        <v>X</v>
      </c>
      <c r="BH397" s="58" t="str">
        <f t="shared" ca="1" si="1783"/>
        <v>X</v>
      </c>
      <c r="BI397" s="58" t="str">
        <f t="shared" ca="1" si="1783"/>
        <v>X</v>
      </c>
      <c r="BJ397" s="58" t="str">
        <f t="shared" ca="1" si="1783"/>
        <v>X</v>
      </c>
      <c r="BK397" s="58" t="str">
        <f t="shared" ca="1" si="1783"/>
        <v>X</v>
      </c>
      <c r="BL397" s="58" t="str">
        <f t="shared" ca="1" si="1783"/>
        <v>X</v>
      </c>
      <c r="BM397" s="58" t="str">
        <f t="shared" ca="1" si="1783"/>
        <v>X</v>
      </c>
      <c r="BN397" s="58" t="str">
        <f t="shared" ca="1" si="1783"/>
        <v>X</v>
      </c>
      <c r="BO397" s="58" t="str">
        <f t="shared" ca="1" si="1783"/>
        <v>X</v>
      </c>
      <c r="BP397" s="58" t="str">
        <f t="shared" ca="1" si="1783"/>
        <v>X</v>
      </c>
      <c r="BQ397" s="58" t="str">
        <f t="shared" ca="1" si="1783"/>
        <v>X</v>
      </c>
      <c r="BR397" s="58" t="str">
        <f t="shared" ca="1" si="1783"/>
        <v>X</v>
      </c>
      <c r="BS397" s="58" t="str">
        <f t="shared" ca="1" si="1783"/>
        <v>X</v>
      </c>
      <c r="BT397" s="58" t="str">
        <f t="shared" ca="1" si="1783"/>
        <v>X</v>
      </c>
      <c r="BU397" s="58" t="str">
        <f t="shared" ca="1" si="1783"/>
        <v>X</v>
      </c>
      <c r="BV397" s="58" t="str">
        <f t="shared" ca="1" si="1783"/>
        <v>X</v>
      </c>
      <c r="BW397" s="58" t="str">
        <f t="shared" ca="1" si="1783"/>
        <v>X</v>
      </c>
      <c r="BX397" s="58" t="str">
        <f t="shared" ca="1" si="1783"/>
        <v>X</v>
      </c>
      <c r="BY397" s="58" t="str">
        <f t="shared" ca="1" si="1783"/>
        <v>X</v>
      </c>
      <c r="BZ397" s="58" t="str">
        <f t="shared" ca="1" si="1783"/>
        <v>X</v>
      </c>
      <c r="CA397" s="58" t="str">
        <f t="shared" ca="1" si="1783"/>
        <v>X</v>
      </c>
      <c r="CB397" s="58" t="str">
        <f t="shared" ca="1" si="1783"/>
        <v>X</v>
      </c>
      <c r="CC397" s="58" t="str">
        <f t="shared" ca="1" si="1783"/>
        <v>X</v>
      </c>
      <c r="CD397" s="58" t="str">
        <f t="shared" ca="1" si="1783"/>
        <v>X</v>
      </c>
      <c r="CE397" s="58" t="str">
        <f t="shared" ca="1" si="1783"/>
        <v>X</v>
      </c>
      <c r="CF397" s="58" t="str">
        <f t="shared" ca="1" si="1783"/>
        <v>X</v>
      </c>
      <c r="CG397" s="58" t="str">
        <f t="shared" ca="1" si="1783"/>
        <v>X</v>
      </c>
      <c r="CH397" s="58" t="str">
        <f t="shared" ca="1" si="1783"/>
        <v>X</v>
      </c>
      <c r="CI397" s="58" t="str">
        <f t="shared" ca="1" si="1783"/>
        <v>X</v>
      </c>
      <c r="CJ397" s="58" t="str">
        <f t="shared" ca="1" si="1783"/>
        <v>X</v>
      </c>
      <c r="CK397" s="58" t="str">
        <f t="shared" ca="1" si="1783"/>
        <v>X</v>
      </c>
      <c r="CL397" s="58" t="str">
        <f t="shared" ca="1" si="1783"/>
        <v>X</v>
      </c>
      <c r="CM397" s="58" t="str">
        <f t="shared" ca="1" si="1783"/>
        <v>X</v>
      </c>
      <c r="CN397" s="58" t="str">
        <f t="shared" ca="1" si="1783"/>
        <v>X</v>
      </c>
      <c r="CO397" s="58" t="str">
        <f t="shared" ca="1" si="1783"/>
        <v>X</v>
      </c>
      <c r="CP397" s="58" t="str">
        <f t="shared" ca="1" si="1783"/>
        <v>X</v>
      </c>
      <c r="CQ397" s="58" t="str">
        <f t="shared" ca="1" si="1783"/>
        <v>X</v>
      </c>
      <c r="CR397" s="58" t="str">
        <f t="shared" ca="1" si="1783"/>
        <v>X</v>
      </c>
      <c r="CS397" s="58" t="str">
        <f t="shared" ca="1" si="1783"/>
        <v>X</v>
      </c>
      <c r="CT397" s="58" t="str">
        <f t="shared" ca="1" si="1783"/>
        <v>X</v>
      </c>
      <c r="CU397" s="58" t="str">
        <f t="shared" ca="1" si="1783"/>
        <v>X</v>
      </c>
      <c r="CV397" s="58" t="str">
        <f t="shared" ca="1" si="1783"/>
        <v>X</v>
      </c>
      <c r="CW397" s="58" t="str">
        <f t="shared" ca="1" si="1783"/>
        <v>X</v>
      </c>
      <c r="CX397" s="58" t="str">
        <f t="shared" ca="1" si="1783"/>
        <v>X</v>
      </c>
      <c r="CY397" s="58" t="str">
        <f t="shared" ca="1" si="1783"/>
        <v>X</v>
      </c>
      <c r="CZ397" s="58" t="str">
        <f t="shared" ca="1" si="1783"/>
        <v>X</v>
      </c>
      <c r="DA397" s="58" t="str">
        <f t="shared" ca="1" si="1783"/>
        <v>X</v>
      </c>
      <c r="DB397" s="58" t="str">
        <f t="shared" ca="1" si="1783"/>
        <v>X</v>
      </c>
      <c r="DC397" s="58" t="str">
        <f t="shared" ca="1" si="1783"/>
        <v>X</v>
      </c>
      <c r="DD397" s="58" t="str">
        <f t="shared" ca="1" si="1783"/>
        <v>X</v>
      </c>
      <c r="DE397" s="58" t="str">
        <f t="shared" ca="1" si="1783"/>
        <v>X</v>
      </c>
      <c r="DF397" s="58" t="str">
        <f t="shared" ca="1" si="1783"/>
        <v>X</v>
      </c>
      <c r="DG397" s="58" t="str">
        <f t="shared" ca="1" si="1783"/>
        <v>X</v>
      </c>
      <c r="DH397" s="58" t="str">
        <f t="shared" ca="1" si="1783"/>
        <v>X</v>
      </c>
      <c r="DI397" s="58" t="str">
        <f t="shared" ca="1" si="1783"/>
        <v>X</v>
      </c>
      <c r="DJ397" s="58" t="str">
        <f t="shared" ca="1" si="1783"/>
        <v>X</v>
      </c>
      <c r="DK397" s="58" t="str">
        <f t="shared" ca="1" si="1783"/>
        <v>X</v>
      </c>
      <c r="DL397" s="58" t="str">
        <f t="shared" ca="1" si="1783"/>
        <v>X</v>
      </c>
      <c r="DM397" s="58" t="str">
        <f t="shared" ca="1" si="1783"/>
        <v>X</v>
      </c>
      <c r="DN397" s="58" t="str">
        <f t="shared" ca="1" si="1783"/>
        <v>X</v>
      </c>
      <c r="DO397" s="58" t="str">
        <f t="shared" ca="1" si="1783"/>
        <v>X</v>
      </c>
      <c r="DP397" s="58" t="str">
        <f t="shared" ca="1" si="1783"/>
        <v>X</v>
      </c>
      <c r="DQ397" s="58" t="str">
        <f t="shared" ca="1" si="1783"/>
        <v>X</v>
      </c>
      <c r="DR397" s="58" t="str">
        <f t="shared" ca="1" si="1783"/>
        <v>X</v>
      </c>
      <c r="DS397" s="58" t="str">
        <f t="shared" ca="1" si="1783"/>
        <v>X</v>
      </c>
      <c r="DT397" s="58" t="str">
        <f t="shared" ca="1" si="1783"/>
        <v>X</v>
      </c>
      <c r="DU397" s="58" t="str">
        <f t="shared" ca="1" si="1783"/>
        <v>X</v>
      </c>
      <c r="DV397" s="58" t="str">
        <f t="shared" ca="1" si="1783"/>
        <v>X</v>
      </c>
      <c r="DW397" s="58" t="str">
        <f t="shared" ca="1" si="1783"/>
        <v>X</v>
      </c>
      <c r="DX397" s="58" t="str">
        <f t="shared" ca="1" si="1783"/>
        <v>X</v>
      </c>
      <c r="DY397" s="58" t="str">
        <f t="shared" ca="1" si="1783"/>
        <v>X</v>
      </c>
      <c r="DZ397" s="58" t="str">
        <f t="shared" ca="1" si="1783"/>
        <v>X</v>
      </c>
      <c r="EA397" s="58" t="str">
        <f t="shared" ca="1" si="1783"/>
        <v>X</v>
      </c>
      <c r="EB397" s="58" t="str">
        <f t="shared" ca="1" si="1783"/>
        <v>X</v>
      </c>
      <c r="EC397" s="58" t="str">
        <f t="shared" ca="1" si="1783"/>
        <v>X</v>
      </c>
      <c r="ED397" s="58" t="str">
        <f t="shared" ca="1" si="1783"/>
        <v>X</v>
      </c>
      <c r="EE397" s="58" t="str">
        <f t="shared" ca="1" si="1783"/>
        <v>X</v>
      </c>
      <c r="EF397" s="58" t="str">
        <f t="shared" ca="1" si="1783"/>
        <v>X</v>
      </c>
      <c r="EG397" s="58" t="str">
        <f t="shared" ca="1" si="1783"/>
        <v>X</v>
      </c>
      <c r="EH397" s="58" t="str">
        <f t="shared" ca="1" si="1783"/>
        <v>X</v>
      </c>
      <c r="EI397" s="58" t="str">
        <f t="shared" ca="1" si="1783"/>
        <v>X</v>
      </c>
      <c r="EJ397" s="58" t="str">
        <f t="shared" ca="1" si="1783"/>
        <v>X</v>
      </c>
      <c r="EK397" s="58" t="str">
        <f t="shared" ca="1" si="1783"/>
        <v>X</v>
      </c>
      <c r="EL397" s="58" t="str">
        <f t="shared" ca="1" si="1783"/>
        <v>X</v>
      </c>
      <c r="EM397" s="58" t="str">
        <f t="shared" ca="1" si="1783"/>
        <v>X</v>
      </c>
      <c r="EN397" s="58" t="str">
        <f t="shared" ca="1" si="1783"/>
        <v>X</v>
      </c>
      <c r="EO397" s="58" t="str">
        <f t="shared" ca="1" si="1783"/>
        <v>X</v>
      </c>
      <c r="EP397" s="58" t="str">
        <f t="shared" ca="1" si="1783"/>
        <v>X</v>
      </c>
      <c r="EQ397" s="58" t="str">
        <f t="shared" ca="1" si="1783"/>
        <v>X</v>
      </c>
      <c r="ER397" s="58" t="str">
        <f t="shared" ca="1" si="1783"/>
        <v>X</v>
      </c>
      <c r="ES397" s="58" t="str">
        <f t="shared" ca="1" si="1783"/>
        <v>X</v>
      </c>
      <c r="ET397" s="58" t="str">
        <f t="shared" ca="1" si="1783"/>
        <v>X</v>
      </c>
      <c r="EU397" s="58" t="str">
        <f t="shared" ca="1" si="1783"/>
        <v>X</v>
      </c>
      <c r="EV397" s="58" t="str">
        <f t="shared" ca="1" si="1783"/>
        <v>X</v>
      </c>
      <c r="EW397" s="58" t="str">
        <f t="shared" ca="1" si="1783"/>
        <v>X</v>
      </c>
      <c r="EX397" s="58" t="str">
        <f t="shared" ca="1" si="1783"/>
        <v>X</v>
      </c>
      <c r="EY397" s="58" t="str">
        <f t="shared" ca="1" si="1783"/>
        <v>X</v>
      </c>
      <c r="EZ397" s="58" t="str">
        <f t="shared" ca="1" si="1783"/>
        <v>X</v>
      </c>
      <c r="FA397" s="58" t="str">
        <f t="shared" ca="1" si="1783"/>
        <v>X</v>
      </c>
      <c r="FB397" s="58" t="str">
        <f t="shared" ca="1" si="1783"/>
        <v>X</v>
      </c>
      <c r="FC397" s="58" t="str">
        <f t="shared" ca="1" si="1783"/>
        <v>X</v>
      </c>
      <c r="FD397" s="58" t="str">
        <f t="shared" ca="1" si="1783"/>
        <v>X</v>
      </c>
      <c r="FE397" s="58" t="str">
        <f t="shared" ca="1" si="1783"/>
        <v>X</v>
      </c>
      <c r="FF397" s="58" t="str">
        <f t="shared" ca="1" si="1783"/>
        <v>X</v>
      </c>
      <c r="FG397" s="58" t="str">
        <f t="shared" ca="1" si="1783"/>
        <v>X</v>
      </c>
      <c r="FH397" s="58" t="str">
        <f t="shared" ca="1" si="1783"/>
        <v>X</v>
      </c>
      <c r="FI397" s="58" t="str">
        <f t="shared" ca="1" si="1783"/>
        <v>X</v>
      </c>
      <c r="FJ397" s="58" t="str">
        <f t="shared" ca="1" si="1783"/>
        <v>X</v>
      </c>
      <c r="FK397" s="58" t="str">
        <f t="shared" ca="1" si="1783"/>
        <v>X</v>
      </c>
      <c r="FL397" s="58" t="str">
        <f t="shared" ca="1" si="1783"/>
        <v>X</v>
      </c>
      <c r="FM397" s="58" t="str">
        <f t="shared" ca="1" si="1783"/>
        <v>X</v>
      </c>
      <c r="FN397" s="58" t="str">
        <f t="shared" ca="1" si="1783"/>
        <v>X</v>
      </c>
      <c r="FO397" s="58" t="str">
        <f t="shared" ca="1" si="1783"/>
        <v>X</v>
      </c>
      <c r="FP397" s="58" t="str">
        <f t="shared" ca="1" si="1783"/>
        <v>X</v>
      </c>
      <c r="FQ397" s="58" t="str">
        <f t="shared" ca="1" si="1783"/>
        <v>X</v>
      </c>
      <c r="FR397" s="58" t="str">
        <f t="shared" ca="1" si="1783"/>
        <v>X</v>
      </c>
      <c r="FS397" s="58" t="str">
        <f t="shared" ca="1" si="1783"/>
        <v>X</v>
      </c>
      <c r="FT397" s="58" t="str">
        <f t="shared" ca="1" si="1783"/>
        <v>X</v>
      </c>
      <c r="FU397" s="58" t="str">
        <f t="shared" ca="1" si="1783"/>
        <v>X</v>
      </c>
      <c r="FV397" s="58" t="str">
        <f t="shared" ca="1" si="1783"/>
        <v>X</v>
      </c>
      <c r="FW397" s="58" t="str">
        <f t="shared" ca="1" si="1783"/>
        <v>X</v>
      </c>
      <c r="FX397" s="58" t="str">
        <f t="shared" ca="1" si="1783"/>
        <v>X</v>
      </c>
      <c r="FY397" s="58" t="str">
        <f t="shared" ca="1" si="1783"/>
        <v>X</v>
      </c>
      <c r="FZ397" s="58" t="str">
        <f t="shared" ca="1" si="1783"/>
        <v>X</v>
      </c>
      <c r="GA397" s="58" t="str">
        <f t="shared" ca="1" si="1783"/>
        <v>X</v>
      </c>
      <c r="GB397" s="58" t="str">
        <f t="shared" ca="1" si="1783"/>
        <v>X</v>
      </c>
      <c r="GC397" s="58" t="str">
        <f t="shared" ca="1" si="1783"/>
        <v>X</v>
      </c>
      <c r="GD397" s="58" t="str">
        <f t="shared" ca="1" si="1783"/>
        <v>X</v>
      </c>
      <c r="GE397" s="58" t="str">
        <f t="shared" ca="1" si="1783"/>
        <v>X</v>
      </c>
      <c r="GF397" s="58" t="str">
        <f t="shared" ca="1" si="1783"/>
        <v>X</v>
      </c>
      <c r="GG397" s="58" t="str">
        <f t="shared" ca="1" si="1783"/>
        <v>X</v>
      </c>
      <c r="GH397" s="58" t="str">
        <f t="shared" ca="1" si="1783"/>
        <v>X</v>
      </c>
      <c r="GI397" s="58" t="str">
        <f t="shared" ca="1" si="1783"/>
        <v>X</v>
      </c>
      <c r="GJ397" s="58" t="str">
        <f t="shared" ca="1" si="1783"/>
        <v>X</v>
      </c>
      <c r="GK397" s="58" t="str">
        <f t="shared" ca="1" si="1783"/>
        <v>X</v>
      </c>
      <c r="GL397" s="58" t="str">
        <f t="shared" ca="1" si="1783"/>
        <v>X</v>
      </c>
      <c r="GM397" s="58" t="str">
        <f t="shared" ca="1" si="1783"/>
        <v>X</v>
      </c>
      <c r="GN397" s="58" t="str">
        <f t="shared" ca="1" si="1783"/>
        <v>X</v>
      </c>
      <c r="GO397" s="58" t="str">
        <f t="shared" ca="1" si="1783"/>
        <v>X</v>
      </c>
      <c r="GP397" s="58" t="str">
        <f t="shared" ca="1" si="1783"/>
        <v>X</v>
      </c>
      <c r="GQ397" s="58" t="str">
        <f t="shared" ca="1" si="1783"/>
        <v>X</v>
      </c>
      <c r="GR397" s="58" t="str">
        <f t="shared" ca="1" si="1783"/>
        <v>X</v>
      </c>
      <c r="GS397" s="80" t="str">
        <f t="shared" ca="1" si="1783"/>
        <v>X</v>
      </c>
      <c r="GT397" s="58" t="str">
        <f t="shared" ca="1" si="1783"/>
        <v>X</v>
      </c>
      <c r="GU397" s="82" t="str">
        <f t="shared" ca="1" si="1617"/>
        <v>X</v>
      </c>
      <c r="GV397" s="58" t="str">
        <f t="shared" ca="1" si="1618"/>
        <v>X</v>
      </c>
      <c r="GW397" s="58" t="str">
        <f t="shared" ca="1" si="1619"/>
        <v>X</v>
      </c>
      <c r="GX397" s="58" t="str">
        <f t="shared" ca="1" si="1620"/>
        <v>X</v>
      </c>
      <c r="GY397" s="58" t="str">
        <f t="shared" ca="1" si="1621"/>
        <v>X</v>
      </c>
      <c r="GZ397" s="58" t="str">
        <f t="shared" ca="1" si="1622"/>
        <v>X</v>
      </c>
      <c r="HA397" s="58" t="str">
        <f t="shared" ca="1" si="1623"/>
        <v>X</v>
      </c>
      <c r="HB397" s="58" t="str">
        <f t="shared" ca="1" si="1624"/>
        <v>X</v>
      </c>
      <c r="HC397" s="58" t="str">
        <f t="shared" ca="1" si="1625"/>
        <v>X</v>
      </c>
      <c r="HD397" s="58" t="str">
        <f t="shared" ca="1" si="1626"/>
        <v>X</v>
      </c>
      <c r="HE397" s="58" t="str">
        <f t="shared" ca="1" si="1627"/>
        <v>X</v>
      </c>
      <c r="HF397" s="58" t="str">
        <f t="shared" ca="1" si="1628"/>
        <v>X</v>
      </c>
      <c r="HG397" s="58" t="str">
        <f t="shared" ca="1" si="1629"/>
        <v>X</v>
      </c>
      <c r="HH397" s="58" t="str">
        <f t="shared" ca="1" si="1630"/>
        <v>X</v>
      </c>
      <c r="HI397" s="58" t="str">
        <f t="shared" ca="1" si="1631"/>
        <v>X</v>
      </c>
      <c r="HJ397" s="58">
        <f t="shared" ca="1" si="1632"/>
        <v>46055</v>
      </c>
      <c r="HK397" s="58">
        <f t="shared" ca="1" si="1633"/>
        <v>46055</v>
      </c>
      <c r="HL397" s="58">
        <f t="shared" ca="1" si="1634"/>
        <v>46055</v>
      </c>
      <c r="HM397" s="58">
        <f t="shared" ca="1" si="1635"/>
        <v>46055</v>
      </c>
      <c r="HN397" s="58" t="str">
        <f t="shared" ca="1" si="1636"/>
        <v>X</v>
      </c>
      <c r="HO397" s="58" t="str">
        <f t="shared" ca="1" si="1637"/>
        <v>X</v>
      </c>
      <c r="HP397" s="58" t="str">
        <f t="shared" ca="1" si="1638"/>
        <v>X</v>
      </c>
      <c r="HQ397" s="58" t="str">
        <f t="shared" ca="1" si="1639"/>
        <v>X</v>
      </c>
      <c r="HR397" s="58" t="str">
        <f t="shared" ca="1" si="1640"/>
        <v>X</v>
      </c>
      <c r="HS397" s="58" t="str">
        <f t="shared" ca="1" si="1641"/>
        <v>X</v>
      </c>
      <c r="HT397" s="58" t="str">
        <f t="shared" ca="1" si="1642"/>
        <v>X</v>
      </c>
      <c r="HU397" s="58" t="str">
        <f t="shared" ca="1" si="1643"/>
        <v>X</v>
      </c>
      <c r="HV397" s="58" t="str">
        <f t="shared" ca="1" si="1644"/>
        <v>X</v>
      </c>
      <c r="HW397" s="58" t="str">
        <f t="shared" ca="1" si="1645"/>
        <v>X</v>
      </c>
      <c r="HX397" s="58" t="str">
        <f t="shared" ca="1" si="1646"/>
        <v>X</v>
      </c>
      <c r="HY397" s="58" t="str">
        <f t="shared" ca="1" si="1647"/>
        <v>X</v>
      </c>
      <c r="HZ397" s="58" t="str">
        <f t="shared" ca="1" si="1648"/>
        <v>X</v>
      </c>
      <c r="IA397" s="58" t="str">
        <f t="shared" ca="1" si="1649"/>
        <v>X</v>
      </c>
      <c r="IB397" s="58" t="str">
        <f t="shared" ca="1" si="1650"/>
        <v>X</v>
      </c>
      <c r="IC397" s="58" t="str">
        <f t="shared" ca="1" si="1651"/>
        <v>X</v>
      </c>
      <c r="ID397" s="58" t="str">
        <f t="shared" ca="1" si="1652"/>
        <v>X</v>
      </c>
      <c r="IE397" s="58" t="str">
        <f t="shared" ca="1" si="1653"/>
        <v>X</v>
      </c>
      <c r="IF397" s="58" t="str">
        <f t="shared" ca="1" si="1654"/>
        <v>X</v>
      </c>
      <c r="IG397" s="58" t="str">
        <f t="shared" ca="1" si="1655"/>
        <v>X</v>
      </c>
      <c r="IH397" s="58" t="str">
        <f t="shared" ca="1" si="1656"/>
        <v>X</v>
      </c>
      <c r="II397" s="58" t="str">
        <f t="shared" ca="1" si="1657"/>
        <v>X</v>
      </c>
      <c r="IJ397" s="58" t="str">
        <f t="shared" ca="1" si="1658"/>
        <v>X</v>
      </c>
      <c r="IK397" s="58" t="str">
        <f t="shared" ca="1" si="1659"/>
        <v>X</v>
      </c>
      <c r="IL397" s="58" t="str">
        <f t="shared" ca="1" si="1660"/>
        <v>X</v>
      </c>
      <c r="IM397" s="58" t="str">
        <f t="shared" ca="1" si="1661"/>
        <v>X</v>
      </c>
      <c r="IN397" s="58" t="str">
        <f t="shared" ca="1" si="1662"/>
        <v>X</v>
      </c>
      <c r="IO397" s="58" t="str">
        <f t="shared" ca="1" si="1663"/>
        <v>X</v>
      </c>
      <c r="IP397" s="58" t="str">
        <f t="shared" ca="1" si="1664"/>
        <v>X</v>
      </c>
      <c r="IQ397" s="58" t="str">
        <f t="shared" ca="1" si="1665"/>
        <v>X</v>
      </c>
      <c r="IR397" s="58" t="str">
        <f t="shared" ca="1" si="1666"/>
        <v>X</v>
      </c>
      <c r="IS397" s="58" t="str">
        <f t="shared" ca="1" si="1667"/>
        <v>X</v>
      </c>
      <c r="IT397" s="58" t="str">
        <f t="shared" ca="1" si="1668"/>
        <v>X</v>
      </c>
      <c r="IU397" s="58" t="str">
        <f t="shared" ca="1" si="1669"/>
        <v>X</v>
      </c>
      <c r="IV397" s="58" t="str">
        <f t="shared" ca="1" si="1670"/>
        <v>X</v>
      </c>
      <c r="IW397" s="58" t="str">
        <f t="shared" ca="1" si="1671"/>
        <v>X</v>
      </c>
      <c r="IX397" s="58" t="str">
        <f t="shared" ca="1" si="1672"/>
        <v>X</v>
      </c>
      <c r="IY397" s="58" t="str">
        <f t="shared" ca="1" si="1673"/>
        <v>X</v>
      </c>
      <c r="IZ397" s="58" t="str">
        <f t="shared" ca="1" si="1674"/>
        <v>X</v>
      </c>
      <c r="JA397" s="58" t="str">
        <f t="shared" ca="1" si="1675"/>
        <v>X</v>
      </c>
      <c r="JB397" s="58" t="str">
        <f t="shared" ca="1" si="1676"/>
        <v>X</v>
      </c>
      <c r="JC397" s="58" t="str">
        <f t="shared" ca="1" si="1677"/>
        <v>X</v>
      </c>
      <c r="JD397" s="58" t="str">
        <f t="shared" ca="1" si="1678"/>
        <v>X</v>
      </c>
      <c r="JE397" s="58" t="str">
        <f t="shared" ca="1" si="1679"/>
        <v>X</v>
      </c>
      <c r="JF397" s="58" t="str">
        <f t="shared" ca="1" si="1680"/>
        <v>X</v>
      </c>
      <c r="JG397" s="58" t="str">
        <f t="shared" ca="1" si="1681"/>
        <v>X</v>
      </c>
      <c r="JH397" s="58" t="str">
        <f t="shared" ca="1" si="1682"/>
        <v>X</v>
      </c>
      <c r="JI397" s="58" t="str">
        <f t="shared" ca="1" si="1683"/>
        <v>X</v>
      </c>
      <c r="JJ397" s="58" t="str">
        <f t="shared" ca="1" si="1684"/>
        <v>X</v>
      </c>
      <c r="JK397" s="58" t="str">
        <f t="shared" ca="1" si="1685"/>
        <v>X</v>
      </c>
      <c r="JL397" s="58" t="str">
        <f t="shared" ca="1" si="1686"/>
        <v>X</v>
      </c>
      <c r="JM397" s="58" t="str">
        <f t="shared" ca="1" si="1687"/>
        <v>X</v>
      </c>
      <c r="JN397" s="58" t="str">
        <f t="shared" ca="1" si="1688"/>
        <v>X</v>
      </c>
      <c r="JO397" s="58" t="str">
        <f t="shared" ca="1" si="1689"/>
        <v>X</v>
      </c>
      <c r="JP397" s="58" t="str">
        <f t="shared" ca="1" si="1690"/>
        <v>X</v>
      </c>
      <c r="JQ397" s="58" t="str">
        <f t="shared" ca="1" si="1691"/>
        <v>X</v>
      </c>
      <c r="JR397" s="58" t="str">
        <f t="shared" ca="1" si="1692"/>
        <v>X</v>
      </c>
      <c r="JS397" s="58" t="str">
        <f t="shared" ca="1" si="1693"/>
        <v>X</v>
      </c>
      <c r="JT397" s="58" t="str">
        <f t="shared" ca="1" si="1694"/>
        <v>X</v>
      </c>
      <c r="JU397" s="58" t="str">
        <f t="shared" ca="1" si="1695"/>
        <v>X</v>
      </c>
      <c r="JV397" s="58" t="str">
        <f t="shared" ca="1" si="1696"/>
        <v>X</v>
      </c>
      <c r="JW397" s="58" t="str">
        <f t="shared" ca="1" si="1697"/>
        <v>X</v>
      </c>
      <c r="JX397" s="58" t="str">
        <f t="shared" ca="1" si="1698"/>
        <v>X</v>
      </c>
      <c r="JY397" s="58" t="str">
        <f t="shared" ca="1" si="1699"/>
        <v>X</v>
      </c>
      <c r="JZ397" s="58" t="str">
        <f t="shared" ca="1" si="1700"/>
        <v>X</v>
      </c>
      <c r="KA397" s="58" t="str">
        <f t="shared" ca="1" si="1701"/>
        <v>X</v>
      </c>
      <c r="KB397" s="58" t="str">
        <f t="shared" ca="1" si="1702"/>
        <v>X</v>
      </c>
      <c r="KC397" s="58" t="str">
        <f t="shared" ca="1" si="1703"/>
        <v>X</v>
      </c>
      <c r="KD397" s="58" t="str">
        <f t="shared" ca="1" si="1704"/>
        <v>X</v>
      </c>
      <c r="KE397" s="58" t="str">
        <f t="shared" ca="1" si="1705"/>
        <v>X</v>
      </c>
      <c r="KF397" s="58" t="str">
        <f t="shared" ca="1" si="1706"/>
        <v>X</v>
      </c>
      <c r="KG397" s="58" t="str">
        <f t="shared" ca="1" si="1707"/>
        <v>X</v>
      </c>
      <c r="KH397" s="58" t="str">
        <f t="shared" ca="1" si="1708"/>
        <v>X</v>
      </c>
      <c r="KI397" s="58" t="str">
        <f t="shared" ca="1" si="1709"/>
        <v>X</v>
      </c>
      <c r="KJ397" s="58" t="str">
        <f t="shared" ca="1" si="1710"/>
        <v>X</v>
      </c>
      <c r="KK397" s="58" t="str">
        <f t="shared" ca="1" si="1711"/>
        <v>X</v>
      </c>
      <c r="KL397" s="58" t="str">
        <f t="shared" ca="1" si="1712"/>
        <v>X</v>
      </c>
      <c r="KM397" s="58" t="str">
        <f t="shared" ca="1" si="1713"/>
        <v>X</v>
      </c>
      <c r="KN397" s="58" t="str">
        <f t="shared" ca="1" si="1714"/>
        <v>X</v>
      </c>
      <c r="KO397" s="58" t="str">
        <f t="shared" ca="1" si="1715"/>
        <v>X</v>
      </c>
      <c r="KP397" s="58" t="str">
        <f t="shared" ca="1" si="1716"/>
        <v>X</v>
      </c>
      <c r="KQ397" s="58" t="str">
        <f t="shared" ca="1" si="1717"/>
        <v>X</v>
      </c>
      <c r="KR397" s="58" t="str">
        <f t="shared" ca="1" si="1718"/>
        <v>X</v>
      </c>
      <c r="KS397" s="58" t="str">
        <f t="shared" ca="1" si="1719"/>
        <v>X</v>
      </c>
      <c r="KT397" s="58" t="str">
        <f t="shared" ca="1" si="1720"/>
        <v>X</v>
      </c>
      <c r="KU397" s="58" t="str">
        <f t="shared" ca="1" si="1721"/>
        <v>X</v>
      </c>
      <c r="KV397" s="58" t="str">
        <f t="shared" ca="1" si="1722"/>
        <v>X</v>
      </c>
      <c r="KW397" s="58" t="str">
        <f t="shared" ca="1" si="1723"/>
        <v>X</v>
      </c>
      <c r="KX397" s="58" t="str">
        <f t="shared" ca="1" si="1724"/>
        <v>X</v>
      </c>
      <c r="KY397" s="58" t="str">
        <f t="shared" ca="1" si="1725"/>
        <v>X</v>
      </c>
      <c r="KZ397" s="58" t="str">
        <f t="shared" ca="1" si="1726"/>
        <v>X</v>
      </c>
      <c r="LA397" s="58" t="str">
        <f t="shared" ca="1" si="1727"/>
        <v>X</v>
      </c>
      <c r="LB397" s="58" t="str">
        <f t="shared" ca="1" si="1728"/>
        <v>X</v>
      </c>
      <c r="LC397" s="58" t="str">
        <f t="shared" ca="1" si="1729"/>
        <v>X</v>
      </c>
      <c r="LD397" s="58" t="str">
        <f t="shared" ca="1" si="1730"/>
        <v>X</v>
      </c>
      <c r="LE397" s="58" t="str">
        <f t="shared" ca="1" si="1731"/>
        <v>X</v>
      </c>
      <c r="LF397" s="58" t="str">
        <f t="shared" ca="1" si="1732"/>
        <v>X</v>
      </c>
      <c r="LG397" s="58" t="str">
        <f t="shared" ca="1" si="1733"/>
        <v>X</v>
      </c>
      <c r="LH397" s="58" t="str">
        <f t="shared" ca="1" si="1734"/>
        <v>X</v>
      </c>
      <c r="LI397" s="58" t="str">
        <f t="shared" ca="1" si="1735"/>
        <v>X</v>
      </c>
      <c r="LJ397" s="58" t="str">
        <f t="shared" ca="1" si="1736"/>
        <v>X</v>
      </c>
      <c r="LK397" s="58" t="str">
        <f t="shared" ca="1" si="1737"/>
        <v>X</v>
      </c>
      <c r="LL397" s="58" t="str">
        <f t="shared" ca="1" si="1738"/>
        <v>X</v>
      </c>
      <c r="LM397" s="58" t="str">
        <f t="shared" ca="1" si="1739"/>
        <v>X</v>
      </c>
      <c r="LN397" s="58" t="str">
        <f t="shared" ca="1" si="1740"/>
        <v>X</v>
      </c>
      <c r="LO397" s="58" t="str">
        <f t="shared" ca="1" si="1741"/>
        <v>X</v>
      </c>
      <c r="LP397" s="58" t="str">
        <f t="shared" ca="1" si="1742"/>
        <v>X</v>
      </c>
      <c r="LQ397" s="58" t="str">
        <f t="shared" ca="1" si="1743"/>
        <v>X</v>
      </c>
      <c r="LR397" s="58" t="str">
        <f t="shared" ca="1" si="1744"/>
        <v>X</v>
      </c>
      <c r="LS397" s="58" t="str">
        <f t="shared" ca="1" si="1745"/>
        <v>X</v>
      </c>
      <c r="LT397" s="58" t="str">
        <f t="shared" ca="1" si="1746"/>
        <v>X</v>
      </c>
      <c r="LU397" s="58" t="str">
        <f t="shared" ca="1" si="1747"/>
        <v>X</v>
      </c>
      <c r="LV397" s="58" t="str">
        <f t="shared" ca="1" si="1748"/>
        <v>X</v>
      </c>
      <c r="LW397" s="58" t="str">
        <f t="shared" ca="1" si="1749"/>
        <v>X</v>
      </c>
      <c r="LX397" s="58" t="str">
        <f t="shared" ca="1" si="1750"/>
        <v>X</v>
      </c>
      <c r="LY397" s="58" t="str">
        <f t="shared" ca="1" si="1751"/>
        <v>X</v>
      </c>
      <c r="LZ397" s="58" t="str">
        <f t="shared" ca="1" si="1752"/>
        <v>X</v>
      </c>
      <c r="MA397" s="58" t="str">
        <f t="shared" ca="1" si="1753"/>
        <v>X</v>
      </c>
      <c r="MB397" s="58" t="str">
        <f t="shared" ca="1" si="1754"/>
        <v>X</v>
      </c>
      <c r="MC397" s="58" t="str">
        <f t="shared" ca="1" si="1755"/>
        <v>X</v>
      </c>
      <c r="MD397" s="58" t="str">
        <f t="shared" ca="1" si="1756"/>
        <v>X</v>
      </c>
      <c r="ME397" s="58" t="str">
        <f t="shared" ca="1" si="1757"/>
        <v>X</v>
      </c>
      <c r="MF397" s="58" t="str">
        <f t="shared" ca="1" si="1758"/>
        <v>X</v>
      </c>
      <c r="MG397" s="58" t="str">
        <f t="shared" ca="1" si="1759"/>
        <v>X</v>
      </c>
      <c r="MH397" s="58" t="str">
        <f t="shared" ca="1" si="1760"/>
        <v>X</v>
      </c>
      <c r="MI397" s="58" t="str">
        <f t="shared" ca="1" si="1761"/>
        <v>X</v>
      </c>
      <c r="MJ397" s="58" t="str">
        <f t="shared" ca="1" si="1762"/>
        <v>X</v>
      </c>
      <c r="MK397" s="58" t="str">
        <f t="shared" ca="1" si="1763"/>
        <v>X</v>
      </c>
      <c r="ML397" s="58" t="str">
        <f t="shared" ca="1" si="1764"/>
        <v>X</v>
      </c>
      <c r="MM397" s="58" t="str">
        <f t="shared" ca="1" si="1765"/>
        <v>X</v>
      </c>
      <c r="MN397" s="58" t="str">
        <f t="shared" ca="1" si="1766"/>
        <v>X</v>
      </c>
      <c r="MO397" s="58" t="str">
        <f t="shared" ca="1" si="1767"/>
        <v>X</v>
      </c>
      <c r="MP397" s="58" t="str">
        <f t="shared" ca="1" si="1768"/>
        <v>X</v>
      </c>
      <c r="MQ397" s="58" t="str">
        <f t="shared" ca="1" si="1769"/>
        <v>X</v>
      </c>
      <c r="MR397" s="58" t="str">
        <f t="shared" ca="1" si="1770"/>
        <v>X</v>
      </c>
      <c r="MS397" s="58" t="str">
        <f t="shared" ca="1" si="1771"/>
        <v>X</v>
      </c>
      <c r="MT397" s="58" t="str">
        <f t="shared" ref="MT397:NE397" ca="1" si="1784">IF($K397=INDIRECT(CONCATENATE("$AG$"&amp;GH$392)),INDIRECT(CONCATENATE("$AG$"&amp;GH$391)),
IF($K397=INDIRECT(CONCATENATE("$AF$"&amp;GH$392)),INDIRECT(CONCATENATE("$AF$"&amp;GH$391)),
IF($K397=INDIRECT(CONCATENATE("$AE$"&amp;GH$392)),INDIRECT(CONCATENATE("$AE$"&amp;GH$391)),
IF($K397=INDIRECT(CONCATENATE("$AD$"&amp;GH$392)),INDIRECT(CONCATENATE("$AD$"&amp;GH$391)),
IF($K397=INDIRECT(CONCATENATE("$AC$"&amp;GH$392)),INDIRECT(CONCATENATE("$AC$"&amp;GH$391)),
IF($K397=INDIRECT(CONCATENATE("$AB$"&amp;GH$392)),INDIRECT(CONCATENATE("$AB$"&amp;GH$391)),
IF($K397=INDIRECT(CONCATENATE("$AA$"&amp;GH$392)),INDIRECT(CONCATENATE("$AA$"&amp;GH$391)),
IF($K397=INDIRECT(CONCATENATE("$Z$"&amp;GH$392)),INDIRECT(CONCATENATE("$Z$"&amp;GH$391)),
IF($K397=INDIRECT(CONCATENATE("$Y$"&amp;GH$392)),INDIRECT(CONCATENATE("$Y$"&amp;GH$391)),
IF($K397=INDIRECT(CONCATENATE("$X$"&amp;GH$392)),INDIRECT(CONCATENATE("$X$"&amp;GH$391)),
IF($K397=INDIRECT(CONCATENATE("$W$"&amp;GH$392)),INDIRECT(CONCATENATE("$W$"&amp;GH$391)),
IF($K397=INDIRECT(CONCATENATE("$V$"&amp;GH$392)),INDIRECT(CONCATENATE("$V$"&amp;GH$391)),
IF($K397=INDIRECT(CONCATENATE("$U$"&amp;GH$392)),INDIRECT(CONCATENATE("$U$"&amp;GH$391)),
IF($K397=INDIRECT(CONCATENATE("$T$"&amp;GH$392)),INDIRECT(CONCATENATE("$T$"&amp;GH$391)),
IF($K397=INDIRECT(CONCATENATE("$S$"&amp;GH$392)),INDIRECT(CONCATENATE("$S$"&amp;GH$391)),
IF($K397=INDIRECT(CONCATENATE("$R$"&amp;GH$392)),INDIRECT(CONCATENATE("$R$"&amp;GH$391)),
IF($K397=INDIRECT(CONCATENATE("$Q$"&amp;GH$392)),INDIRECT(CONCATENATE("$Q$"&amp;GH$391)),
IF($K397=INDIRECT(CONCATENATE("$P$"&amp;GH$392)),INDIRECT(CONCATENATE("$P$"&amp;GH$391)),
IF($K397=INDIRECT(CONCATENATE("$O$"&amp;GH$392)),INDIRECT(CONCATENATE("$O$"&amp;GH$391)),
IF($K397=INDIRECT(CONCATENATE("$N$"&amp;GH$392)),INDIRECT(CONCATENATE("$N$"&amp;GH$391)),
IF($K397=INDIRECT(CONCATENATE("$M$"&amp;GH$392)),INDIRECT(CONCATENATE("$M$"&amp;GH$391)),
IF($K397=INDIRECT(CONCATENATE("$L$"&amp;GH$392)),INDIRECT(CONCATENATE("$L$"&amp;GH$391)),
IF($K397=INDIRECT(CONCATENATE("$K$"&amp;GH$392)),INDIRECT(CONCATENATE("$K$"&amp;GH$391)),
IF($K397=INDIRECT(CONCATENATE("$J$"&amp;GH$392)),INDIRECT(CONCATENATE("$J$"&amp;GH$391)),
IF($K397=INDIRECT(CONCATENATE("$I$"&amp;GH$392)),INDIRECT(CONCATENATE("$I$"&amp;GH$391)),
IF($K397=INDIRECT(CONCATENATE("$H$"&amp;GH$392)),INDIRECT(CONCATENATE("$H$"&amp;GH$391)),
IF($K397=INDIRECT(CONCATENATE("$G$"&amp;GH$392)),INDIRECT(CONCATENATE("$G$"&amp;GH$391)),
IF($K397=INDIRECT(CONCATENATE("$F$"&amp;GH$392)),INDIRECT(CONCATENATE("$F$"&amp;GH$391)),
IF($K397=INDIRECT(CONCATENATE("$E$"&amp;GH$392)),INDIRECT(CONCATENATE("$E$"&amp;GH$391)),
IF($K397=INDIRECT(CONCATENATE("$D$"&amp;GH$392)),INDIRECT(CONCATENATE("$D$"&amp;GH$391)),
IF($K397=INDIRECT(CONCATENATE("$C$"&amp;GH$392)),INDIRECT(CONCATENATE("$C$"&amp;GH$391)),"X")))))))))))))))))))))))))))))))</f>
        <v>X</v>
      </c>
      <c r="MU397" s="58" t="str">
        <f t="shared" ca="1" si="1784"/>
        <v>X</v>
      </c>
      <c r="MV397" s="58" t="str">
        <f t="shared" ca="1" si="1784"/>
        <v>X</v>
      </c>
      <c r="MW397" s="58" t="str">
        <f t="shared" ca="1" si="1784"/>
        <v>X</v>
      </c>
      <c r="MX397" s="58" t="str">
        <f t="shared" ca="1" si="1784"/>
        <v>X</v>
      </c>
      <c r="MY397" s="58" t="str">
        <f t="shared" ca="1" si="1784"/>
        <v>X</v>
      </c>
      <c r="MZ397" s="58" t="str">
        <f t="shared" ca="1" si="1784"/>
        <v>X</v>
      </c>
      <c r="NA397" s="58" t="str">
        <f t="shared" ca="1" si="1784"/>
        <v>X</v>
      </c>
      <c r="NB397" s="58" t="str">
        <f t="shared" ca="1" si="1784"/>
        <v>X</v>
      </c>
      <c r="NC397" s="58" t="str">
        <f t="shared" ca="1" si="1784"/>
        <v>X</v>
      </c>
      <c r="ND397" s="58" t="str">
        <f t="shared" ca="1" si="1784"/>
        <v>X</v>
      </c>
      <c r="NE397" s="58" t="str">
        <f t="shared" ca="1" si="1784"/>
        <v>X</v>
      </c>
      <c r="NF397" s="58" t="str">
        <f t="shared" ca="1" si="1773"/>
        <v>X</v>
      </c>
      <c r="NG397" s="58" t="str">
        <f t="shared" ca="1" si="1774"/>
        <v>X</v>
      </c>
    </row>
    <row r="398" spans="1:371" ht="18" customHeight="1">
      <c r="A398" s="241" t="s">
        <v>88</v>
      </c>
      <c r="B398" s="271"/>
      <c r="C398" s="271"/>
      <c r="D398" s="271"/>
      <c r="E398" s="271"/>
      <c r="F398" s="271"/>
      <c r="G398" s="271"/>
      <c r="H398" s="271"/>
      <c r="I398" s="271"/>
      <c r="J398" s="272"/>
      <c r="K398" s="237" t="s">
        <v>29</v>
      </c>
      <c r="L398" s="303"/>
      <c r="M398" s="55">
        <v>4</v>
      </c>
      <c r="N398" s="225" t="s">
        <v>86</v>
      </c>
      <c r="O398" s="274"/>
      <c r="P398" s="274"/>
      <c r="Q398" s="274"/>
      <c r="R398" s="275"/>
      <c r="S398" s="226">
        <v>101716</v>
      </c>
      <c r="T398" s="304"/>
      <c r="U398" s="303"/>
      <c r="V398" s="227" t="s">
        <v>87</v>
      </c>
      <c r="W398" s="303"/>
      <c r="X398" s="56">
        <f t="shared" ca="1" si="1775"/>
        <v>46055</v>
      </c>
      <c r="Y398" s="56">
        <f t="shared" ca="1" si="1776"/>
        <v>46055</v>
      </c>
      <c r="Z398" s="228" t="str">
        <f t="shared" ca="1" si="1612"/>
        <v>CONCLUÍDA</v>
      </c>
      <c r="AA398" s="304"/>
      <c r="AB398" s="303"/>
      <c r="AC398" s="224">
        <f t="shared" si="1777"/>
        <v>4</v>
      </c>
      <c r="AD398" s="303"/>
      <c r="AE398" s="229">
        <f t="shared" si="1778"/>
        <v>0</v>
      </c>
      <c r="AF398" s="303"/>
      <c r="AG398" s="57" t="str">
        <f t="shared" si="1615"/>
        <v>OK</v>
      </c>
      <c r="AH398" s="59"/>
      <c r="AI398" s="70"/>
      <c r="AJ398" s="58" t="str">
        <f t="shared" ref="AJ398:GT398" ca="1" si="1785">IF($K398=INDIRECT(CONCATENATE("$C$"&amp;AJ$392)), INDIRECT(CONCATENATE("$C$"&amp;AJ$391)),
IF($K398=INDIRECT(CONCATENATE("$D$"&amp;AJ$392)), INDIRECT(CONCATENATE("$D$"&amp;AJ$391)),
IF($K398=INDIRECT(CONCATENATE("$E$"&amp;AJ$392)), INDIRECT(CONCATENATE("$E$"&amp;AJ$391)),
IF($K398=INDIRECT(CONCATENATE("$F$"&amp;AJ$392)), INDIRECT(CONCATENATE("$F$"&amp;AJ$391)),
IF($K398=INDIRECT(CONCATENATE("$G$"&amp;AJ$392)), INDIRECT(CONCATENATE("$G$"&amp;AJ$391)),
IF($K398=INDIRECT(CONCATENATE("$H$"&amp;AJ$392)), INDIRECT(CONCATENATE("$H$"&amp;AJ$391)),
IF($K398=INDIRECT(CONCATENATE("$I$"&amp;AJ$392)), INDIRECT(CONCATENATE("$I$"&amp;AJ$391)),
IF($K398=INDIRECT(CONCATENATE("$J$"&amp;AJ$392)), INDIRECT(CONCATENATE("$J$"&amp;AJ$391)),
IF($K398=INDIRECT(CONCATENATE("$K$"&amp;AJ$392)), INDIRECT(CONCATENATE("$K$"&amp;AJ$391)),
IF($K398=INDIRECT(CONCATENATE("$L$"&amp;AJ$392)), INDIRECT(CONCATENATE("$L$"&amp;AJ$391)),
IF($K398=INDIRECT(CONCATENATE("$M$"&amp;AJ$392)), INDIRECT(CONCATENATE("$M$"&amp;AJ$391)),
IF($K398=INDIRECT(CONCATENATE("$N$"&amp;AJ$392)), INDIRECT(CONCATENATE("$N$"&amp;AJ$391)),
IF($K398=INDIRECT(CONCATENATE("$O$"&amp;AJ$392)), INDIRECT(CONCATENATE("$O$"&amp;AJ$391)),
IF($K398=INDIRECT(CONCATENATE("$P$"&amp;AJ$392)), INDIRECT(CONCATENATE("$P$"&amp;AJ$391)),
IF($K398=INDIRECT(CONCATENATE("$Q$"&amp;AJ$392)), INDIRECT(CONCATENATE("$Q$"&amp;AJ$391)),
IF($K398=INDIRECT(CONCATENATE("$R$"&amp;AJ$392)), INDIRECT(CONCATENATE("$R$"&amp;AJ$391)),
IF($K398=INDIRECT(CONCATENATE("$S$"&amp;AJ$392)), INDIRECT(CONCATENATE("$S$"&amp;AJ$391)),
IF($K398=INDIRECT(CONCATENATE("$T$"&amp;AJ$392)), INDIRECT(CONCATENATE("$T$"&amp;AJ$391)),
IF($K398=INDIRECT(CONCATENATE("$U$"&amp;AJ$392)), INDIRECT(CONCATENATE("$U$"&amp;AJ$391)),
IF($K398=INDIRECT(CONCATENATE("$V$"&amp;AJ$392)), INDIRECT(CONCATENATE("$V$"&amp;AJ$391)),
IF($K398=INDIRECT(CONCATENATE("$W$"&amp;AJ$392)), INDIRECT(CONCATENATE("$W$"&amp;AJ$391)),
IF($K398=INDIRECT(CONCATENATE("$X$"&amp;AJ$392)), INDIRECT(CONCATENATE("$X$"&amp;AJ$391)),
IF($K398=INDIRECT(CONCATENATE("$Y$"&amp;AJ$392)), INDIRECT(CONCATENATE("$Y$"&amp;AJ$391)),
IF($K398=INDIRECT(CONCATENATE("$Z$"&amp;AJ$392)), INDIRECT(CONCATENATE("$Z$"&amp;AJ$391)),
IF($K398=INDIRECT(CONCATENATE("$AA$"&amp;AJ$392)), INDIRECT(CONCATENATE("$AA$"&amp;AJ$391)),
IF($K398=INDIRECT(CONCATENATE("$AB$"&amp;AJ$392)), INDIRECT(CONCATENATE("$AB$"&amp;AJ$391)),
IF($K398=INDIRECT(CONCATENATE("$AC$"&amp;AJ$392)), INDIRECT(CONCATENATE("$AC$"&amp;AJ$391)),
IF($K398=INDIRECT(CONCATENATE("$AD$"&amp;AJ$392)), INDIRECT(CONCATENATE("$AD$"&amp;AJ$391)),
IF($K398=INDIRECT(CONCATENATE("$AE$"&amp;AJ$392)), INDIRECT(CONCATENATE("$AE$"&amp;AJ$391)),
IF($K398=INDIRECT(CONCATENATE("$AF$"&amp;AJ$392)), INDIRECT(CONCATENATE("$AF$"&amp;AJ$391)),
IF($K398=INDIRECT(CONCATENATE("$AG$"&amp;AJ$392)), INDIRECT(CONCATENATE("$AG$"&amp;AJ$391)),"X")))))))))))))))))))))))))))))))</f>
        <v>X</v>
      </c>
      <c r="AK398" s="58" t="str">
        <f t="shared" ca="1" si="1785"/>
        <v>X</v>
      </c>
      <c r="AL398" s="58" t="str">
        <f t="shared" ca="1" si="1785"/>
        <v>X</v>
      </c>
      <c r="AM398" s="58" t="str">
        <f t="shared" ca="1" si="1785"/>
        <v>X</v>
      </c>
      <c r="AN398" s="58" t="str">
        <f t="shared" ca="1" si="1785"/>
        <v>X</v>
      </c>
      <c r="AO398" s="58" t="str">
        <f t="shared" ca="1" si="1785"/>
        <v>X</v>
      </c>
      <c r="AP398" s="58" t="str">
        <f t="shared" ca="1" si="1785"/>
        <v>X</v>
      </c>
      <c r="AQ398" s="58" t="str">
        <f t="shared" ca="1" si="1785"/>
        <v>X</v>
      </c>
      <c r="AR398" s="58" t="str">
        <f t="shared" ca="1" si="1785"/>
        <v>X</v>
      </c>
      <c r="AS398" s="58" t="str">
        <f t="shared" ca="1" si="1785"/>
        <v>X</v>
      </c>
      <c r="AT398" s="58" t="str">
        <f t="shared" ca="1" si="1785"/>
        <v>X</v>
      </c>
      <c r="AU398" s="58" t="str">
        <f t="shared" ca="1" si="1785"/>
        <v>X</v>
      </c>
      <c r="AV398" s="58" t="str">
        <f t="shared" ca="1" si="1785"/>
        <v>X</v>
      </c>
      <c r="AW398" s="58" t="str">
        <f t="shared" ca="1" si="1785"/>
        <v>X</v>
      </c>
      <c r="AX398" s="58" t="str">
        <f t="shared" ca="1" si="1785"/>
        <v>X</v>
      </c>
      <c r="AY398" s="58" t="str">
        <f t="shared" ca="1" si="1785"/>
        <v>X</v>
      </c>
      <c r="AZ398" s="58" t="str">
        <f t="shared" ca="1" si="1785"/>
        <v>X</v>
      </c>
      <c r="BA398" s="58" t="str">
        <f t="shared" ca="1" si="1785"/>
        <v>X</v>
      </c>
      <c r="BB398" s="58" t="str">
        <f t="shared" ca="1" si="1785"/>
        <v>X</v>
      </c>
      <c r="BC398" s="58">
        <f t="shared" ca="1" si="1785"/>
        <v>46055</v>
      </c>
      <c r="BD398" s="58">
        <f t="shared" ca="1" si="1785"/>
        <v>46055</v>
      </c>
      <c r="BE398" s="58">
        <f t="shared" ca="1" si="1785"/>
        <v>46055</v>
      </c>
      <c r="BF398" s="58">
        <f t="shared" ca="1" si="1785"/>
        <v>46055</v>
      </c>
      <c r="BG398" s="58" t="str">
        <f t="shared" ca="1" si="1785"/>
        <v>X</v>
      </c>
      <c r="BH398" s="58" t="str">
        <f t="shared" ca="1" si="1785"/>
        <v>X</v>
      </c>
      <c r="BI398" s="58" t="str">
        <f t="shared" ca="1" si="1785"/>
        <v>X</v>
      </c>
      <c r="BJ398" s="58" t="str">
        <f t="shared" ca="1" si="1785"/>
        <v>X</v>
      </c>
      <c r="BK398" s="58" t="str">
        <f t="shared" ca="1" si="1785"/>
        <v>X</v>
      </c>
      <c r="BL398" s="58" t="str">
        <f t="shared" ca="1" si="1785"/>
        <v>X</v>
      </c>
      <c r="BM398" s="58" t="str">
        <f t="shared" ca="1" si="1785"/>
        <v>X</v>
      </c>
      <c r="BN398" s="58" t="str">
        <f t="shared" ca="1" si="1785"/>
        <v>X</v>
      </c>
      <c r="BO398" s="58" t="str">
        <f t="shared" ca="1" si="1785"/>
        <v>X</v>
      </c>
      <c r="BP398" s="58" t="str">
        <f t="shared" ca="1" si="1785"/>
        <v>X</v>
      </c>
      <c r="BQ398" s="58" t="str">
        <f t="shared" ca="1" si="1785"/>
        <v>X</v>
      </c>
      <c r="BR398" s="58" t="str">
        <f t="shared" ca="1" si="1785"/>
        <v>X</v>
      </c>
      <c r="BS398" s="58" t="str">
        <f t="shared" ca="1" si="1785"/>
        <v>X</v>
      </c>
      <c r="BT398" s="58" t="str">
        <f t="shared" ca="1" si="1785"/>
        <v>X</v>
      </c>
      <c r="BU398" s="58" t="str">
        <f t="shared" ca="1" si="1785"/>
        <v>X</v>
      </c>
      <c r="BV398" s="58" t="str">
        <f t="shared" ca="1" si="1785"/>
        <v>X</v>
      </c>
      <c r="BW398" s="58" t="str">
        <f t="shared" ca="1" si="1785"/>
        <v>X</v>
      </c>
      <c r="BX398" s="58" t="str">
        <f t="shared" ca="1" si="1785"/>
        <v>X</v>
      </c>
      <c r="BY398" s="58" t="str">
        <f t="shared" ca="1" si="1785"/>
        <v>X</v>
      </c>
      <c r="BZ398" s="58" t="str">
        <f t="shared" ca="1" si="1785"/>
        <v>X</v>
      </c>
      <c r="CA398" s="58" t="str">
        <f t="shared" ca="1" si="1785"/>
        <v>X</v>
      </c>
      <c r="CB398" s="58" t="str">
        <f t="shared" ca="1" si="1785"/>
        <v>X</v>
      </c>
      <c r="CC398" s="58" t="str">
        <f t="shared" ca="1" si="1785"/>
        <v>X</v>
      </c>
      <c r="CD398" s="58" t="str">
        <f t="shared" ca="1" si="1785"/>
        <v>X</v>
      </c>
      <c r="CE398" s="58" t="str">
        <f t="shared" ca="1" si="1785"/>
        <v>X</v>
      </c>
      <c r="CF398" s="58" t="str">
        <f t="shared" ca="1" si="1785"/>
        <v>X</v>
      </c>
      <c r="CG398" s="58" t="str">
        <f t="shared" ca="1" si="1785"/>
        <v>X</v>
      </c>
      <c r="CH398" s="58" t="str">
        <f t="shared" ca="1" si="1785"/>
        <v>X</v>
      </c>
      <c r="CI398" s="58" t="str">
        <f t="shared" ca="1" si="1785"/>
        <v>X</v>
      </c>
      <c r="CJ398" s="58" t="str">
        <f t="shared" ca="1" si="1785"/>
        <v>X</v>
      </c>
      <c r="CK398" s="58" t="str">
        <f t="shared" ca="1" si="1785"/>
        <v>X</v>
      </c>
      <c r="CL398" s="58" t="str">
        <f t="shared" ca="1" si="1785"/>
        <v>X</v>
      </c>
      <c r="CM398" s="58" t="str">
        <f t="shared" ca="1" si="1785"/>
        <v>X</v>
      </c>
      <c r="CN398" s="58" t="str">
        <f t="shared" ca="1" si="1785"/>
        <v>X</v>
      </c>
      <c r="CO398" s="58" t="str">
        <f t="shared" ca="1" si="1785"/>
        <v>X</v>
      </c>
      <c r="CP398" s="58" t="str">
        <f t="shared" ca="1" si="1785"/>
        <v>X</v>
      </c>
      <c r="CQ398" s="58" t="str">
        <f t="shared" ca="1" si="1785"/>
        <v>X</v>
      </c>
      <c r="CR398" s="58" t="str">
        <f t="shared" ca="1" si="1785"/>
        <v>X</v>
      </c>
      <c r="CS398" s="58" t="str">
        <f t="shared" ca="1" si="1785"/>
        <v>X</v>
      </c>
      <c r="CT398" s="58" t="str">
        <f t="shared" ca="1" si="1785"/>
        <v>X</v>
      </c>
      <c r="CU398" s="58" t="str">
        <f t="shared" ca="1" si="1785"/>
        <v>X</v>
      </c>
      <c r="CV398" s="58" t="str">
        <f t="shared" ca="1" si="1785"/>
        <v>X</v>
      </c>
      <c r="CW398" s="58" t="str">
        <f t="shared" ca="1" si="1785"/>
        <v>X</v>
      </c>
      <c r="CX398" s="58" t="str">
        <f t="shared" ca="1" si="1785"/>
        <v>X</v>
      </c>
      <c r="CY398" s="58" t="str">
        <f t="shared" ca="1" si="1785"/>
        <v>X</v>
      </c>
      <c r="CZ398" s="58" t="str">
        <f t="shared" ca="1" si="1785"/>
        <v>X</v>
      </c>
      <c r="DA398" s="58" t="str">
        <f t="shared" ca="1" si="1785"/>
        <v>X</v>
      </c>
      <c r="DB398" s="58" t="str">
        <f t="shared" ca="1" si="1785"/>
        <v>X</v>
      </c>
      <c r="DC398" s="58" t="str">
        <f t="shared" ca="1" si="1785"/>
        <v>X</v>
      </c>
      <c r="DD398" s="58" t="str">
        <f t="shared" ca="1" si="1785"/>
        <v>X</v>
      </c>
      <c r="DE398" s="58" t="str">
        <f t="shared" ca="1" si="1785"/>
        <v>X</v>
      </c>
      <c r="DF398" s="58" t="str">
        <f t="shared" ca="1" si="1785"/>
        <v>X</v>
      </c>
      <c r="DG398" s="58" t="str">
        <f t="shared" ca="1" si="1785"/>
        <v>X</v>
      </c>
      <c r="DH398" s="58" t="str">
        <f t="shared" ca="1" si="1785"/>
        <v>X</v>
      </c>
      <c r="DI398" s="58" t="str">
        <f t="shared" ca="1" si="1785"/>
        <v>X</v>
      </c>
      <c r="DJ398" s="58" t="str">
        <f t="shared" ca="1" si="1785"/>
        <v>X</v>
      </c>
      <c r="DK398" s="58" t="str">
        <f t="shared" ca="1" si="1785"/>
        <v>X</v>
      </c>
      <c r="DL398" s="58" t="str">
        <f t="shared" ca="1" si="1785"/>
        <v>X</v>
      </c>
      <c r="DM398" s="58" t="str">
        <f t="shared" ca="1" si="1785"/>
        <v>X</v>
      </c>
      <c r="DN398" s="58" t="str">
        <f t="shared" ca="1" si="1785"/>
        <v>X</v>
      </c>
      <c r="DO398" s="58" t="str">
        <f t="shared" ca="1" si="1785"/>
        <v>X</v>
      </c>
      <c r="DP398" s="58" t="str">
        <f t="shared" ca="1" si="1785"/>
        <v>X</v>
      </c>
      <c r="DQ398" s="58" t="str">
        <f t="shared" ca="1" si="1785"/>
        <v>X</v>
      </c>
      <c r="DR398" s="58" t="str">
        <f t="shared" ca="1" si="1785"/>
        <v>X</v>
      </c>
      <c r="DS398" s="58" t="str">
        <f t="shared" ca="1" si="1785"/>
        <v>X</v>
      </c>
      <c r="DT398" s="58" t="str">
        <f t="shared" ca="1" si="1785"/>
        <v>X</v>
      </c>
      <c r="DU398" s="58" t="str">
        <f t="shared" ca="1" si="1785"/>
        <v>X</v>
      </c>
      <c r="DV398" s="58" t="str">
        <f t="shared" ca="1" si="1785"/>
        <v>X</v>
      </c>
      <c r="DW398" s="58" t="str">
        <f t="shared" ca="1" si="1785"/>
        <v>X</v>
      </c>
      <c r="DX398" s="58" t="str">
        <f t="shared" ca="1" si="1785"/>
        <v>X</v>
      </c>
      <c r="DY398" s="58" t="str">
        <f t="shared" ca="1" si="1785"/>
        <v>X</v>
      </c>
      <c r="DZ398" s="58" t="str">
        <f t="shared" ca="1" si="1785"/>
        <v>X</v>
      </c>
      <c r="EA398" s="58" t="str">
        <f t="shared" ca="1" si="1785"/>
        <v>X</v>
      </c>
      <c r="EB398" s="58" t="str">
        <f t="shared" ca="1" si="1785"/>
        <v>X</v>
      </c>
      <c r="EC398" s="58" t="str">
        <f t="shared" ca="1" si="1785"/>
        <v>X</v>
      </c>
      <c r="ED398" s="58" t="str">
        <f t="shared" ca="1" si="1785"/>
        <v>X</v>
      </c>
      <c r="EE398" s="58" t="str">
        <f t="shared" ca="1" si="1785"/>
        <v>X</v>
      </c>
      <c r="EF398" s="58" t="str">
        <f t="shared" ca="1" si="1785"/>
        <v>X</v>
      </c>
      <c r="EG398" s="58" t="str">
        <f t="shared" ca="1" si="1785"/>
        <v>X</v>
      </c>
      <c r="EH398" s="58" t="str">
        <f t="shared" ca="1" si="1785"/>
        <v>X</v>
      </c>
      <c r="EI398" s="58" t="str">
        <f t="shared" ca="1" si="1785"/>
        <v>X</v>
      </c>
      <c r="EJ398" s="58" t="str">
        <f t="shared" ca="1" si="1785"/>
        <v>X</v>
      </c>
      <c r="EK398" s="58" t="str">
        <f t="shared" ca="1" si="1785"/>
        <v>X</v>
      </c>
      <c r="EL398" s="58" t="str">
        <f t="shared" ca="1" si="1785"/>
        <v>X</v>
      </c>
      <c r="EM398" s="58" t="str">
        <f t="shared" ca="1" si="1785"/>
        <v>X</v>
      </c>
      <c r="EN398" s="58" t="str">
        <f t="shared" ca="1" si="1785"/>
        <v>X</v>
      </c>
      <c r="EO398" s="58" t="str">
        <f t="shared" ca="1" si="1785"/>
        <v>X</v>
      </c>
      <c r="EP398" s="58" t="str">
        <f t="shared" ca="1" si="1785"/>
        <v>X</v>
      </c>
      <c r="EQ398" s="58" t="str">
        <f t="shared" ca="1" si="1785"/>
        <v>X</v>
      </c>
      <c r="ER398" s="58" t="str">
        <f t="shared" ca="1" si="1785"/>
        <v>X</v>
      </c>
      <c r="ES398" s="58" t="str">
        <f t="shared" ca="1" si="1785"/>
        <v>X</v>
      </c>
      <c r="ET398" s="58" t="str">
        <f t="shared" ca="1" si="1785"/>
        <v>X</v>
      </c>
      <c r="EU398" s="58" t="str">
        <f t="shared" ca="1" si="1785"/>
        <v>X</v>
      </c>
      <c r="EV398" s="58" t="str">
        <f t="shared" ca="1" si="1785"/>
        <v>X</v>
      </c>
      <c r="EW398" s="58" t="str">
        <f t="shared" ca="1" si="1785"/>
        <v>X</v>
      </c>
      <c r="EX398" s="58" t="str">
        <f t="shared" ca="1" si="1785"/>
        <v>X</v>
      </c>
      <c r="EY398" s="58" t="str">
        <f t="shared" ca="1" si="1785"/>
        <v>X</v>
      </c>
      <c r="EZ398" s="58" t="str">
        <f t="shared" ca="1" si="1785"/>
        <v>X</v>
      </c>
      <c r="FA398" s="58" t="str">
        <f t="shared" ca="1" si="1785"/>
        <v>X</v>
      </c>
      <c r="FB398" s="58" t="str">
        <f t="shared" ca="1" si="1785"/>
        <v>X</v>
      </c>
      <c r="FC398" s="58" t="str">
        <f t="shared" ca="1" si="1785"/>
        <v>X</v>
      </c>
      <c r="FD398" s="58" t="str">
        <f t="shared" ca="1" si="1785"/>
        <v>X</v>
      </c>
      <c r="FE398" s="58" t="str">
        <f t="shared" ca="1" si="1785"/>
        <v>X</v>
      </c>
      <c r="FF398" s="58" t="str">
        <f t="shared" ca="1" si="1785"/>
        <v>X</v>
      </c>
      <c r="FG398" s="58" t="str">
        <f t="shared" ca="1" si="1785"/>
        <v>X</v>
      </c>
      <c r="FH398" s="58" t="str">
        <f t="shared" ca="1" si="1785"/>
        <v>X</v>
      </c>
      <c r="FI398" s="58" t="str">
        <f t="shared" ca="1" si="1785"/>
        <v>X</v>
      </c>
      <c r="FJ398" s="58" t="str">
        <f t="shared" ca="1" si="1785"/>
        <v>X</v>
      </c>
      <c r="FK398" s="58" t="str">
        <f t="shared" ca="1" si="1785"/>
        <v>X</v>
      </c>
      <c r="FL398" s="58" t="str">
        <f t="shared" ca="1" si="1785"/>
        <v>X</v>
      </c>
      <c r="FM398" s="58" t="str">
        <f t="shared" ca="1" si="1785"/>
        <v>X</v>
      </c>
      <c r="FN398" s="58" t="str">
        <f t="shared" ca="1" si="1785"/>
        <v>X</v>
      </c>
      <c r="FO398" s="58" t="str">
        <f t="shared" ca="1" si="1785"/>
        <v>X</v>
      </c>
      <c r="FP398" s="58" t="str">
        <f t="shared" ca="1" si="1785"/>
        <v>X</v>
      </c>
      <c r="FQ398" s="58" t="str">
        <f t="shared" ca="1" si="1785"/>
        <v>X</v>
      </c>
      <c r="FR398" s="58" t="str">
        <f t="shared" ca="1" si="1785"/>
        <v>X</v>
      </c>
      <c r="FS398" s="58" t="str">
        <f t="shared" ca="1" si="1785"/>
        <v>X</v>
      </c>
      <c r="FT398" s="58" t="str">
        <f t="shared" ca="1" si="1785"/>
        <v>X</v>
      </c>
      <c r="FU398" s="58" t="str">
        <f t="shared" ca="1" si="1785"/>
        <v>X</v>
      </c>
      <c r="FV398" s="58" t="str">
        <f t="shared" ca="1" si="1785"/>
        <v>X</v>
      </c>
      <c r="FW398" s="58" t="str">
        <f t="shared" ca="1" si="1785"/>
        <v>X</v>
      </c>
      <c r="FX398" s="58" t="str">
        <f t="shared" ca="1" si="1785"/>
        <v>X</v>
      </c>
      <c r="FY398" s="58" t="str">
        <f t="shared" ca="1" si="1785"/>
        <v>X</v>
      </c>
      <c r="FZ398" s="58" t="str">
        <f t="shared" ca="1" si="1785"/>
        <v>X</v>
      </c>
      <c r="GA398" s="58" t="str">
        <f t="shared" ca="1" si="1785"/>
        <v>X</v>
      </c>
      <c r="GB398" s="58" t="str">
        <f t="shared" ca="1" si="1785"/>
        <v>X</v>
      </c>
      <c r="GC398" s="58" t="str">
        <f t="shared" ca="1" si="1785"/>
        <v>X</v>
      </c>
      <c r="GD398" s="58" t="str">
        <f t="shared" ca="1" si="1785"/>
        <v>X</v>
      </c>
      <c r="GE398" s="58" t="str">
        <f t="shared" ca="1" si="1785"/>
        <v>X</v>
      </c>
      <c r="GF398" s="58" t="str">
        <f t="shared" ca="1" si="1785"/>
        <v>X</v>
      </c>
      <c r="GG398" s="58" t="str">
        <f t="shared" ca="1" si="1785"/>
        <v>X</v>
      </c>
      <c r="GH398" s="58" t="str">
        <f t="shared" ca="1" si="1785"/>
        <v>X</v>
      </c>
      <c r="GI398" s="58" t="str">
        <f t="shared" ca="1" si="1785"/>
        <v>X</v>
      </c>
      <c r="GJ398" s="58" t="str">
        <f t="shared" ca="1" si="1785"/>
        <v>X</v>
      </c>
      <c r="GK398" s="58" t="str">
        <f t="shared" ca="1" si="1785"/>
        <v>X</v>
      </c>
      <c r="GL398" s="58" t="str">
        <f t="shared" ca="1" si="1785"/>
        <v>X</v>
      </c>
      <c r="GM398" s="58" t="str">
        <f t="shared" ca="1" si="1785"/>
        <v>X</v>
      </c>
      <c r="GN398" s="58" t="str">
        <f t="shared" ca="1" si="1785"/>
        <v>X</v>
      </c>
      <c r="GO398" s="58" t="str">
        <f t="shared" ca="1" si="1785"/>
        <v>X</v>
      </c>
      <c r="GP398" s="58" t="str">
        <f t="shared" ca="1" si="1785"/>
        <v>X</v>
      </c>
      <c r="GQ398" s="58" t="str">
        <f t="shared" ca="1" si="1785"/>
        <v>X</v>
      </c>
      <c r="GR398" s="58" t="str">
        <f t="shared" ca="1" si="1785"/>
        <v>X</v>
      </c>
      <c r="GS398" s="80" t="str">
        <f t="shared" ca="1" si="1785"/>
        <v>X</v>
      </c>
      <c r="GT398" s="58" t="str">
        <f t="shared" ca="1" si="1785"/>
        <v>X</v>
      </c>
      <c r="GU398" s="82" t="str">
        <f t="shared" ca="1" si="1617"/>
        <v>X</v>
      </c>
      <c r="GV398" s="58" t="str">
        <f t="shared" ca="1" si="1618"/>
        <v>X</v>
      </c>
      <c r="GW398" s="58" t="str">
        <f t="shared" ca="1" si="1619"/>
        <v>X</v>
      </c>
      <c r="GX398" s="58" t="str">
        <f t="shared" ca="1" si="1620"/>
        <v>X</v>
      </c>
      <c r="GY398" s="58" t="str">
        <f t="shared" ca="1" si="1621"/>
        <v>X</v>
      </c>
      <c r="GZ398" s="58" t="str">
        <f t="shared" ca="1" si="1622"/>
        <v>X</v>
      </c>
      <c r="HA398" s="58" t="str">
        <f t="shared" ca="1" si="1623"/>
        <v>X</v>
      </c>
      <c r="HB398" s="58" t="str">
        <f t="shared" ca="1" si="1624"/>
        <v>X</v>
      </c>
      <c r="HC398" s="58" t="str">
        <f t="shared" ca="1" si="1625"/>
        <v>X</v>
      </c>
      <c r="HD398" s="58" t="str">
        <f t="shared" ca="1" si="1626"/>
        <v>X</v>
      </c>
      <c r="HE398" s="58" t="str">
        <f t="shared" ca="1" si="1627"/>
        <v>X</v>
      </c>
      <c r="HF398" s="58" t="str">
        <f t="shared" ca="1" si="1628"/>
        <v>X</v>
      </c>
      <c r="HG398" s="58" t="str">
        <f t="shared" ca="1" si="1629"/>
        <v>X</v>
      </c>
      <c r="HH398" s="58" t="str">
        <f t="shared" ca="1" si="1630"/>
        <v>X</v>
      </c>
      <c r="HI398" s="58" t="str">
        <f t="shared" ca="1" si="1631"/>
        <v>X</v>
      </c>
      <c r="HJ398" s="58" t="str">
        <f t="shared" ca="1" si="1632"/>
        <v>X</v>
      </c>
      <c r="HK398" s="58" t="str">
        <f t="shared" ca="1" si="1633"/>
        <v>X</v>
      </c>
      <c r="HL398" s="58" t="str">
        <f t="shared" ca="1" si="1634"/>
        <v>X</v>
      </c>
      <c r="HM398" s="58" t="str">
        <f t="shared" ca="1" si="1635"/>
        <v>X</v>
      </c>
      <c r="HN398" s="58" t="str">
        <f t="shared" ca="1" si="1636"/>
        <v>X</v>
      </c>
      <c r="HO398" s="58">
        <f t="shared" ca="1" si="1637"/>
        <v>46055</v>
      </c>
      <c r="HP398" s="58">
        <f t="shared" ca="1" si="1638"/>
        <v>46055</v>
      </c>
      <c r="HQ398" s="58">
        <f t="shared" ca="1" si="1639"/>
        <v>46055</v>
      </c>
      <c r="HR398" s="58">
        <f t="shared" ca="1" si="1640"/>
        <v>46055</v>
      </c>
      <c r="HS398" s="58" t="str">
        <f t="shared" ca="1" si="1641"/>
        <v>X</v>
      </c>
      <c r="HT398" s="58" t="str">
        <f t="shared" ca="1" si="1642"/>
        <v>X</v>
      </c>
      <c r="HU398" s="58" t="str">
        <f t="shared" ca="1" si="1643"/>
        <v>X</v>
      </c>
      <c r="HV398" s="58" t="str">
        <f t="shared" ca="1" si="1644"/>
        <v>X</v>
      </c>
      <c r="HW398" s="58" t="str">
        <f t="shared" ca="1" si="1645"/>
        <v>X</v>
      </c>
      <c r="HX398" s="58" t="str">
        <f t="shared" ca="1" si="1646"/>
        <v>X</v>
      </c>
      <c r="HY398" s="58" t="str">
        <f t="shared" ca="1" si="1647"/>
        <v>X</v>
      </c>
      <c r="HZ398" s="58" t="str">
        <f t="shared" ca="1" si="1648"/>
        <v>X</v>
      </c>
      <c r="IA398" s="58" t="str">
        <f t="shared" ca="1" si="1649"/>
        <v>X</v>
      </c>
      <c r="IB398" s="58" t="str">
        <f t="shared" ca="1" si="1650"/>
        <v>X</v>
      </c>
      <c r="IC398" s="58" t="str">
        <f t="shared" ca="1" si="1651"/>
        <v>X</v>
      </c>
      <c r="ID398" s="58" t="str">
        <f t="shared" ca="1" si="1652"/>
        <v>X</v>
      </c>
      <c r="IE398" s="58" t="str">
        <f t="shared" ca="1" si="1653"/>
        <v>X</v>
      </c>
      <c r="IF398" s="58" t="str">
        <f t="shared" ca="1" si="1654"/>
        <v>X</v>
      </c>
      <c r="IG398" s="58" t="str">
        <f t="shared" ca="1" si="1655"/>
        <v>X</v>
      </c>
      <c r="IH398" s="58" t="str">
        <f t="shared" ca="1" si="1656"/>
        <v>X</v>
      </c>
      <c r="II398" s="58" t="str">
        <f t="shared" ca="1" si="1657"/>
        <v>X</v>
      </c>
      <c r="IJ398" s="58" t="str">
        <f t="shared" ca="1" si="1658"/>
        <v>X</v>
      </c>
      <c r="IK398" s="58" t="str">
        <f t="shared" ca="1" si="1659"/>
        <v>X</v>
      </c>
      <c r="IL398" s="58" t="str">
        <f t="shared" ca="1" si="1660"/>
        <v>X</v>
      </c>
      <c r="IM398" s="58" t="str">
        <f t="shared" ca="1" si="1661"/>
        <v>X</v>
      </c>
      <c r="IN398" s="58" t="str">
        <f t="shared" ca="1" si="1662"/>
        <v>X</v>
      </c>
      <c r="IO398" s="58" t="str">
        <f t="shared" ca="1" si="1663"/>
        <v>X</v>
      </c>
      <c r="IP398" s="58" t="str">
        <f t="shared" ca="1" si="1664"/>
        <v>X</v>
      </c>
      <c r="IQ398" s="58" t="str">
        <f t="shared" ca="1" si="1665"/>
        <v>X</v>
      </c>
      <c r="IR398" s="58" t="str">
        <f t="shared" ca="1" si="1666"/>
        <v>X</v>
      </c>
      <c r="IS398" s="58" t="str">
        <f t="shared" ca="1" si="1667"/>
        <v>X</v>
      </c>
      <c r="IT398" s="58" t="str">
        <f t="shared" ca="1" si="1668"/>
        <v>X</v>
      </c>
      <c r="IU398" s="58" t="str">
        <f t="shared" ca="1" si="1669"/>
        <v>X</v>
      </c>
      <c r="IV398" s="58" t="str">
        <f t="shared" ca="1" si="1670"/>
        <v>X</v>
      </c>
      <c r="IW398" s="58" t="str">
        <f t="shared" ca="1" si="1671"/>
        <v>X</v>
      </c>
      <c r="IX398" s="58" t="str">
        <f t="shared" ca="1" si="1672"/>
        <v>X</v>
      </c>
      <c r="IY398" s="58" t="str">
        <f t="shared" ca="1" si="1673"/>
        <v>X</v>
      </c>
      <c r="IZ398" s="58" t="str">
        <f t="shared" ca="1" si="1674"/>
        <v>X</v>
      </c>
      <c r="JA398" s="58" t="str">
        <f t="shared" ca="1" si="1675"/>
        <v>X</v>
      </c>
      <c r="JB398" s="58" t="str">
        <f t="shared" ca="1" si="1676"/>
        <v>X</v>
      </c>
      <c r="JC398" s="58" t="str">
        <f t="shared" ca="1" si="1677"/>
        <v>X</v>
      </c>
      <c r="JD398" s="58" t="str">
        <f t="shared" ca="1" si="1678"/>
        <v>X</v>
      </c>
      <c r="JE398" s="58" t="str">
        <f t="shared" ca="1" si="1679"/>
        <v>X</v>
      </c>
      <c r="JF398" s="58" t="str">
        <f t="shared" ca="1" si="1680"/>
        <v>X</v>
      </c>
      <c r="JG398" s="58" t="str">
        <f t="shared" ca="1" si="1681"/>
        <v>X</v>
      </c>
      <c r="JH398" s="58" t="str">
        <f t="shared" ca="1" si="1682"/>
        <v>X</v>
      </c>
      <c r="JI398" s="58" t="str">
        <f t="shared" ca="1" si="1683"/>
        <v>X</v>
      </c>
      <c r="JJ398" s="58" t="str">
        <f t="shared" ca="1" si="1684"/>
        <v>X</v>
      </c>
      <c r="JK398" s="58" t="str">
        <f t="shared" ca="1" si="1685"/>
        <v>X</v>
      </c>
      <c r="JL398" s="58" t="str">
        <f t="shared" ca="1" si="1686"/>
        <v>X</v>
      </c>
      <c r="JM398" s="58" t="str">
        <f t="shared" ca="1" si="1687"/>
        <v>X</v>
      </c>
      <c r="JN398" s="58" t="str">
        <f t="shared" ca="1" si="1688"/>
        <v>X</v>
      </c>
      <c r="JO398" s="58" t="str">
        <f t="shared" ca="1" si="1689"/>
        <v>X</v>
      </c>
      <c r="JP398" s="58" t="str">
        <f t="shared" ca="1" si="1690"/>
        <v>X</v>
      </c>
      <c r="JQ398" s="58" t="str">
        <f t="shared" ca="1" si="1691"/>
        <v>X</v>
      </c>
      <c r="JR398" s="58" t="str">
        <f t="shared" ca="1" si="1692"/>
        <v>X</v>
      </c>
      <c r="JS398" s="58" t="str">
        <f t="shared" ca="1" si="1693"/>
        <v>X</v>
      </c>
      <c r="JT398" s="58" t="str">
        <f t="shared" ca="1" si="1694"/>
        <v>X</v>
      </c>
      <c r="JU398" s="58" t="str">
        <f t="shared" ca="1" si="1695"/>
        <v>X</v>
      </c>
      <c r="JV398" s="58" t="str">
        <f t="shared" ca="1" si="1696"/>
        <v>X</v>
      </c>
      <c r="JW398" s="58" t="str">
        <f t="shared" ca="1" si="1697"/>
        <v>X</v>
      </c>
      <c r="JX398" s="58" t="str">
        <f t="shared" ca="1" si="1698"/>
        <v>X</v>
      </c>
      <c r="JY398" s="58" t="str">
        <f t="shared" ca="1" si="1699"/>
        <v>X</v>
      </c>
      <c r="JZ398" s="58" t="str">
        <f t="shared" ca="1" si="1700"/>
        <v>X</v>
      </c>
      <c r="KA398" s="58" t="str">
        <f t="shared" ca="1" si="1701"/>
        <v>X</v>
      </c>
      <c r="KB398" s="58" t="str">
        <f t="shared" ca="1" si="1702"/>
        <v>X</v>
      </c>
      <c r="KC398" s="58" t="str">
        <f t="shared" ca="1" si="1703"/>
        <v>X</v>
      </c>
      <c r="KD398" s="58" t="str">
        <f t="shared" ca="1" si="1704"/>
        <v>X</v>
      </c>
      <c r="KE398" s="58" t="str">
        <f t="shared" ca="1" si="1705"/>
        <v>X</v>
      </c>
      <c r="KF398" s="58" t="str">
        <f t="shared" ca="1" si="1706"/>
        <v>X</v>
      </c>
      <c r="KG398" s="58" t="str">
        <f t="shared" ca="1" si="1707"/>
        <v>X</v>
      </c>
      <c r="KH398" s="58" t="str">
        <f t="shared" ca="1" si="1708"/>
        <v>X</v>
      </c>
      <c r="KI398" s="58" t="str">
        <f t="shared" ca="1" si="1709"/>
        <v>X</v>
      </c>
      <c r="KJ398" s="58" t="str">
        <f t="shared" ca="1" si="1710"/>
        <v>X</v>
      </c>
      <c r="KK398" s="58" t="str">
        <f t="shared" ca="1" si="1711"/>
        <v>X</v>
      </c>
      <c r="KL398" s="58" t="str">
        <f t="shared" ca="1" si="1712"/>
        <v>X</v>
      </c>
      <c r="KM398" s="58" t="str">
        <f t="shared" ca="1" si="1713"/>
        <v>X</v>
      </c>
      <c r="KN398" s="58" t="str">
        <f t="shared" ca="1" si="1714"/>
        <v>X</v>
      </c>
      <c r="KO398" s="58" t="str">
        <f t="shared" ca="1" si="1715"/>
        <v>X</v>
      </c>
      <c r="KP398" s="58" t="str">
        <f t="shared" ca="1" si="1716"/>
        <v>X</v>
      </c>
      <c r="KQ398" s="58" t="str">
        <f t="shared" ca="1" si="1717"/>
        <v>X</v>
      </c>
      <c r="KR398" s="58" t="str">
        <f t="shared" ca="1" si="1718"/>
        <v>X</v>
      </c>
      <c r="KS398" s="58" t="str">
        <f t="shared" ca="1" si="1719"/>
        <v>X</v>
      </c>
      <c r="KT398" s="58" t="str">
        <f t="shared" ca="1" si="1720"/>
        <v>X</v>
      </c>
      <c r="KU398" s="58" t="str">
        <f t="shared" ca="1" si="1721"/>
        <v>X</v>
      </c>
      <c r="KV398" s="58" t="str">
        <f t="shared" ca="1" si="1722"/>
        <v>X</v>
      </c>
      <c r="KW398" s="58" t="str">
        <f t="shared" ca="1" si="1723"/>
        <v>X</v>
      </c>
      <c r="KX398" s="58" t="str">
        <f t="shared" ca="1" si="1724"/>
        <v>X</v>
      </c>
      <c r="KY398" s="58" t="str">
        <f t="shared" ca="1" si="1725"/>
        <v>X</v>
      </c>
      <c r="KZ398" s="58" t="str">
        <f t="shared" ca="1" si="1726"/>
        <v>X</v>
      </c>
      <c r="LA398" s="58" t="str">
        <f t="shared" ca="1" si="1727"/>
        <v>X</v>
      </c>
      <c r="LB398" s="58" t="str">
        <f t="shared" ca="1" si="1728"/>
        <v>X</v>
      </c>
      <c r="LC398" s="58" t="str">
        <f t="shared" ca="1" si="1729"/>
        <v>X</v>
      </c>
      <c r="LD398" s="58" t="str">
        <f t="shared" ca="1" si="1730"/>
        <v>X</v>
      </c>
      <c r="LE398" s="58" t="str">
        <f t="shared" ca="1" si="1731"/>
        <v>X</v>
      </c>
      <c r="LF398" s="58" t="str">
        <f t="shared" ca="1" si="1732"/>
        <v>X</v>
      </c>
      <c r="LG398" s="58" t="str">
        <f t="shared" ca="1" si="1733"/>
        <v>X</v>
      </c>
      <c r="LH398" s="58" t="str">
        <f t="shared" ca="1" si="1734"/>
        <v>X</v>
      </c>
      <c r="LI398" s="58" t="str">
        <f t="shared" ca="1" si="1735"/>
        <v>X</v>
      </c>
      <c r="LJ398" s="58" t="str">
        <f t="shared" ca="1" si="1736"/>
        <v>X</v>
      </c>
      <c r="LK398" s="58" t="str">
        <f t="shared" ca="1" si="1737"/>
        <v>X</v>
      </c>
      <c r="LL398" s="58" t="str">
        <f t="shared" ca="1" si="1738"/>
        <v>X</v>
      </c>
      <c r="LM398" s="58" t="str">
        <f t="shared" ca="1" si="1739"/>
        <v>X</v>
      </c>
      <c r="LN398" s="58" t="str">
        <f t="shared" ca="1" si="1740"/>
        <v>X</v>
      </c>
      <c r="LO398" s="58" t="str">
        <f t="shared" ca="1" si="1741"/>
        <v>X</v>
      </c>
      <c r="LP398" s="58" t="str">
        <f t="shared" ca="1" si="1742"/>
        <v>X</v>
      </c>
      <c r="LQ398" s="58" t="str">
        <f t="shared" ca="1" si="1743"/>
        <v>X</v>
      </c>
      <c r="LR398" s="58" t="str">
        <f t="shared" ca="1" si="1744"/>
        <v>X</v>
      </c>
      <c r="LS398" s="58" t="str">
        <f t="shared" ca="1" si="1745"/>
        <v>X</v>
      </c>
      <c r="LT398" s="58" t="str">
        <f t="shared" ca="1" si="1746"/>
        <v>X</v>
      </c>
      <c r="LU398" s="58" t="str">
        <f t="shared" ca="1" si="1747"/>
        <v>X</v>
      </c>
      <c r="LV398" s="58" t="str">
        <f t="shared" ca="1" si="1748"/>
        <v>X</v>
      </c>
      <c r="LW398" s="58" t="str">
        <f t="shared" ca="1" si="1749"/>
        <v>X</v>
      </c>
      <c r="LX398" s="58" t="str">
        <f t="shared" ca="1" si="1750"/>
        <v>X</v>
      </c>
      <c r="LY398" s="58" t="str">
        <f t="shared" ca="1" si="1751"/>
        <v>X</v>
      </c>
      <c r="LZ398" s="58" t="str">
        <f t="shared" ca="1" si="1752"/>
        <v>X</v>
      </c>
      <c r="MA398" s="58" t="str">
        <f t="shared" ca="1" si="1753"/>
        <v>X</v>
      </c>
      <c r="MB398" s="58" t="str">
        <f t="shared" ca="1" si="1754"/>
        <v>X</v>
      </c>
      <c r="MC398" s="58" t="str">
        <f t="shared" ca="1" si="1755"/>
        <v>X</v>
      </c>
      <c r="MD398" s="58" t="str">
        <f t="shared" ca="1" si="1756"/>
        <v>X</v>
      </c>
      <c r="ME398" s="58" t="str">
        <f t="shared" ca="1" si="1757"/>
        <v>X</v>
      </c>
      <c r="MF398" s="58" t="str">
        <f t="shared" ca="1" si="1758"/>
        <v>X</v>
      </c>
      <c r="MG398" s="58" t="str">
        <f t="shared" ca="1" si="1759"/>
        <v>X</v>
      </c>
      <c r="MH398" s="58" t="str">
        <f t="shared" ca="1" si="1760"/>
        <v>X</v>
      </c>
      <c r="MI398" s="58" t="str">
        <f t="shared" ca="1" si="1761"/>
        <v>X</v>
      </c>
      <c r="MJ398" s="58" t="str">
        <f t="shared" ca="1" si="1762"/>
        <v>X</v>
      </c>
      <c r="MK398" s="58" t="str">
        <f t="shared" ca="1" si="1763"/>
        <v>X</v>
      </c>
      <c r="ML398" s="58" t="str">
        <f t="shared" ca="1" si="1764"/>
        <v>X</v>
      </c>
      <c r="MM398" s="58" t="str">
        <f t="shared" ca="1" si="1765"/>
        <v>X</v>
      </c>
      <c r="MN398" s="58" t="str">
        <f t="shared" ca="1" si="1766"/>
        <v>X</v>
      </c>
      <c r="MO398" s="58" t="str">
        <f t="shared" ca="1" si="1767"/>
        <v>X</v>
      </c>
      <c r="MP398" s="58" t="str">
        <f t="shared" ca="1" si="1768"/>
        <v>X</v>
      </c>
      <c r="MQ398" s="58" t="str">
        <f t="shared" ca="1" si="1769"/>
        <v>X</v>
      </c>
      <c r="MR398" s="58" t="str">
        <f t="shared" ca="1" si="1770"/>
        <v>X</v>
      </c>
      <c r="MS398" s="58" t="str">
        <f t="shared" ca="1" si="1771"/>
        <v>X</v>
      </c>
      <c r="MT398" s="58" t="str">
        <f t="shared" ref="MT398:NE398" ca="1" si="1786">IF($K398=INDIRECT(CONCATENATE("$AG$"&amp;GH$392)),INDIRECT(CONCATENATE("$AG$"&amp;GH$391)),
IF($K398=INDIRECT(CONCATENATE("$AF$"&amp;GH$392)),INDIRECT(CONCATENATE("$AF$"&amp;GH$391)),
IF($K398=INDIRECT(CONCATENATE("$AE$"&amp;GH$392)),INDIRECT(CONCATENATE("$AE$"&amp;GH$391)),
IF($K398=INDIRECT(CONCATENATE("$AD$"&amp;GH$392)),INDIRECT(CONCATENATE("$AD$"&amp;GH$391)),
IF($K398=INDIRECT(CONCATENATE("$AC$"&amp;GH$392)),INDIRECT(CONCATENATE("$AC$"&amp;GH$391)),
IF($K398=INDIRECT(CONCATENATE("$AB$"&amp;GH$392)),INDIRECT(CONCATENATE("$AB$"&amp;GH$391)),
IF($K398=INDIRECT(CONCATENATE("$AA$"&amp;GH$392)),INDIRECT(CONCATENATE("$AA$"&amp;GH$391)),
IF($K398=INDIRECT(CONCATENATE("$Z$"&amp;GH$392)),INDIRECT(CONCATENATE("$Z$"&amp;GH$391)),
IF($K398=INDIRECT(CONCATENATE("$Y$"&amp;GH$392)),INDIRECT(CONCATENATE("$Y$"&amp;GH$391)),
IF($K398=INDIRECT(CONCATENATE("$X$"&amp;GH$392)),INDIRECT(CONCATENATE("$X$"&amp;GH$391)),
IF($K398=INDIRECT(CONCATENATE("$W$"&amp;GH$392)),INDIRECT(CONCATENATE("$W$"&amp;GH$391)),
IF($K398=INDIRECT(CONCATENATE("$V$"&amp;GH$392)),INDIRECT(CONCATENATE("$V$"&amp;GH$391)),
IF($K398=INDIRECT(CONCATENATE("$U$"&amp;GH$392)),INDIRECT(CONCATENATE("$U$"&amp;GH$391)),
IF($K398=INDIRECT(CONCATENATE("$T$"&amp;GH$392)),INDIRECT(CONCATENATE("$T$"&amp;GH$391)),
IF($K398=INDIRECT(CONCATENATE("$S$"&amp;GH$392)),INDIRECT(CONCATENATE("$S$"&amp;GH$391)),
IF($K398=INDIRECT(CONCATENATE("$R$"&amp;GH$392)),INDIRECT(CONCATENATE("$R$"&amp;GH$391)),
IF($K398=INDIRECT(CONCATENATE("$Q$"&amp;GH$392)),INDIRECT(CONCATENATE("$Q$"&amp;GH$391)),
IF($K398=INDIRECT(CONCATENATE("$P$"&amp;GH$392)),INDIRECT(CONCATENATE("$P$"&amp;GH$391)),
IF($K398=INDIRECT(CONCATENATE("$O$"&amp;GH$392)),INDIRECT(CONCATENATE("$O$"&amp;GH$391)),
IF($K398=INDIRECT(CONCATENATE("$N$"&amp;GH$392)),INDIRECT(CONCATENATE("$N$"&amp;GH$391)),
IF($K398=INDIRECT(CONCATENATE("$M$"&amp;GH$392)),INDIRECT(CONCATENATE("$M$"&amp;GH$391)),
IF($K398=INDIRECT(CONCATENATE("$L$"&amp;GH$392)),INDIRECT(CONCATENATE("$L$"&amp;GH$391)),
IF($K398=INDIRECT(CONCATENATE("$K$"&amp;GH$392)),INDIRECT(CONCATENATE("$K$"&amp;GH$391)),
IF($K398=INDIRECT(CONCATENATE("$J$"&amp;GH$392)),INDIRECT(CONCATENATE("$J$"&amp;GH$391)),
IF($K398=INDIRECT(CONCATENATE("$I$"&amp;GH$392)),INDIRECT(CONCATENATE("$I$"&amp;GH$391)),
IF($K398=INDIRECT(CONCATENATE("$H$"&amp;GH$392)),INDIRECT(CONCATENATE("$H$"&amp;GH$391)),
IF($K398=INDIRECT(CONCATENATE("$G$"&amp;GH$392)),INDIRECT(CONCATENATE("$G$"&amp;GH$391)),
IF($K398=INDIRECT(CONCATENATE("$F$"&amp;GH$392)),INDIRECT(CONCATENATE("$F$"&amp;GH$391)),
IF($K398=INDIRECT(CONCATENATE("$E$"&amp;GH$392)),INDIRECT(CONCATENATE("$E$"&amp;GH$391)),
IF($K398=INDIRECT(CONCATENATE("$D$"&amp;GH$392)),INDIRECT(CONCATENATE("$D$"&amp;GH$391)),
IF($K398=INDIRECT(CONCATENATE("$C$"&amp;GH$392)),INDIRECT(CONCATENATE("$C$"&amp;GH$391)),"X")))))))))))))))))))))))))))))))</f>
        <v>X</v>
      </c>
      <c r="MU398" s="58" t="str">
        <f t="shared" ca="1" si="1786"/>
        <v>X</v>
      </c>
      <c r="MV398" s="58" t="str">
        <f t="shared" ca="1" si="1786"/>
        <v>X</v>
      </c>
      <c r="MW398" s="58" t="str">
        <f t="shared" ca="1" si="1786"/>
        <v>X</v>
      </c>
      <c r="MX398" s="58" t="str">
        <f t="shared" ca="1" si="1786"/>
        <v>X</v>
      </c>
      <c r="MY398" s="58" t="str">
        <f t="shared" ca="1" si="1786"/>
        <v>X</v>
      </c>
      <c r="MZ398" s="58" t="str">
        <f t="shared" ca="1" si="1786"/>
        <v>X</v>
      </c>
      <c r="NA398" s="58" t="str">
        <f t="shared" ca="1" si="1786"/>
        <v>X</v>
      </c>
      <c r="NB398" s="58" t="str">
        <f t="shared" ca="1" si="1786"/>
        <v>X</v>
      </c>
      <c r="NC398" s="58" t="str">
        <f t="shared" ca="1" si="1786"/>
        <v>X</v>
      </c>
      <c r="ND398" s="58" t="str">
        <f t="shared" ca="1" si="1786"/>
        <v>X</v>
      </c>
      <c r="NE398" s="58" t="str">
        <f t="shared" ca="1" si="1786"/>
        <v>X</v>
      </c>
      <c r="NF398" s="58" t="str">
        <f t="shared" ca="1" si="1773"/>
        <v>X</v>
      </c>
      <c r="NG398" s="58" t="str">
        <f t="shared" ca="1" si="1774"/>
        <v>X</v>
      </c>
    </row>
    <row r="399" spans="1:371" ht="18" customHeight="1">
      <c r="A399" s="241" t="s">
        <v>90</v>
      </c>
      <c r="B399" s="304"/>
      <c r="C399" s="304"/>
      <c r="D399" s="304"/>
      <c r="E399" s="304"/>
      <c r="F399" s="304"/>
      <c r="G399" s="304"/>
      <c r="H399" s="304"/>
      <c r="I399" s="304"/>
      <c r="J399" s="303"/>
      <c r="K399" s="237" t="s">
        <v>28</v>
      </c>
      <c r="L399" s="303"/>
      <c r="M399" s="55">
        <v>66</v>
      </c>
      <c r="N399" s="225" t="s">
        <v>91</v>
      </c>
      <c r="O399" s="304"/>
      <c r="P399" s="304"/>
      <c r="Q399" s="304"/>
      <c r="R399" s="303"/>
      <c r="S399" s="226">
        <v>93745</v>
      </c>
      <c r="T399" s="304"/>
      <c r="U399" s="303"/>
      <c r="V399" s="227" t="s">
        <v>89</v>
      </c>
      <c r="W399" s="303"/>
      <c r="X399" s="56">
        <f t="shared" ca="1" si="1775"/>
        <v>46057</v>
      </c>
      <c r="Y399" s="56">
        <f t="shared" ca="1" si="1776"/>
        <v>46127</v>
      </c>
      <c r="Z399" s="228" t="str">
        <f t="shared" ca="1" si="1612"/>
        <v>CONCLUÍDA</v>
      </c>
      <c r="AA399" s="304"/>
      <c r="AB399" s="303"/>
      <c r="AC399" s="224">
        <f t="shared" si="1777"/>
        <v>66</v>
      </c>
      <c r="AD399" s="303"/>
      <c r="AE399" s="229">
        <f t="shared" si="1778"/>
        <v>0</v>
      </c>
      <c r="AF399" s="303"/>
      <c r="AG399" s="57" t="str">
        <f t="shared" si="1615"/>
        <v>OK</v>
      </c>
      <c r="AH399" s="59"/>
      <c r="AI399" s="70"/>
      <c r="AJ399" s="58" t="str">
        <f t="shared" ref="AJ399:GT399" ca="1" si="1787">IF($K399=INDIRECT(CONCATENATE("$C$"&amp;AJ$392)), INDIRECT(CONCATENATE("$C$"&amp;AJ$391)),
IF($K399=INDIRECT(CONCATENATE("$D$"&amp;AJ$392)), INDIRECT(CONCATENATE("$D$"&amp;AJ$391)),
IF($K399=INDIRECT(CONCATENATE("$E$"&amp;AJ$392)), INDIRECT(CONCATENATE("$E$"&amp;AJ$391)),
IF($K399=INDIRECT(CONCATENATE("$F$"&amp;AJ$392)), INDIRECT(CONCATENATE("$F$"&amp;AJ$391)),
IF($K399=INDIRECT(CONCATENATE("$G$"&amp;AJ$392)), INDIRECT(CONCATENATE("$G$"&amp;AJ$391)),
IF($K399=INDIRECT(CONCATENATE("$H$"&amp;AJ$392)), INDIRECT(CONCATENATE("$H$"&amp;AJ$391)),
IF($K399=INDIRECT(CONCATENATE("$I$"&amp;AJ$392)), INDIRECT(CONCATENATE("$I$"&amp;AJ$391)),
IF($K399=INDIRECT(CONCATENATE("$J$"&amp;AJ$392)), INDIRECT(CONCATENATE("$J$"&amp;AJ$391)),
IF($K399=INDIRECT(CONCATENATE("$K$"&amp;AJ$392)), INDIRECT(CONCATENATE("$K$"&amp;AJ$391)),
IF($K399=INDIRECT(CONCATENATE("$L$"&amp;AJ$392)), INDIRECT(CONCATENATE("$L$"&amp;AJ$391)),
IF($K399=INDIRECT(CONCATENATE("$M$"&amp;AJ$392)), INDIRECT(CONCATENATE("$M$"&amp;AJ$391)),
IF($K399=INDIRECT(CONCATENATE("$N$"&amp;AJ$392)), INDIRECT(CONCATENATE("$N$"&amp;AJ$391)),
IF($K399=INDIRECT(CONCATENATE("$O$"&amp;AJ$392)), INDIRECT(CONCATENATE("$O$"&amp;AJ$391)),
IF($K399=INDIRECT(CONCATENATE("$P$"&amp;AJ$392)), INDIRECT(CONCATENATE("$P$"&amp;AJ$391)),
IF($K399=INDIRECT(CONCATENATE("$Q$"&amp;AJ$392)), INDIRECT(CONCATENATE("$Q$"&amp;AJ$391)),
IF($K399=INDIRECT(CONCATENATE("$R$"&amp;AJ$392)), INDIRECT(CONCATENATE("$R$"&amp;AJ$391)),
IF($K399=INDIRECT(CONCATENATE("$S$"&amp;AJ$392)), INDIRECT(CONCATENATE("$S$"&amp;AJ$391)),
IF($K399=INDIRECT(CONCATENATE("$T$"&amp;AJ$392)), INDIRECT(CONCATENATE("$T$"&amp;AJ$391)),
IF($K399=INDIRECT(CONCATENATE("$U$"&amp;AJ$392)), INDIRECT(CONCATENATE("$U$"&amp;AJ$391)),
IF($K399=INDIRECT(CONCATENATE("$V$"&amp;AJ$392)), INDIRECT(CONCATENATE("$V$"&amp;AJ$391)),
IF($K399=INDIRECT(CONCATENATE("$W$"&amp;AJ$392)), INDIRECT(CONCATENATE("$W$"&amp;AJ$391)),
IF($K399=INDIRECT(CONCATENATE("$X$"&amp;AJ$392)), INDIRECT(CONCATENATE("$X$"&amp;AJ$391)),
IF($K399=INDIRECT(CONCATENATE("$Y$"&amp;AJ$392)), INDIRECT(CONCATENATE("$Y$"&amp;AJ$391)),
IF($K399=INDIRECT(CONCATENATE("$Z$"&amp;AJ$392)), INDIRECT(CONCATENATE("$Z$"&amp;AJ$391)),
IF($K399=INDIRECT(CONCATENATE("$AA$"&amp;AJ$392)), INDIRECT(CONCATENATE("$AA$"&amp;AJ$391)),
IF($K399=INDIRECT(CONCATENATE("$AB$"&amp;AJ$392)), INDIRECT(CONCATENATE("$AB$"&amp;AJ$391)),
IF($K399=INDIRECT(CONCATENATE("$AC$"&amp;AJ$392)), INDIRECT(CONCATENATE("$AC$"&amp;AJ$391)),
IF($K399=INDIRECT(CONCATENATE("$AD$"&amp;AJ$392)), INDIRECT(CONCATENATE("$AD$"&amp;AJ$391)),
IF($K399=INDIRECT(CONCATENATE("$AE$"&amp;AJ$392)), INDIRECT(CONCATENATE("$AE$"&amp;AJ$391)),
IF($K399=INDIRECT(CONCATENATE("$AF$"&amp;AJ$392)), INDIRECT(CONCATENATE("$AF$"&amp;AJ$391)),
IF($K399=INDIRECT(CONCATENATE("$AG$"&amp;AJ$392)), INDIRECT(CONCATENATE("$AG$"&amp;AJ$391)),"X")))))))))))))))))))))))))))))))</f>
        <v>X</v>
      </c>
      <c r="AK399" s="58" t="str">
        <f t="shared" ca="1" si="1787"/>
        <v>X</v>
      </c>
      <c r="AL399" s="58" t="str">
        <f t="shared" ca="1" si="1787"/>
        <v>X</v>
      </c>
      <c r="AM399" s="58" t="str">
        <f t="shared" ca="1" si="1787"/>
        <v>X</v>
      </c>
      <c r="AN399" s="58" t="str">
        <f t="shared" ca="1" si="1787"/>
        <v>X</v>
      </c>
      <c r="AO399" s="58" t="str">
        <f t="shared" ca="1" si="1787"/>
        <v>X</v>
      </c>
      <c r="AP399" s="58" t="str">
        <f t="shared" ca="1" si="1787"/>
        <v>X</v>
      </c>
      <c r="AQ399" s="58" t="str">
        <f t="shared" ca="1" si="1787"/>
        <v>X</v>
      </c>
      <c r="AR399" s="58" t="str">
        <f t="shared" ca="1" si="1787"/>
        <v>X</v>
      </c>
      <c r="AS399" s="58" t="str">
        <f t="shared" ca="1" si="1787"/>
        <v>X</v>
      </c>
      <c r="AT399" s="58" t="str">
        <f t="shared" ca="1" si="1787"/>
        <v>X</v>
      </c>
      <c r="AU399" s="58" t="str">
        <f t="shared" ca="1" si="1787"/>
        <v>X</v>
      </c>
      <c r="AV399" s="58" t="str">
        <f t="shared" ca="1" si="1787"/>
        <v>X</v>
      </c>
      <c r="AW399" s="58" t="str">
        <f t="shared" ca="1" si="1787"/>
        <v>X</v>
      </c>
      <c r="AX399" s="58">
        <f t="shared" ca="1" si="1787"/>
        <v>46057</v>
      </c>
      <c r="AY399" s="58">
        <f t="shared" ca="1" si="1787"/>
        <v>46057</v>
      </c>
      <c r="AZ399" s="58">
        <f t="shared" ca="1" si="1787"/>
        <v>46057</v>
      </c>
      <c r="BA399" s="58">
        <f t="shared" ca="1" si="1787"/>
        <v>46057</v>
      </c>
      <c r="BB399" s="58" t="str">
        <f t="shared" ca="1" si="1787"/>
        <v>X</v>
      </c>
      <c r="BC399" s="58" t="str">
        <f t="shared" ca="1" si="1787"/>
        <v>X</v>
      </c>
      <c r="BD399" s="58" t="str">
        <f t="shared" ca="1" si="1787"/>
        <v>X</v>
      </c>
      <c r="BE399" s="58" t="str">
        <f t="shared" ca="1" si="1787"/>
        <v>X</v>
      </c>
      <c r="BF399" s="58" t="str">
        <f t="shared" ca="1" si="1787"/>
        <v>X</v>
      </c>
      <c r="BG399" s="58" t="str">
        <f t="shared" ca="1" si="1787"/>
        <v>X</v>
      </c>
      <c r="BH399" s="58" t="str">
        <f t="shared" ca="1" si="1787"/>
        <v>X</v>
      </c>
      <c r="BI399" s="58" t="str">
        <f t="shared" ca="1" si="1787"/>
        <v>X</v>
      </c>
      <c r="BJ399" s="58" t="str">
        <f t="shared" ca="1" si="1787"/>
        <v>X</v>
      </c>
      <c r="BK399" s="58" t="str">
        <f t="shared" ca="1" si="1787"/>
        <v>X</v>
      </c>
      <c r="BL399" s="58">
        <f t="shared" ca="1" si="1787"/>
        <v>46083</v>
      </c>
      <c r="BM399" s="58">
        <f t="shared" ca="1" si="1787"/>
        <v>46083</v>
      </c>
      <c r="BN399" s="58">
        <f t="shared" ca="1" si="1787"/>
        <v>46083</v>
      </c>
      <c r="BO399" s="58">
        <f t="shared" ca="1" si="1787"/>
        <v>46083</v>
      </c>
      <c r="BP399" s="58" t="str">
        <f t="shared" ca="1" si="1787"/>
        <v>X</v>
      </c>
      <c r="BQ399" s="58" t="str">
        <f t="shared" ca="1" si="1787"/>
        <v>X</v>
      </c>
      <c r="BR399" s="58" t="str">
        <f t="shared" ca="1" si="1787"/>
        <v>X</v>
      </c>
      <c r="BS399" s="58" t="str">
        <f t="shared" ca="1" si="1787"/>
        <v>X</v>
      </c>
      <c r="BT399" s="58" t="str">
        <f t="shared" ca="1" si="1787"/>
        <v>X</v>
      </c>
      <c r="BU399" s="58" t="str">
        <f t="shared" ca="1" si="1787"/>
        <v>X</v>
      </c>
      <c r="BV399" s="58" t="str">
        <f t="shared" ca="1" si="1787"/>
        <v>X</v>
      </c>
      <c r="BW399" s="58" t="str">
        <f t="shared" ca="1" si="1787"/>
        <v>X</v>
      </c>
      <c r="BX399" s="58" t="str">
        <f t="shared" ca="1" si="1787"/>
        <v>X</v>
      </c>
      <c r="BY399" s="58" t="str">
        <f t="shared" ca="1" si="1787"/>
        <v>X</v>
      </c>
      <c r="BZ399" s="58">
        <f t="shared" ca="1" si="1787"/>
        <v>46113</v>
      </c>
      <c r="CA399" s="58">
        <f t="shared" ca="1" si="1787"/>
        <v>46113</v>
      </c>
      <c r="CB399" s="58">
        <f t="shared" ca="1" si="1787"/>
        <v>46113</v>
      </c>
      <c r="CC399" s="58">
        <f t="shared" ca="1" si="1787"/>
        <v>46113</v>
      </c>
      <c r="CD399" s="58" t="str">
        <f t="shared" ca="1" si="1787"/>
        <v>X</v>
      </c>
      <c r="CE399" s="58" t="str">
        <f t="shared" ca="1" si="1787"/>
        <v>X</v>
      </c>
      <c r="CF399" s="58" t="str">
        <f t="shared" ca="1" si="1787"/>
        <v>X</v>
      </c>
      <c r="CG399" s="58" t="str">
        <f t="shared" ca="1" si="1787"/>
        <v>X</v>
      </c>
      <c r="CH399" s="58" t="str">
        <f t="shared" ca="1" si="1787"/>
        <v>X</v>
      </c>
      <c r="CI399" s="58" t="str">
        <f t="shared" ca="1" si="1787"/>
        <v>X</v>
      </c>
      <c r="CJ399" s="58" t="str">
        <f t="shared" ca="1" si="1787"/>
        <v>X</v>
      </c>
      <c r="CK399" s="58" t="str">
        <f t="shared" ca="1" si="1787"/>
        <v>X</v>
      </c>
      <c r="CL399" s="58" t="str">
        <f t="shared" ca="1" si="1787"/>
        <v>X</v>
      </c>
      <c r="CM399" s="58" t="str">
        <f t="shared" ca="1" si="1787"/>
        <v>X</v>
      </c>
      <c r="CN399" s="58" t="str">
        <f t="shared" ca="1" si="1787"/>
        <v>X</v>
      </c>
      <c r="CO399" s="58" t="str">
        <f t="shared" ca="1" si="1787"/>
        <v>X</v>
      </c>
      <c r="CP399" s="58" t="str">
        <f t="shared" ca="1" si="1787"/>
        <v>X</v>
      </c>
      <c r="CQ399" s="58" t="str">
        <f t="shared" ca="1" si="1787"/>
        <v>X</v>
      </c>
      <c r="CR399" s="58" t="str">
        <f t="shared" ca="1" si="1787"/>
        <v>X</v>
      </c>
      <c r="CS399" s="58" t="str">
        <f t="shared" ca="1" si="1787"/>
        <v>X</v>
      </c>
      <c r="CT399" s="58" t="str">
        <f t="shared" ca="1" si="1787"/>
        <v>X</v>
      </c>
      <c r="CU399" s="58" t="str">
        <f t="shared" ca="1" si="1787"/>
        <v>X</v>
      </c>
      <c r="CV399" s="58" t="str">
        <f t="shared" ca="1" si="1787"/>
        <v>X</v>
      </c>
      <c r="CW399" s="58" t="str">
        <f t="shared" ca="1" si="1787"/>
        <v>X</v>
      </c>
      <c r="CX399" s="58" t="str">
        <f t="shared" ca="1" si="1787"/>
        <v>X</v>
      </c>
      <c r="CY399" s="58" t="str">
        <f t="shared" ca="1" si="1787"/>
        <v>X</v>
      </c>
      <c r="CZ399" s="58" t="str">
        <f t="shared" ca="1" si="1787"/>
        <v>X</v>
      </c>
      <c r="DA399" s="58" t="str">
        <f t="shared" ca="1" si="1787"/>
        <v>X</v>
      </c>
      <c r="DB399" s="58" t="str">
        <f t="shared" ca="1" si="1787"/>
        <v>X</v>
      </c>
      <c r="DC399" s="58" t="str">
        <f t="shared" ca="1" si="1787"/>
        <v>X</v>
      </c>
      <c r="DD399" s="58" t="str">
        <f t="shared" ca="1" si="1787"/>
        <v>X</v>
      </c>
      <c r="DE399" s="58" t="str">
        <f t="shared" ca="1" si="1787"/>
        <v>X</v>
      </c>
      <c r="DF399" s="58" t="str">
        <f t="shared" ca="1" si="1787"/>
        <v>X</v>
      </c>
      <c r="DG399" s="58" t="str">
        <f t="shared" ca="1" si="1787"/>
        <v>X</v>
      </c>
      <c r="DH399" s="58" t="str">
        <f t="shared" ca="1" si="1787"/>
        <v>X</v>
      </c>
      <c r="DI399" s="58" t="str">
        <f t="shared" ca="1" si="1787"/>
        <v>X</v>
      </c>
      <c r="DJ399" s="58" t="str">
        <f t="shared" ca="1" si="1787"/>
        <v>X</v>
      </c>
      <c r="DK399" s="58" t="str">
        <f t="shared" ca="1" si="1787"/>
        <v>X</v>
      </c>
      <c r="DL399" s="58" t="str">
        <f t="shared" ca="1" si="1787"/>
        <v>X</v>
      </c>
      <c r="DM399" s="58" t="str">
        <f t="shared" ca="1" si="1787"/>
        <v>X</v>
      </c>
      <c r="DN399" s="58" t="str">
        <f t="shared" ca="1" si="1787"/>
        <v>X</v>
      </c>
      <c r="DO399" s="58" t="str">
        <f t="shared" ca="1" si="1787"/>
        <v>X</v>
      </c>
      <c r="DP399" s="58" t="str">
        <f t="shared" ca="1" si="1787"/>
        <v>X</v>
      </c>
      <c r="DQ399" s="58" t="str">
        <f t="shared" ca="1" si="1787"/>
        <v>X</v>
      </c>
      <c r="DR399" s="58" t="str">
        <f t="shared" ca="1" si="1787"/>
        <v>X</v>
      </c>
      <c r="DS399" s="58" t="str">
        <f t="shared" ca="1" si="1787"/>
        <v>X</v>
      </c>
      <c r="DT399" s="58" t="str">
        <f t="shared" ca="1" si="1787"/>
        <v>X</v>
      </c>
      <c r="DU399" s="58" t="str">
        <f t="shared" ca="1" si="1787"/>
        <v>X</v>
      </c>
      <c r="DV399" s="58" t="str">
        <f t="shared" ca="1" si="1787"/>
        <v>X</v>
      </c>
      <c r="DW399" s="58" t="str">
        <f t="shared" ca="1" si="1787"/>
        <v>X</v>
      </c>
      <c r="DX399" s="58" t="str">
        <f t="shared" ca="1" si="1787"/>
        <v>X</v>
      </c>
      <c r="DY399" s="58" t="str">
        <f t="shared" ca="1" si="1787"/>
        <v>X</v>
      </c>
      <c r="DZ399" s="58" t="str">
        <f t="shared" ca="1" si="1787"/>
        <v>X</v>
      </c>
      <c r="EA399" s="58" t="str">
        <f t="shared" ca="1" si="1787"/>
        <v>X</v>
      </c>
      <c r="EB399" s="58" t="str">
        <f t="shared" ca="1" si="1787"/>
        <v>X</v>
      </c>
      <c r="EC399" s="58" t="str">
        <f t="shared" ca="1" si="1787"/>
        <v>X</v>
      </c>
      <c r="ED399" s="58" t="str">
        <f t="shared" ca="1" si="1787"/>
        <v>X</v>
      </c>
      <c r="EE399" s="58" t="str">
        <f t="shared" ca="1" si="1787"/>
        <v>X</v>
      </c>
      <c r="EF399" s="58" t="str">
        <f t="shared" ca="1" si="1787"/>
        <v>X</v>
      </c>
      <c r="EG399" s="58" t="str">
        <f t="shared" ca="1" si="1787"/>
        <v>X</v>
      </c>
      <c r="EH399" s="58" t="str">
        <f t="shared" ca="1" si="1787"/>
        <v>X</v>
      </c>
      <c r="EI399" s="58" t="str">
        <f t="shared" ca="1" si="1787"/>
        <v>X</v>
      </c>
      <c r="EJ399" s="58" t="str">
        <f t="shared" ca="1" si="1787"/>
        <v>X</v>
      </c>
      <c r="EK399" s="58" t="str">
        <f t="shared" ca="1" si="1787"/>
        <v>X</v>
      </c>
      <c r="EL399" s="58" t="str">
        <f t="shared" ca="1" si="1787"/>
        <v>X</v>
      </c>
      <c r="EM399" s="58" t="str">
        <f t="shared" ca="1" si="1787"/>
        <v>X</v>
      </c>
      <c r="EN399" s="58" t="str">
        <f t="shared" ca="1" si="1787"/>
        <v>X</v>
      </c>
      <c r="EO399" s="58" t="str">
        <f t="shared" ca="1" si="1787"/>
        <v>X</v>
      </c>
      <c r="EP399" s="58" t="str">
        <f t="shared" ca="1" si="1787"/>
        <v>X</v>
      </c>
      <c r="EQ399" s="58" t="str">
        <f t="shared" ca="1" si="1787"/>
        <v>X</v>
      </c>
      <c r="ER399" s="58" t="str">
        <f t="shared" ca="1" si="1787"/>
        <v>X</v>
      </c>
      <c r="ES399" s="58" t="str">
        <f t="shared" ca="1" si="1787"/>
        <v>X</v>
      </c>
      <c r="ET399" s="58" t="str">
        <f t="shared" ca="1" si="1787"/>
        <v>X</v>
      </c>
      <c r="EU399" s="58" t="str">
        <f t="shared" ca="1" si="1787"/>
        <v>X</v>
      </c>
      <c r="EV399" s="58" t="str">
        <f t="shared" ca="1" si="1787"/>
        <v>X</v>
      </c>
      <c r="EW399" s="58" t="str">
        <f t="shared" ca="1" si="1787"/>
        <v>X</v>
      </c>
      <c r="EX399" s="58" t="str">
        <f t="shared" ca="1" si="1787"/>
        <v>X</v>
      </c>
      <c r="EY399" s="58" t="str">
        <f t="shared" ca="1" si="1787"/>
        <v>X</v>
      </c>
      <c r="EZ399" s="58" t="str">
        <f t="shared" ca="1" si="1787"/>
        <v>X</v>
      </c>
      <c r="FA399" s="58" t="str">
        <f t="shared" ca="1" si="1787"/>
        <v>X</v>
      </c>
      <c r="FB399" s="58" t="str">
        <f t="shared" ca="1" si="1787"/>
        <v>X</v>
      </c>
      <c r="FC399" s="58" t="str">
        <f t="shared" ca="1" si="1787"/>
        <v>X</v>
      </c>
      <c r="FD399" s="58" t="str">
        <f t="shared" ca="1" si="1787"/>
        <v>X</v>
      </c>
      <c r="FE399" s="58" t="str">
        <f t="shared" ca="1" si="1787"/>
        <v>X</v>
      </c>
      <c r="FF399" s="58" t="str">
        <f t="shared" ca="1" si="1787"/>
        <v>X</v>
      </c>
      <c r="FG399" s="58" t="str">
        <f t="shared" ca="1" si="1787"/>
        <v>X</v>
      </c>
      <c r="FH399" s="58" t="str">
        <f t="shared" ca="1" si="1787"/>
        <v>X</v>
      </c>
      <c r="FI399" s="58" t="str">
        <f t="shared" ca="1" si="1787"/>
        <v>X</v>
      </c>
      <c r="FJ399" s="58" t="str">
        <f t="shared" ca="1" si="1787"/>
        <v>X</v>
      </c>
      <c r="FK399" s="58" t="str">
        <f t="shared" ca="1" si="1787"/>
        <v>X</v>
      </c>
      <c r="FL399" s="58" t="str">
        <f t="shared" ca="1" si="1787"/>
        <v>X</v>
      </c>
      <c r="FM399" s="58" t="str">
        <f t="shared" ca="1" si="1787"/>
        <v>X</v>
      </c>
      <c r="FN399" s="58" t="str">
        <f t="shared" ca="1" si="1787"/>
        <v>X</v>
      </c>
      <c r="FO399" s="58" t="str">
        <f t="shared" ca="1" si="1787"/>
        <v>X</v>
      </c>
      <c r="FP399" s="58" t="str">
        <f t="shared" ca="1" si="1787"/>
        <v>X</v>
      </c>
      <c r="FQ399" s="58" t="str">
        <f t="shared" ca="1" si="1787"/>
        <v>X</v>
      </c>
      <c r="FR399" s="58" t="str">
        <f t="shared" ca="1" si="1787"/>
        <v>X</v>
      </c>
      <c r="FS399" s="58" t="str">
        <f t="shared" ca="1" si="1787"/>
        <v>X</v>
      </c>
      <c r="FT399" s="58" t="str">
        <f t="shared" ca="1" si="1787"/>
        <v>X</v>
      </c>
      <c r="FU399" s="58" t="str">
        <f t="shared" ca="1" si="1787"/>
        <v>X</v>
      </c>
      <c r="FV399" s="58" t="str">
        <f t="shared" ca="1" si="1787"/>
        <v>X</v>
      </c>
      <c r="FW399" s="58" t="str">
        <f t="shared" ca="1" si="1787"/>
        <v>X</v>
      </c>
      <c r="FX399" s="58" t="str">
        <f t="shared" ca="1" si="1787"/>
        <v>X</v>
      </c>
      <c r="FY399" s="58" t="str">
        <f t="shared" ca="1" si="1787"/>
        <v>X</v>
      </c>
      <c r="FZ399" s="58" t="str">
        <f t="shared" ca="1" si="1787"/>
        <v>X</v>
      </c>
      <c r="GA399" s="58" t="str">
        <f t="shared" ca="1" si="1787"/>
        <v>X</v>
      </c>
      <c r="GB399" s="58" t="str">
        <f t="shared" ca="1" si="1787"/>
        <v>X</v>
      </c>
      <c r="GC399" s="58" t="str">
        <f t="shared" ca="1" si="1787"/>
        <v>X</v>
      </c>
      <c r="GD399" s="58" t="str">
        <f t="shared" ca="1" si="1787"/>
        <v>X</v>
      </c>
      <c r="GE399" s="58" t="str">
        <f t="shared" ca="1" si="1787"/>
        <v>X</v>
      </c>
      <c r="GF399" s="58" t="str">
        <f t="shared" ca="1" si="1787"/>
        <v>X</v>
      </c>
      <c r="GG399" s="58" t="str">
        <f t="shared" ca="1" si="1787"/>
        <v>X</v>
      </c>
      <c r="GH399" s="58" t="str">
        <f t="shared" ca="1" si="1787"/>
        <v>X</v>
      </c>
      <c r="GI399" s="58" t="str">
        <f t="shared" ca="1" si="1787"/>
        <v>X</v>
      </c>
      <c r="GJ399" s="58" t="str">
        <f t="shared" ca="1" si="1787"/>
        <v>X</v>
      </c>
      <c r="GK399" s="58" t="str">
        <f t="shared" ca="1" si="1787"/>
        <v>X</v>
      </c>
      <c r="GL399" s="58" t="str">
        <f t="shared" ca="1" si="1787"/>
        <v>X</v>
      </c>
      <c r="GM399" s="58" t="str">
        <f t="shared" ca="1" si="1787"/>
        <v>X</v>
      </c>
      <c r="GN399" s="58" t="str">
        <f t="shared" ca="1" si="1787"/>
        <v>X</v>
      </c>
      <c r="GO399" s="58" t="str">
        <f t="shared" ca="1" si="1787"/>
        <v>X</v>
      </c>
      <c r="GP399" s="58" t="str">
        <f t="shared" ca="1" si="1787"/>
        <v>X</v>
      </c>
      <c r="GQ399" s="58" t="str">
        <f t="shared" ca="1" si="1787"/>
        <v>X</v>
      </c>
      <c r="GR399" s="58" t="str">
        <f t="shared" ca="1" si="1787"/>
        <v>X</v>
      </c>
      <c r="GS399" s="80" t="str">
        <f t="shared" ca="1" si="1787"/>
        <v>X</v>
      </c>
      <c r="GT399" s="58" t="str">
        <f t="shared" ca="1" si="1787"/>
        <v>X</v>
      </c>
      <c r="GU399" s="82" t="str">
        <f t="shared" ca="1" si="1617"/>
        <v>X</v>
      </c>
      <c r="GV399" s="58" t="str">
        <f t="shared" ca="1" si="1618"/>
        <v>X</v>
      </c>
      <c r="GW399" s="58" t="str">
        <f t="shared" ca="1" si="1619"/>
        <v>X</v>
      </c>
      <c r="GX399" s="58" t="str">
        <f t="shared" ca="1" si="1620"/>
        <v>X</v>
      </c>
      <c r="GY399" s="58" t="str">
        <f t="shared" ca="1" si="1621"/>
        <v>X</v>
      </c>
      <c r="GZ399" s="58" t="str">
        <f t="shared" ca="1" si="1622"/>
        <v>X</v>
      </c>
      <c r="HA399" s="58" t="str">
        <f t="shared" ca="1" si="1623"/>
        <v>X</v>
      </c>
      <c r="HB399" s="58" t="str">
        <f t="shared" ca="1" si="1624"/>
        <v>X</v>
      </c>
      <c r="HC399" s="58" t="str">
        <f t="shared" ca="1" si="1625"/>
        <v>X</v>
      </c>
      <c r="HD399" s="58" t="str">
        <f t="shared" ca="1" si="1626"/>
        <v>X</v>
      </c>
      <c r="HE399" s="58" t="str">
        <f t="shared" ca="1" si="1627"/>
        <v>X</v>
      </c>
      <c r="HF399" s="58" t="str">
        <f t="shared" ca="1" si="1628"/>
        <v>X</v>
      </c>
      <c r="HG399" s="58" t="str">
        <f t="shared" ca="1" si="1629"/>
        <v>X</v>
      </c>
      <c r="HH399" s="58" t="str">
        <f t="shared" ca="1" si="1630"/>
        <v>X</v>
      </c>
      <c r="HI399" s="58" t="str">
        <f t="shared" ca="1" si="1631"/>
        <v>X</v>
      </c>
      <c r="HJ399" s="58">
        <f t="shared" ca="1" si="1632"/>
        <v>46064</v>
      </c>
      <c r="HK399" s="58">
        <f t="shared" ca="1" si="1633"/>
        <v>46064</v>
      </c>
      <c r="HL399" s="58">
        <f t="shared" ca="1" si="1634"/>
        <v>46064</v>
      </c>
      <c r="HM399" s="58">
        <f t="shared" ca="1" si="1635"/>
        <v>46064</v>
      </c>
      <c r="HN399" s="58" t="str">
        <f t="shared" ca="1" si="1636"/>
        <v>X</v>
      </c>
      <c r="HO399" s="58" t="str">
        <f t="shared" ca="1" si="1637"/>
        <v>X</v>
      </c>
      <c r="HP399" s="58" t="str">
        <f t="shared" ca="1" si="1638"/>
        <v>X</v>
      </c>
      <c r="HQ399" s="58" t="str">
        <f t="shared" ca="1" si="1639"/>
        <v>X</v>
      </c>
      <c r="HR399" s="58" t="str">
        <f t="shared" ca="1" si="1640"/>
        <v>X</v>
      </c>
      <c r="HS399" s="58" t="str">
        <f t="shared" ca="1" si="1641"/>
        <v>X</v>
      </c>
      <c r="HT399" s="58" t="str">
        <f t="shared" ca="1" si="1642"/>
        <v>X</v>
      </c>
      <c r="HU399" s="58" t="str">
        <f t="shared" ca="1" si="1643"/>
        <v>X</v>
      </c>
      <c r="HV399" s="58" t="str">
        <f t="shared" ca="1" si="1644"/>
        <v>X</v>
      </c>
      <c r="HW399" s="58" t="str">
        <f t="shared" ca="1" si="1645"/>
        <v>X</v>
      </c>
      <c r="HX399" s="58">
        <f t="shared" ca="1" si="1646"/>
        <v>46111</v>
      </c>
      <c r="HY399" s="58">
        <f t="shared" ca="1" si="1647"/>
        <v>46111</v>
      </c>
      <c r="HZ399" s="58">
        <f t="shared" ca="1" si="1648"/>
        <v>46111</v>
      </c>
      <c r="IA399" s="58">
        <f t="shared" ca="1" si="1649"/>
        <v>46111</v>
      </c>
      <c r="IB399" s="58" t="str">
        <f t="shared" ca="1" si="1650"/>
        <v>X</v>
      </c>
      <c r="IC399" s="58" t="str">
        <f t="shared" ca="1" si="1651"/>
        <v>X</v>
      </c>
      <c r="ID399" s="58" t="str">
        <f t="shared" ca="1" si="1652"/>
        <v>X</v>
      </c>
      <c r="IE399" s="58" t="str">
        <f t="shared" ca="1" si="1653"/>
        <v>X</v>
      </c>
      <c r="IF399" s="58" t="str">
        <f t="shared" ca="1" si="1654"/>
        <v>X</v>
      </c>
      <c r="IG399" s="58" t="str">
        <f t="shared" ca="1" si="1655"/>
        <v>X</v>
      </c>
      <c r="IH399" s="58" t="str">
        <f t="shared" ca="1" si="1656"/>
        <v>X</v>
      </c>
      <c r="II399" s="58" t="str">
        <f t="shared" ca="1" si="1657"/>
        <v>X</v>
      </c>
      <c r="IJ399" s="58" t="str">
        <f t="shared" ca="1" si="1658"/>
        <v>X</v>
      </c>
      <c r="IK399" s="58" t="str">
        <f t="shared" ca="1" si="1659"/>
        <v>X</v>
      </c>
      <c r="IL399" s="58">
        <f t="shared" ca="1" si="1660"/>
        <v>46127</v>
      </c>
      <c r="IM399" s="58">
        <f t="shared" ca="1" si="1661"/>
        <v>46127</v>
      </c>
      <c r="IN399" s="58">
        <f t="shared" ca="1" si="1662"/>
        <v>46125</v>
      </c>
      <c r="IO399" s="58">
        <f t="shared" ca="1" si="1663"/>
        <v>46125</v>
      </c>
      <c r="IP399" s="58" t="str">
        <f t="shared" ca="1" si="1664"/>
        <v>X</v>
      </c>
      <c r="IQ399" s="58" t="str">
        <f t="shared" ca="1" si="1665"/>
        <v>X</v>
      </c>
      <c r="IR399" s="58" t="str">
        <f t="shared" ca="1" si="1666"/>
        <v>X</v>
      </c>
      <c r="IS399" s="58" t="str">
        <f t="shared" ca="1" si="1667"/>
        <v>X</v>
      </c>
      <c r="IT399" s="58" t="str">
        <f t="shared" ca="1" si="1668"/>
        <v>X</v>
      </c>
      <c r="IU399" s="58" t="str">
        <f t="shared" ca="1" si="1669"/>
        <v>X</v>
      </c>
      <c r="IV399" s="58" t="str">
        <f t="shared" ca="1" si="1670"/>
        <v>X</v>
      </c>
      <c r="IW399" s="58" t="str">
        <f t="shared" ca="1" si="1671"/>
        <v>X</v>
      </c>
      <c r="IX399" s="58" t="str">
        <f t="shared" ca="1" si="1672"/>
        <v>X</v>
      </c>
      <c r="IY399" s="58" t="str">
        <f t="shared" ca="1" si="1673"/>
        <v>X</v>
      </c>
      <c r="IZ399" s="58" t="str">
        <f t="shared" ca="1" si="1674"/>
        <v>X</v>
      </c>
      <c r="JA399" s="58" t="str">
        <f t="shared" ca="1" si="1675"/>
        <v>X</v>
      </c>
      <c r="JB399" s="58" t="str">
        <f t="shared" ca="1" si="1676"/>
        <v>X</v>
      </c>
      <c r="JC399" s="58" t="str">
        <f t="shared" ca="1" si="1677"/>
        <v>X</v>
      </c>
      <c r="JD399" s="58" t="str">
        <f t="shared" ca="1" si="1678"/>
        <v>X</v>
      </c>
      <c r="JE399" s="58" t="str">
        <f t="shared" ca="1" si="1679"/>
        <v>X</v>
      </c>
      <c r="JF399" s="58" t="str">
        <f t="shared" ca="1" si="1680"/>
        <v>X</v>
      </c>
      <c r="JG399" s="58" t="str">
        <f t="shared" ca="1" si="1681"/>
        <v>X</v>
      </c>
      <c r="JH399" s="58" t="str">
        <f t="shared" ca="1" si="1682"/>
        <v>X</v>
      </c>
      <c r="JI399" s="58" t="str">
        <f t="shared" ca="1" si="1683"/>
        <v>X</v>
      </c>
      <c r="JJ399" s="58" t="str">
        <f t="shared" ca="1" si="1684"/>
        <v>X</v>
      </c>
      <c r="JK399" s="58" t="str">
        <f t="shared" ca="1" si="1685"/>
        <v>X</v>
      </c>
      <c r="JL399" s="58" t="str">
        <f t="shared" ca="1" si="1686"/>
        <v>X</v>
      </c>
      <c r="JM399" s="58" t="str">
        <f t="shared" ca="1" si="1687"/>
        <v>X</v>
      </c>
      <c r="JN399" s="58" t="str">
        <f t="shared" ca="1" si="1688"/>
        <v>X</v>
      </c>
      <c r="JO399" s="58" t="str">
        <f t="shared" ca="1" si="1689"/>
        <v>X</v>
      </c>
      <c r="JP399" s="58" t="str">
        <f t="shared" ca="1" si="1690"/>
        <v>X</v>
      </c>
      <c r="JQ399" s="58" t="str">
        <f t="shared" ca="1" si="1691"/>
        <v>X</v>
      </c>
      <c r="JR399" s="58" t="str">
        <f t="shared" ca="1" si="1692"/>
        <v>X</v>
      </c>
      <c r="JS399" s="58" t="str">
        <f t="shared" ca="1" si="1693"/>
        <v>X</v>
      </c>
      <c r="JT399" s="58" t="str">
        <f t="shared" ca="1" si="1694"/>
        <v>X</v>
      </c>
      <c r="JU399" s="58" t="str">
        <f t="shared" ca="1" si="1695"/>
        <v>X</v>
      </c>
      <c r="JV399" s="58" t="str">
        <f t="shared" ca="1" si="1696"/>
        <v>X</v>
      </c>
      <c r="JW399" s="58" t="str">
        <f t="shared" ca="1" si="1697"/>
        <v>X</v>
      </c>
      <c r="JX399" s="58" t="str">
        <f t="shared" ca="1" si="1698"/>
        <v>X</v>
      </c>
      <c r="JY399" s="58" t="str">
        <f t="shared" ca="1" si="1699"/>
        <v>X</v>
      </c>
      <c r="JZ399" s="58" t="str">
        <f t="shared" ca="1" si="1700"/>
        <v>X</v>
      </c>
      <c r="KA399" s="58" t="str">
        <f t="shared" ca="1" si="1701"/>
        <v>X</v>
      </c>
      <c r="KB399" s="58" t="str">
        <f t="shared" ca="1" si="1702"/>
        <v>X</v>
      </c>
      <c r="KC399" s="58" t="str">
        <f t="shared" ca="1" si="1703"/>
        <v>X</v>
      </c>
      <c r="KD399" s="58" t="str">
        <f t="shared" ca="1" si="1704"/>
        <v>X</v>
      </c>
      <c r="KE399" s="58" t="str">
        <f t="shared" ca="1" si="1705"/>
        <v>X</v>
      </c>
      <c r="KF399" s="58" t="str">
        <f t="shared" ca="1" si="1706"/>
        <v>X</v>
      </c>
      <c r="KG399" s="58" t="str">
        <f t="shared" ca="1" si="1707"/>
        <v>X</v>
      </c>
      <c r="KH399" s="58" t="str">
        <f t="shared" ca="1" si="1708"/>
        <v>X</v>
      </c>
      <c r="KI399" s="58" t="str">
        <f t="shared" ca="1" si="1709"/>
        <v>X</v>
      </c>
      <c r="KJ399" s="58" t="str">
        <f t="shared" ca="1" si="1710"/>
        <v>X</v>
      </c>
      <c r="KK399" s="58" t="str">
        <f t="shared" ca="1" si="1711"/>
        <v>X</v>
      </c>
      <c r="KL399" s="58" t="str">
        <f t="shared" ca="1" si="1712"/>
        <v>X</v>
      </c>
      <c r="KM399" s="58" t="str">
        <f t="shared" ca="1" si="1713"/>
        <v>X</v>
      </c>
      <c r="KN399" s="58" t="str">
        <f t="shared" ca="1" si="1714"/>
        <v>X</v>
      </c>
      <c r="KO399" s="58" t="str">
        <f t="shared" ca="1" si="1715"/>
        <v>X</v>
      </c>
      <c r="KP399" s="58" t="str">
        <f t="shared" ca="1" si="1716"/>
        <v>X</v>
      </c>
      <c r="KQ399" s="58" t="str">
        <f t="shared" ca="1" si="1717"/>
        <v>X</v>
      </c>
      <c r="KR399" s="58" t="str">
        <f t="shared" ca="1" si="1718"/>
        <v>X</v>
      </c>
      <c r="KS399" s="58" t="str">
        <f t="shared" ca="1" si="1719"/>
        <v>X</v>
      </c>
      <c r="KT399" s="58" t="str">
        <f t="shared" ca="1" si="1720"/>
        <v>X</v>
      </c>
      <c r="KU399" s="58" t="str">
        <f t="shared" ca="1" si="1721"/>
        <v>X</v>
      </c>
      <c r="KV399" s="58" t="str">
        <f t="shared" ca="1" si="1722"/>
        <v>X</v>
      </c>
      <c r="KW399" s="58" t="str">
        <f t="shared" ca="1" si="1723"/>
        <v>X</v>
      </c>
      <c r="KX399" s="58" t="str">
        <f t="shared" ca="1" si="1724"/>
        <v>X</v>
      </c>
      <c r="KY399" s="58" t="str">
        <f t="shared" ca="1" si="1725"/>
        <v>X</v>
      </c>
      <c r="KZ399" s="58" t="str">
        <f t="shared" ca="1" si="1726"/>
        <v>X</v>
      </c>
      <c r="LA399" s="58" t="str">
        <f t="shared" ca="1" si="1727"/>
        <v>X</v>
      </c>
      <c r="LB399" s="58" t="str">
        <f t="shared" ca="1" si="1728"/>
        <v>X</v>
      </c>
      <c r="LC399" s="58" t="str">
        <f t="shared" ca="1" si="1729"/>
        <v>X</v>
      </c>
      <c r="LD399" s="58" t="str">
        <f t="shared" ca="1" si="1730"/>
        <v>X</v>
      </c>
      <c r="LE399" s="58" t="str">
        <f t="shared" ca="1" si="1731"/>
        <v>X</v>
      </c>
      <c r="LF399" s="58" t="str">
        <f t="shared" ca="1" si="1732"/>
        <v>X</v>
      </c>
      <c r="LG399" s="58" t="str">
        <f t="shared" ca="1" si="1733"/>
        <v>X</v>
      </c>
      <c r="LH399" s="58" t="str">
        <f t="shared" ca="1" si="1734"/>
        <v>X</v>
      </c>
      <c r="LI399" s="58" t="str">
        <f t="shared" ca="1" si="1735"/>
        <v>X</v>
      </c>
      <c r="LJ399" s="58" t="str">
        <f t="shared" ca="1" si="1736"/>
        <v>X</v>
      </c>
      <c r="LK399" s="58" t="str">
        <f t="shared" ca="1" si="1737"/>
        <v>X</v>
      </c>
      <c r="LL399" s="58" t="str">
        <f t="shared" ca="1" si="1738"/>
        <v>X</v>
      </c>
      <c r="LM399" s="58" t="str">
        <f t="shared" ca="1" si="1739"/>
        <v>X</v>
      </c>
      <c r="LN399" s="58" t="str">
        <f t="shared" ca="1" si="1740"/>
        <v>X</v>
      </c>
      <c r="LO399" s="58" t="str">
        <f t="shared" ca="1" si="1741"/>
        <v>X</v>
      </c>
      <c r="LP399" s="58" t="str">
        <f t="shared" ca="1" si="1742"/>
        <v>X</v>
      </c>
      <c r="LQ399" s="58" t="str">
        <f t="shared" ca="1" si="1743"/>
        <v>X</v>
      </c>
      <c r="LR399" s="58" t="str">
        <f t="shared" ca="1" si="1744"/>
        <v>X</v>
      </c>
      <c r="LS399" s="58" t="str">
        <f t="shared" ca="1" si="1745"/>
        <v>X</v>
      </c>
      <c r="LT399" s="58" t="str">
        <f t="shared" ca="1" si="1746"/>
        <v>X</v>
      </c>
      <c r="LU399" s="58" t="str">
        <f t="shared" ca="1" si="1747"/>
        <v>X</v>
      </c>
      <c r="LV399" s="58" t="str">
        <f t="shared" ca="1" si="1748"/>
        <v>X</v>
      </c>
      <c r="LW399" s="58" t="str">
        <f t="shared" ca="1" si="1749"/>
        <v>X</v>
      </c>
      <c r="LX399" s="58" t="str">
        <f t="shared" ca="1" si="1750"/>
        <v>X</v>
      </c>
      <c r="LY399" s="58" t="str">
        <f t="shared" ca="1" si="1751"/>
        <v>X</v>
      </c>
      <c r="LZ399" s="58" t="str">
        <f t="shared" ca="1" si="1752"/>
        <v>X</v>
      </c>
      <c r="MA399" s="58" t="str">
        <f t="shared" ca="1" si="1753"/>
        <v>X</v>
      </c>
      <c r="MB399" s="58" t="str">
        <f t="shared" ca="1" si="1754"/>
        <v>X</v>
      </c>
      <c r="MC399" s="58" t="str">
        <f t="shared" ca="1" si="1755"/>
        <v>X</v>
      </c>
      <c r="MD399" s="58" t="str">
        <f t="shared" ca="1" si="1756"/>
        <v>X</v>
      </c>
      <c r="ME399" s="58" t="str">
        <f t="shared" ca="1" si="1757"/>
        <v>X</v>
      </c>
      <c r="MF399" s="58" t="str">
        <f t="shared" ca="1" si="1758"/>
        <v>X</v>
      </c>
      <c r="MG399" s="58" t="str">
        <f t="shared" ca="1" si="1759"/>
        <v>X</v>
      </c>
      <c r="MH399" s="58" t="str">
        <f t="shared" ca="1" si="1760"/>
        <v>X</v>
      </c>
      <c r="MI399" s="58" t="str">
        <f t="shared" ca="1" si="1761"/>
        <v>X</v>
      </c>
      <c r="MJ399" s="58" t="str">
        <f t="shared" ca="1" si="1762"/>
        <v>X</v>
      </c>
      <c r="MK399" s="58" t="str">
        <f t="shared" ca="1" si="1763"/>
        <v>X</v>
      </c>
      <c r="ML399" s="58" t="str">
        <f t="shared" ca="1" si="1764"/>
        <v>X</v>
      </c>
      <c r="MM399" s="58" t="str">
        <f t="shared" ca="1" si="1765"/>
        <v>X</v>
      </c>
      <c r="MN399" s="58" t="str">
        <f t="shared" ca="1" si="1766"/>
        <v>X</v>
      </c>
      <c r="MO399" s="58" t="str">
        <f t="shared" ca="1" si="1767"/>
        <v>X</v>
      </c>
      <c r="MP399" s="58" t="str">
        <f t="shared" ca="1" si="1768"/>
        <v>X</v>
      </c>
      <c r="MQ399" s="58" t="str">
        <f t="shared" ca="1" si="1769"/>
        <v>X</v>
      </c>
      <c r="MR399" s="58" t="str">
        <f t="shared" ca="1" si="1770"/>
        <v>X</v>
      </c>
      <c r="MS399" s="58" t="str">
        <f t="shared" ca="1" si="1771"/>
        <v>X</v>
      </c>
      <c r="MT399" s="58" t="str">
        <f t="shared" ref="MT399:NE399" ca="1" si="1788">IF($K399=INDIRECT(CONCATENATE("$AG$"&amp;GH$392)),INDIRECT(CONCATENATE("$AG$"&amp;GH$391)),
IF($K399=INDIRECT(CONCATENATE("$AF$"&amp;GH$392)),INDIRECT(CONCATENATE("$AF$"&amp;GH$391)),
IF($K399=INDIRECT(CONCATENATE("$AE$"&amp;GH$392)),INDIRECT(CONCATENATE("$AE$"&amp;GH$391)),
IF($K399=INDIRECT(CONCATENATE("$AD$"&amp;GH$392)),INDIRECT(CONCATENATE("$AD$"&amp;GH$391)),
IF($K399=INDIRECT(CONCATENATE("$AC$"&amp;GH$392)),INDIRECT(CONCATENATE("$AC$"&amp;GH$391)),
IF($K399=INDIRECT(CONCATENATE("$AB$"&amp;GH$392)),INDIRECT(CONCATENATE("$AB$"&amp;GH$391)),
IF($K399=INDIRECT(CONCATENATE("$AA$"&amp;GH$392)),INDIRECT(CONCATENATE("$AA$"&amp;GH$391)),
IF($K399=INDIRECT(CONCATENATE("$Z$"&amp;GH$392)),INDIRECT(CONCATENATE("$Z$"&amp;GH$391)),
IF($K399=INDIRECT(CONCATENATE("$Y$"&amp;GH$392)),INDIRECT(CONCATENATE("$Y$"&amp;GH$391)),
IF($K399=INDIRECT(CONCATENATE("$X$"&amp;GH$392)),INDIRECT(CONCATENATE("$X$"&amp;GH$391)),
IF($K399=INDIRECT(CONCATENATE("$W$"&amp;GH$392)),INDIRECT(CONCATENATE("$W$"&amp;GH$391)),
IF($K399=INDIRECT(CONCATENATE("$V$"&amp;GH$392)),INDIRECT(CONCATENATE("$V$"&amp;GH$391)),
IF($K399=INDIRECT(CONCATENATE("$U$"&amp;GH$392)),INDIRECT(CONCATENATE("$U$"&amp;GH$391)),
IF($K399=INDIRECT(CONCATENATE("$T$"&amp;GH$392)),INDIRECT(CONCATENATE("$T$"&amp;GH$391)),
IF($K399=INDIRECT(CONCATENATE("$S$"&amp;GH$392)),INDIRECT(CONCATENATE("$S$"&amp;GH$391)),
IF($K399=INDIRECT(CONCATENATE("$R$"&amp;GH$392)),INDIRECT(CONCATENATE("$R$"&amp;GH$391)),
IF($K399=INDIRECT(CONCATENATE("$Q$"&amp;GH$392)),INDIRECT(CONCATENATE("$Q$"&amp;GH$391)),
IF($K399=INDIRECT(CONCATENATE("$P$"&amp;GH$392)),INDIRECT(CONCATENATE("$P$"&amp;GH$391)),
IF($K399=INDIRECT(CONCATENATE("$O$"&amp;GH$392)),INDIRECT(CONCATENATE("$O$"&amp;GH$391)),
IF($K399=INDIRECT(CONCATENATE("$N$"&amp;GH$392)),INDIRECT(CONCATENATE("$N$"&amp;GH$391)),
IF($K399=INDIRECT(CONCATENATE("$M$"&amp;GH$392)),INDIRECT(CONCATENATE("$M$"&amp;GH$391)),
IF($K399=INDIRECT(CONCATENATE("$L$"&amp;GH$392)),INDIRECT(CONCATENATE("$L$"&amp;GH$391)),
IF($K399=INDIRECT(CONCATENATE("$K$"&amp;GH$392)),INDIRECT(CONCATENATE("$K$"&amp;GH$391)),
IF($K399=INDIRECT(CONCATENATE("$J$"&amp;GH$392)),INDIRECT(CONCATENATE("$J$"&amp;GH$391)),
IF($K399=INDIRECT(CONCATENATE("$I$"&amp;GH$392)),INDIRECT(CONCATENATE("$I$"&amp;GH$391)),
IF($K399=INDIRECT(CONCATENATE("$H$"&amp;GH$392)),INDIRECT(CONCATENATE("$H$"&amp;GH$391)),
IF($K399=INDIRECT(CONCATENATE("$G$"&amp;GH$392)),INDIRECT(CONCATENATE("$G$"&amp;GH$391)),
IF($K399=INDIRECT(CONCATENATE("$F$"&amp;GH$392)),INDIRECT(CONCATENATE("$F$"&amp;GH$391)),
IF($K399=INDIRECT(CONCATENATE("$E$"&amp;GH$392)),INDIRECT(CONCATENATE("$E$"&amp;GH$391)),
IF($K399=INDIRECT(CONCATENATE("$D$"&amp;GH$392)),INDIRECT(CONCATENATE("$D$"&amp;GH$391)),
IF($K399=INDIRECT(CONCATENATE("$C$"&amp;GH$392)),INDIRECT(CONCATENATE("$C$"&amp;GH$391)),"X")))))))))))))))))))))))))))))))</f>
        <v>X</v>
      </c>
      <c r="MU399" s="58" t="str">
        <f t="shared" ca="1" si="1788"/>
        <v>X</v>
      </c>
      <c r="MV399" s="58" t="str">
        <f t="shared" ca="1" si="1788"/>
        <v>X</v>
      </c>
      <c r="MW399" s="58" t="str">
        <f t="shared" ca="1" si="1788"/>
        <v>X</v>
      </c>
      <c r="MX399" s="58" t="str">
        <f t="shared" ca="1" si="1788"/>
        <v>X</v>
      </c>
      <c r="MY399" s="58" t="str">
        <f t="shared" ca="1" si="1788"/>
        <v>X</v>
      </c>
      <c r="MZ399" s="58" t="str">
        <f t="shared" ca="1" si="1788"/>
        <v>X</v>
      </c>
      <c r="NA399" s="58" t="str">
        <f t="shared" ca="1" si="1788"/>
        <v>X</v>
      </c>
      <c r="NB399" s="58" t="str">
        <f t="shared" ca="1" si="1788"/>
        <v>X</v>
      </c>
      <c r="NC399" s="58" t="str">
        <f t="shared" ca="1" si="1788"/>
        <v>X</v>
      </c>
      <c r="ND399" s="58" t="str">
        <f t="shared" ca="1" si="1788"/>
        <v>X</v>
      </c>
      <c r="NE399" s="58" t="str">
        <f t="shared" ca="1" si="1788"/>
        <v>X</v>
      </c>
      <c r="NF399" s="58" t="str">
        <f t="shared" ca="1" si="1773"/>
        <v>X</v>
      </c>
      <c r="NG399" s="58" t="str">
        <f t="shared" ca="1" si="1774"/>
        <v>X</v>
      </c>
    </row>
    <row r="400" spans="1:371" ht="18" customHeight="1">
      <c r="A400" s="241" t="s">
        <v>92</v>
      </c>
      <c r="B400" s="271"/>
      <c r="C400" s="271"/>
      <c r="D400" s="271"/>
      <c r="E400" s="271"/>
      <c r="F400" s="271"/>
      <c r="G400" s="271"/>
      <c r="H400" s="271"/>
      <c r="I400" s="271"/>
      <c r="J400" s="272"/>
      <c r="K400" s="237" t="s">
        <v>35</v>
      </c>
      <c r="L400" s="303"/>
      <c r="M400" s="55">
        <v>48</v>
      </c>
      <c r="N400" s="225" t="s">
        <v>91</v>
      </c>
      <c r="O400" s="304"/>
      <c r="P400" s="304"/>
      <c r="Q400" s="304"/>
      <c r="R400" s="303"/>
      <c r="S400" s="226">
        <v>93745</v>
      </c>
      <c r="T400" s="304"/>
      <c r="U400" s="303"/>
      <c r="V400" s="227" t="s">
        <v>89</v>
      </c>
      <c r="W400" s="303"/>
      <c r="X400" s="56">
        <f t="shared" ca="1" si="1775"/>
        <v>46134</v>
      </c>
      <c r="Y400" s="56">
        <f t="shared" ca="1" si="1776"/>
        <v>46189</v>
      </c>
      <c r="Z400" s="228" t="str">
        <f t="shared" ca="1" si="1612"/>
        <v>CONCLUÍDA</v>
      </c>
      <c r="AA400" s="304"/>
      <c r="AB400" s="303"/>
      <c r="AC400" s="224">
        <f t="shared" si="1777"/>
        <v>52</v>
      </c>
      <c r="AD400" s="303"/>
      <c r="AE400" s="229">
        <f t="shared" si="1778"/>
        <v>-4</v>
      </c>
      <c r="AF400" s="303"/>
      <c r="AG400" s="57" t="str">
        <f t="shared" si="1615"/>
        <v/>
      </c>
      <c r="AH400" s="59"/>
      <c r="AI400" s="70"/>
      <c r="AJ400" s="58" t="str">
        <f t="shared" ref="AJ400:GT400" ca="1" si="1789">IF($K400=INDIRECT(CONCATENATE("$C$"&amp;AJ$392)), INDIRECT(CONCATENATE("$C$"&amp;AJ$391)),
IF($K400=INDIRECT(CONCATENATE("$D$"&amp;AJ$392)), INDIRECT(CONCATENATE("$D$"&amp;AJ$391)),
IF($K400=INDIRECT(CONCATENATE("$E$"&amp;AJ$392)), INDIRECT(CONCATENATE("$E$"&amp;AJ$391)),
IF($K400=INDIRECT(CONCATENATE("$F$"&amp;AJ$392)), INDIRECT(CONCATENATE("$F$"&amp;AJ$391)),
IF($K400=INDIRECT(CONCATENATE("$G$"&amp;AJ$392)), INDIRECT(CONCATENATE("$G$"&amp;AJ$391)),
IF($K400=INDIRECT(CONCATENATE("$H$"&amp;AJ$392)), INDIRECT(CONCATENATE("$H$"&amp;AJ$391)),
IF($K400=INDIRECT(CONCATENATE("$I$"&amp;AJ$392)), INDIRECT(CONCATENATE("$I$"&amp;AJ$391)),
IF($K400=INDIRECT(CONCATENATE("$J$"&amp;AJ$392)), INDIRECT(CONCATENATE("$J$"&amp;AJ$391)),
IF($K400=INDIRECT(CONCATENATE("$K$"&amp;AJ$392)), INDIRECT(CONCATENATE("$K$"&amp;AJ$391)),
IF($K400=INDIRECT(CONCATENATE("$L$"&amp;AJ$392)), INDIRECT(CONCATENATE("$L$"&amp;AJ$391)),
IF($K400=INDIRECT(CONCATENATE("$M$"&amp;AJ$392)), INDIRECT(CONCATENATE("$M$"&amp;AJ$391)),
IF($K400=INDIRECT(CONCATENATE("$N$"&amp;AJ$392)), INDIRECT(CONCATENATE("$N$"&amp;AJ$391)),
IF($K400=INDIRECT(CONCATENATE("$O$"&amp;AJ$392)), INDIRECT(CONCATENATE("$O$"&amp;AJ$391)),
IF($K400=INDIRECT(CONCATENATE("$P$"&amp;AJ$392)), INDIRECT(CONCATENATE("$P$"&amp;AJ$391)),
IF($K400=INDIRECT(CONCATENATE("$Q$"&amp;AJ$392)), INDIRECT(CONCATENATE("$Q$"&amp;AJ$391)),
IF($K400=INDIRECT(CONCATENATE("$R$"&amp;AJ$392)), INDIRECT(CONCATENATE("$R$"&amp;AJ$391)),
IF($K400=INDIRECT(CONCATENATE("$S$"&amp;AJ$392)), INDIRECT(CONCATENATE("$S$"&amp;AJ$391)),
IF($K400=INDIRECT(CONCATENATE("$T$"&amp;AJ$392)), INDIRECT(CONCATENATE("$T$"&amp;AJ$391)),
IF($K400=INDIRECT(CONCATENATE("$U$"&amp;AJ$392)), INDIRECT(CONCATENATE("$U$"&amp;AJ$391)),
IF($K400=INDIRECT(CONCATENATE("$V$"&amp;AJ$392)), INDIRECT(CONCATENATE("$V$"&amp;AJ$391)),
IF($K400=INDIRECT(CONCATENATE("$W$"&amp;AJ$392)), INDIRECT(CONCATENATE("$W$"&amp;AJ$391)),
IF($K400=INDIRECT(CONCATENATE("$X$"&amp;AJ$392)), INDIRECT(CONCATENATE("$X$"&amp;AJ$391)),
IF($K400=INDIRECT(CONCATENATE("$Y$"&amp;AJ$392)), INDIRECT(CONCATENATE("$Y$"&amp;AJ$391)),
IF($K400=INDIRECT(CONCATENATE("$Z$"&amp;AJ$392)), INDIRECT(CONCATENATE("$Z$"&amp;AJ$391)),
IF($K400=INDIRECT(CONCATENATE("$AA$"&amp;AJ$392)), INDIRECT(CONCATENATE("$AA$"&amp;AJ$391)),
IF($K400=INDIRECT(CONCATENATE("$AB$"&amp;AJ$392)), INDIRECT(CONCATENATE("$AB$"&amp;AJ$391)),
IF($K400=INDIRECT(CONCATENATE("$AC$"&amp;AJ$392)), INDIRECT(CONCATENATE("$AC$"&amp;AJ$391)),
IF($K400=INDIRECT(CONCATENATE("$AD$"&amp;AJ$392)), INDIRECT(CONCATENATE("$AD$"&amp;AJ$391)),
IF($K400=INDIRECT(CONCATENATE("$AE$"&amp;AJ$392)), INDIRECT(CONCATENATE("$AE$"&amp;AJ$391)),
IF($K400=INDIRECT(CONCATENATE("$AF$"&amp;AJ$392)), INDIRECT(CONCATENATE("$AF$"&amp;AJ$391)),
IF($K400=INDIRECT(CONCATENATE("$AG$"&amp;AJ$392)), INDIRECT(CONCATENATE("$AG$"&amp;AJ$391)),"X")))))))))))))))))))))))))))))))</f>
        <v>X</v>
      </c>
      <c r="AK400" s="58" t="str">
        <f t="shared" ca="1" si="1789"/>
        <v>X</v>
      </c>
      <c r="AL400" s="58" t="str">
        <f t="shared" ca="1" si="1789"/>
        <v>X</v>
      </c>
      <c r="AM400" s="58" t="str">
        <f t="shared" ca="1" si="1789"/>
        <v>X</v>
      </c>
      <c r="AN400" s="58" t="str">
        <f t="shared" ca="1" si="1789"/>
        <v>X</v>
      </c>
      <c r="AO400" s="58" t="str">
        <f t="shared" ca="1" si="1789"/>
        <v>X</v>
      </c>
      <c r="AP400" s="58" t="str">
        <f t="shared" ca="1" si="1789"/>
        <v>X</v>
      </c>
      <c r="AQ400" s="58" t="str">
        <f t="shared" ca="1" si="1789"/>
        <v>X</v>
      </c>
      <c r="AR400" s="58" t="str">
        <f t="shared" ca="1" si="1789"/>
        <v>X</v>
      </c>
      <c r="AS400" s="58" t="str">
        <f t="shared" ca="1" si="1789"/>
        <v>X</v>
      </c>
      <c r="AT400" s="58" t="str">
        <f t="shared" ca="1" si="1789"/>
        <v>X</v>
      </c>
      <c r="AU400" s="58" t="str">
        <f t="shared" ca="1" si="1789"/>
        <v>X</v>
      </c>
      <c r="AV400" s="58" t="str">
        <f t="shared" ca="1" si="1789"/>
        <v>X</v>
      </c>
      <c r="AW400" s="58" t="str">
        <f t="shared" ca="1" si="1789"/>
        <v>X</v>
      </c>
      <c r="AX400" s="58" t="str">
        <f t="shared" ca="1" si="1789"/>
        <v>X</v>
      </c>
      <c r="AY400" s="58" t="str">
        <f t="shared" ca="1" si="1789"/>
        <v>X</v>
      </c>
      <c r="AZ400" s="58" t="str">
        <f t="shared" ca="1" si="1789"/>
        <v>X</v>
      </c>
      <c r="BA400" s="58" t="str">
        <f t="shared" ca="1" si="1789"/>
        <v>X</v>
      </c>
      <c r="BB400" s="58" t="str">
        <f t="shared" ca="1" si="1789"/>
        <v>X</v>
      </c>
      <c r="BC400" s="58" t="str">
        <f t="shared" ca="1" si="1789"/>
        <v>X</v>
      </c>
      <c r="BD400" s="58" t="str">
        <f t="shared" ca="1" si="1789"/>
        <v>X</v>
      </c>
      <c r="BE400" s="58" t="str">
        <f t="shared" ca="1" si="1789"/>
        <v>X</v>
      </c>
      <c r="BF400" s="58" t="str">
        <f t="shared" ca="1" si="1789"/>
        <v>X</v>
      </c>
      <c r="BG400" s="58" t="str">
        <f t="shared" ca="1" si="1789"/>
        <v>X</v>
      </c>
      <c r="BH400" s="58" t="str">
        <f t="shared" ca="1" si="1789"/>
        <v>X</v>
      </c>
      <c r="BI400" s="58" t="str">
        <f t="shared" ca="1" si="1789"/>
        <v>X</v>
      </c>
      <c r="BJ400" s="58" t="str">
        <f t="shared" ca="1" si="1789"/>
        <v>X</v>
      </c>
      <c r="BK400" s="58" t="str">
        <f t="shared" ca="1" si="1789"/>
        <v>X</v>
      </c>
      <c r="BL400" s="58" t="str">
        <f t="shared" ca="1" si="1789"/>
        <v>X</v>
      </c>
      <c r="BM400" s="58" t="str">
        <f t="shared" ca="1" si="1789"/>
        <v>X</v>
      </c>
      <c r="BN400" s="58" t="str">
        <f t="shared" ca="1" si="1789"/>
        <v>X</v>
      </c>
      <c r="BO400" s="58" t="str">
        <f t="shared" ca="1" si="1789"/>
        <v>X</v>
      </c>
      <c r="BP400" s="58" t="str">
        <f t="shared" ca="1" si="1789"/>
        <v>X</v>
      </c>
      <c r="BQ400" s="58" t="str">
        <f t="shared" ca="1" si="1789"/>
        <v>X</v>
      </c>
      <c r="BR400" s="58" t="str">
        <f t="shared" ca="1" si="1789"/>
        <v>X</v>
      </c>
      <c r="BS400" s="58" t="str">
        <f t="shared" ca="1" si="1789"/>
        <v>X</v>
      </c>
      <c r="BT400" s="58" t="str">
        <f t="shared" ca="1" si="1789"/>
        <v>X</v>
      </c>
      <c r="BU400" s="58" t="str">
        <f t="shared" ca="1" si="1789"/>
        <v>X</v>
      </c>
      <c r="BV400" s="58" t="str">
        <f t="shared" ca="1" si="1789"/>
        <v>X</v>
      </c>
      <c r="BW400" s="58" t="str">
        <f t="shared" ca="1" si="1789"/>
        <v>X</v>
      </c>
      <c r="BX400" s="58" t="str">
        <f t="shared" ca="1" si="1789"/>
        <v>X</v>
      </c>
      <c r="BY400" s="58" t="str">
        <f t="shared" ca="1" si="1789"/>
        <v>X</v>
      </c>
      <c r="BZ400" s="58">
        <f t="shared" ca="1" si="1789"/>
        <v>46134</v>
      </c>
      <c r="CA400" s="58">
        <f t="shared" ca="1" si="1789"/>
        <v>46134</v>
      </c>
      <c r="CB400" s="58">
        <f t="shared" ca="1" si="1789"/>
        <v>46134</v>
      </c>
      <c r="CC400" s="58">
        <f t="shared" ca="1" si="1789"/>
        <v>46134</v>
      </c>
      <c r="CD400" s="58" t="str">
        <f t="shared" ca="1" si="1789"/>
        <v>X</v>
      </c>
      <c r="CE400" s="58" t="str">
        <f t="shared" ca="1" si="1789"/>
        <v>X</v>
      </c>
      <c r="CF400" s="58" t="str">
        <f t="shared" ca="1" si="1789"/>
        <v>X</v>
      </c>
      <c r="CG400" s="58" t="str">
        <f t="shared" ca="1" si="1789"/>
        <v>X</v>
      </c>
      <c r="CH400" s="58" t="str">
        <f t="shared" ca="1" si="1789"/>
        <v>X</v>
      </c>
      <c r="CI400" s="58" t="str">
        <f t="shared" ca="1" si="1789"/>
        <v>X</v>
      </c>
      <c r="CJ400" s="58" t="str">
        <f t="shared" ca="1" si="1789"/>
        <v>X</v>
      </c>
      <c r="CK400" s="58" t="str">
        <f t="shared" ca="1" si="1789"/>
        <v>X</v>
      </c>
      <c r="CL400" s="58" t="str">
        <f t="shared" ca="1" si="1789"/>
        <v>X</v>
      </c>
      <c r="CM400" s="58" t="str">
        <f t="shared" ca="1" si="1789"/>
        <v>X</v>
      </c>
      <c r="CN400" s="58">
        <f t="shared" ca="1" si="1789"/>
        <v>46146</v>
      </c>
      <c r="CO400" s="58">
        <f t="shared" ca="1" si="1789"/>
        <v>46146</v>
      </c>
      <c r="CP400" s="58">
        <f t="shared" ca="1" si="1789"/>
        <v>46146</v>
      </c>
      <c r="CQ400" s="58">
        <f t="shared" ca="1" si="1789"/>
        <v>46146</v>
      </c>
      <c r="CR400" s="58" t="str">
        <f t="shared" ca="1" si="1789"/>
        <v>X</v>
      </c>
      <c r="CS400" s="58" t="str">
        <f t="shared" ca="1" si="1789"/>
        <v>X</v>
      </c>
      <c r="CT400" s="58" t="str">
        <f t="shared" ca="1" si="1789"/>
        <v>X</v>
      </c>
      <c r="CU400" s="58" t="str">
        <f t="shared" ca="1" si="1789"/>
        <v>X</v>
      </c>
      <c r="CV400" s="58" t="str">
        <f t="shared" ca="1" si="1789"/>
        <v>X</v>
      </c>
      <c r="CW400" s="58" t="str">
        <f t="shared" ca="1" si="1789"/>
        <v>X</v>
      </c>
      <c r="CX400" s="58" t="str">
        <f t="shared" ca="1" si="1789"/>
        <v>X</v>
      </c>
      <c r="CY400" s="58" t="str">
        <f t="shared" ca="1" si="1789"/>
        <v>X</v>
      </c>
      <c r="CZ400" s="58" t="str">
        <f t="shared" ca="1" si="1789"/>
        <v>X</v>
      </c>
      <c r="DA400" s="58" t="str">
        <f t="shared" ca="1" si="1789"/>
        <v>X</v>
      </c>
      <c r="DB400" s="58">
        <f t="shared" ca="1" si="1789"/>
        <v>46174</v>
      </c>
      <c r="DC400" s="58">
        <f t="shared" ca="1" si="1789"/>
        <v>46174</v>
      </c>
      <c r="DD400" s="58">
        <f t="shared" ca="1" si="1789"/>
        <v>46174</v>
      </c>
      <c r="DE400" s="58">
        <f t="shared" ca="1" si="1789"/>
        <v>46174</v>
      </c>
      <c r="DF400" s="58" t="str">
        <f t="shared" ca="1" si="1789"/>
        <v>X</v>
      </c>
      <c r="DG400" s="58" t="str">
        <f t="shared" ca="1" si="1789"/>
        <v>X</v>
      </c>
      <c r="DH400" s="58" t="str">
        <f t="shared" ca="1" si="1789"/>
        <v>X</v>
      </c>
      <c r="DI400" s="58" t="str">
        <f t="shared" ca="1" si="1789"/>
        <v>X</v>
      </c>
      <c r="DJ400" s="58" t="str">
        <f t="shared" ca="1" si="1789"/>
        <v>X</v>
      </c>
      <c r="DK400" s="58" t="str">
        <f t="shared" ca="1" si="1789"/>
        <v>X</v>
      </c>
      <c r="DL400" s="58" t="str">
        <f t="shared" ca="1" si="1789"/>
        <v>X</v>
      </c>
      <c r="DM400" s="58" t="str">
        <f t="shared" ca="1" si="1789"/>
        <v>X</v>
      </c>
      <c r="DN400" s="58" t="str">
        <f t="shared" ca="1" si="1789"/>
        <v>X</v>
      </c>
      <c r="DO400" s="58" t="str">
        <f t="shared" ca="1" si="1789"/>
        <v>X</v>
      </c>
      <c r="DP400" s="58" t="str">
        <f t="shared" ca="1" si="1789"/>
        <v>X</v>
      </c>
      <c r="DQ400" s="58" t="str">
        <f t="shared" ca="1" si="1789"/>
        <v>X</v>
      </c>
      <c r="DR400" s="58" t="str">
        <f t="shared" ca="1" si="1789"/>
        <v>X</v>
      </c>
      <c r="DS400" s="58" t="str">
        <f t="shared" ca="1" si="1789"/>
        <v>X</v>
      </c>
      <c r="DT400" s="58" t="str">
        <f t="shared" ca="1" si="1789"/>
        <v>X</v>
      </c>
      <c r="DU400" s="58" t="str">
        <f t="shared" ca="1" si="1789"/>
        <v>X</v>
      </c>
      <c r="DV400" s="58" t="str">
        <f t="shared" ca="1" si="1789"/>
        <v>X</v>
      </c>
      <c r="DW400" s="58" t="str">
        <f t="shared" ca="1" si="1789"/>
        <v>X</v>
      </c>
      <c r="DX400" s="58" t="str">
        <f t="shared" ca="1" si="1789"/>
        <v>X</v>
      </c>
      <c r="DY400" s="58" t="str">
        <f t="shared" ca="1" si="1789"/>
        <v>X</v>
      </c>
      <c r="DZ400" s="58" t="str">
        <f t="shared" ca="1" si="1789"/>
        <v>X</v>
      </c>
      <c r="EA400" s="58" t="str">
        <f t="shared" ca="1" si="1789"/>
        <v>X</v>
      </c>
      <c r="EB400" s="58" t="str">
        <f t="shared" ca="1" si="1789"/>
        <v>X</v>
      </c>
      <c r="EC400" s="58" t="str">
        <f t="shared" ca="1" si="1789"/>
        <v>X</v>
      </c>
      <c r="ED400" s="58" t="str">
        <f t="shared" ca="1" si="1789"/>
        <v>X</v>
      </c>
      <c r="EE400" s="58" t="str">
        <f t="shared" ca="1" si="1789"/>
        <v>X</v>
      </c>
      <c r="EF400" s="58" t="str">
        <f t="shared" ca="1" si="1789"/>
        <v>X</v>
      </c>
      <c r="EG400" s="58" t="str">
        <f t="shared" ca="1" si="1789"/>
        <v>X</v>
      </c>
      <c r="EH400" s="58" t="str">
        <f t="shared" ca="1" si="1789"/>
        <v>X</v>
      </c>
      <c r="EI400" s="58" t="str">
        <f t="shared" ca="1" si="1789"/>
        <v>X</v>
      </c>
      <c r="EJ400" s="58" t="str">
        <f t="shared" ca="1" si="1789"/>
        <v>X</v>
      </c>
      <c r="EK400" s="58" t="str">
        <f t="shared" ca="1" si="1789"/>
        <v>X</v>
      </c>
      <c r="EL400" s="58" t="str">
        <f t="shared" ca="1" si="1789"/>
        <v>X</v>
      </c>
      <c r="EM400" s="58" t="str">
        <f t="shared" ca="1" si="1789"/>
        <v>X</v>
      </c>
      <c r="EN400" s="58" t="str">
        <f t="shared" ca="1" si="1789"/>
        <v>X</v>
      </c>
      <c r="EO400" s="58" t="str">
        <f t="shared" ca="1" si="1789"/>
        <v>X</v>
      </c>
      <c r="EP400" s="58" t="str">
        <f t="shared" ca="1" si="1789"/>
        <v>X</v>
      </c>
      <c r="EQ400" s="58" t="str">
        <f t="shared" ca="1" si="1789"/>
        <v>X</v>
      </c>
      <c r="ER400" s="58" t="str">
        <f t="shared" ca="1" si="1789"/>
        <v>X</v>
      </c>
      <c r="ES400" s="58" t="str">
        <f t="shared" ca="1" si="1789"/>
        <v>X</v>
      </c>
      <c r="ET400" s="58" t="str">
        <f t="shared" ca="1" si="1789"/>
        <v>X</v>
      </c>
      <c r="EU400" s="58" t="str">
        <f t="shared" ca="1" si="1789"/>
        <v>X</v>
      </c>
      <c r="EV400" s="58" t="str">
        <f t="shared" ca="1" si="1789"/>
        <v>X</v>
      </c>
      <c r="EW400" s="58" t="str">
        <f t="shared" ca="1" si="1789"/>
        <v>X</v>
      </c>
      <c r="EX400" s="58" t="str">
        <f t="shared" ca="1" si="1789"/>
        <v>X</v>
      </c>
      <c r="EY400" s="58" t="str">
        <f t="shared" ca="1" si="1789"/>
        <v>X</v>
      </c>
      <c r="EZ400" s="58" t="str">
        <f t="shared" ca="1" si="1789"/>
        <v>X</v>
      </c>
      <c r="FA400" s="58" t="str">
        <f t="shared" ca="1" si="1789"/>
        <v>X</v>
      </c>
      <c r="FB400" s="58" t="str">
        <f t="shared" ca="1" si="1789"/>
        <v>X</v>
      </c>
      <c r="FC400" s="58" t="str">
        <f t="shared" ca="1" si="1789"/>
        <v>X</v>
      </c>
      <c r="FD400" s="58" t="str">
        <f t="shared" ca="1" si="1789"/>
        <v>X</v>
      </c>
      <c r="FE400" s="58" t="str">
        <f t="shared" ca="1" si="1789"/>
        <v>X</v>
      </c>
      <c r="FF400" s="58" t="str">
        <f t="shared" ca="1" si="1789"/>
        <v>X</v>
      </c>
      <c r="FG400" s="58" t="str">
        <f t="shared" ca="1" si="1789"/>
        <v>X</v>
      </c>
      <c r="FH400" s="58" t="str">
        <f t="shared" ca="1" si="1789"/>
        <v>X</v>
      </c>
      <c r="FI400" s="58" t="str">
        <f t="shared" ca="1" si="1789"/>
        <v>X</v>
      </c>
      <c r="FJ400" s="58" t="str">
        <f t="shared" ca="1" si="1789"/>
        <v>X</v>
      </c>
      <c r="FK400" s="58" t="str">
        <f t="shared" ca="1" si="1789"/>
        <v>X</v>
      </c>
      <c r="FL400" s="58" t="str">
        <f t="shared" ca="1" si="1789"/>
        <v>X</v>
      </c>
      <c r="FM400" s="58" t="str">
        <f t="shared" ca="1" si="1789"/>
        <v>X</v>
      </c>
      <c r="FN400" s="58" t="str">
        <f t="shared" ca="1" si="1789"/>
        <v>X</v>
      </c>
      <c r="FO400" s="58" t="str">
        <f t="shared" ca="1" si="1789"/>
        <v>X</v>
      </c>
      <c r="FP400" s="58" t="str">
        <f t="shared" ca="1" si="1789"/>
        <v>X</v>
      </c>
      <c r="FQ400" s="58" t="str">
        <f t="shared" ca="1" si="1789"/>
        <v>X</v>
      </c>
      <c r="FR400" s="58" t="str">
        <f t="shared" ca="1" si="1789"/>
        <v>X</v>
      </c>
      <c r="FS400" s="58" t="str">
        <f t="shared" ca="1" si="1789"/>
        <v>X</v>
      </c>
      <c r="FT400" s="58" t="str">
        <f t="shared" ca="1" si="1789"/>
        <v>X</v>
      </c>
      <c r="FU400" s="58" t="str">
        <f t="shared" ca="1" si="1789"/>
        <v>X</v>
      </c>
      <c r="FV400" s="58" t="str">
        <f t="shared" ca="1" si="1789"/>
        <v>X</v>
      </c>
      <c r="FW400" s="58" t="str">
        <f t="shared" ca="1" si="1789"/>
        <v>X</v>
      </c>
      <c r="FX400" s="58" t="str">
        <f t="shared" ca="1" si="1789"/>
        <v>X</v>
      </c>
      <c r="FY400" s="58" t="str">
        <f t="shared" ca="1" si="1789"/>
        <v>X</v>
      </c>
      <c r="FZ400" s="58" t="str">
        <f t="shared" ca="1" si="1789"/>
        <v>X</v>
      </c>
      <c r="GA400" s="58" t="str">
        <f t="shared" ca="1" si="1789"/>
        <v>X</v>
      </c>
      <c r="GB400" s="58" t="str">
        <f t="shared" ca="1" si="1789"/>
        <v>X</v>
      </c>
      <c r="GC400" s="58" t="str">
        <f t="shared" ca="1" si="1789"/>
        <v>X</v>
      </c>
      <c r="GD400" s="58" t="str">
        <f t="shared" ca="1" si="1789"/>
        <v>X</v>
      </c>
      <c r="GE400" s="58" t="str">
        <f t="shared" ca="1" si="1789"/>
        <v>X</v>
      </c>
      <c r="GF400" s="58" t="str">
        <f t="shared" ca="1" si="1789"/>
        <v>X</v>
      </c>
      <c r="GG400" s="58" t="str">
        <f t="shared" ca="1" si="1789"/>
        <v>X</v>
      </c>
      <c r="GH400" s="58" t="str">
        <f t="shared" ca="1" si="1789"/>
        <v>X</v>
      </c>
      <c r="GI400" s="58" t="str">
        <f t="shared" ca="1" si="1789"/>
        <v>X</v>
      </c>
      <c r="GJ400" s="58" t="str">
        <f t="shared" ca="1" si="1789"/>
        <v>X</v>
      </c>
      <c r="GK400" s="58" t="str">
        <f t="shared" ca="1" si="1789"/>
        <v>X</v>
      </c>
      <c r="GL400" s="58" t="str">
        <f t="shared" ca="1" si="1789"/>
        <v>X</v>
      </c>
      <c r="GM400" s="58" t="str">
        <f t="shared" ca="1" si="1789"/>
        <v>X</v>
      </c>
      <c r="GN400" s="58" t="str">
        <f t="shared" ca="1" si="1789"/>
        <v>X</v>
      </c>
      <c r="GO400" s="58" t="str">
        <f t="shared" ca="1" si="1789"/>
        <v>X</v>
      </c>
      <c r="GP400" s="58" t="str">
        <f t="shared" ca="1" si="1789"/>
        <v>X</v>
      </c>
      <c r="GQ400" s="58" t="str">
        <f t="shared" ca="1" si="1789"/>
        <v>X</v>
      </c>
      <c r="GR400" s="58" t="str">
        <f t="shared" ca="1" si="1789"/>
        <v>X</v>
      </c>
      <c r="GS400" s="80" t="str">
        <f t="shared" ca="1" si="1789"/>
        <v>X</v>
      </c>
      <c r="GT400" s="58" t="str">
        <f t="shared" ca="1" si="1789"/>
        <v>X</v>
      </c>
      <c r="GU400" s="82" t="str">
        <f t="shared" ca="1" si="1617"/>
        <v>X</v>
      </c>
      <c r="GV400" s="58" t="str">
        <f t="shared" ca="1" si="1618"/>
        <v>X</v>
      </c>
      <c r="GW400" s="58" t="str">
        <f t="shared" ca="1" si="1619"/>
        <v>X</v>
      </c>
      <c r="GX400" s="58" t="str">
        <f t="shared" ca="1" si="1620"/>
        <v>X</v>
      </c>
      <c r="GY400" s="58" t="str">
        <f t="shared" ca="1" si="1621"/>
        <v>X</v>
      </c>
      <c r="GZ400" s="58" t="str">
        <f t="shared" ca="1" si="1622"/>
        <v>X</v>
      </c>
      <c r="HA400" s="58" t="str">
        <f t="shared" ca="1" si="1623"/>
        <v>X</v>
      </c>
      <c r="HB400" s="58" t="str">
        <f t="shared" ca="1" si="1624"/>
        <v>X</v>
      </c>
      <c r="HC400" s="58" t="str">
        <f t="shared" ca="1" si="1625"/>
        <v>X</v>
      </c>
      <c r="HD400" s="58" t="str">
        <f t="shared" ca="1" si="1626"/>
        <v>X</v>
      </c>
      <c r="HE400" s="58" t="str">
        <f t="shared" ca="1" si="1627"/>
        <v>X</v>
      </c>
      <c r="HF400" s="58" t="str">
        <f t="shared" ca="1" si="1628"/>
        <v>X</v>
      </c>
      <c r="HG400" s="58" t="str">
        <f t="shared" ca="1" si="1629"/>
        <v>X</v>
      </c>
      <c r="HH400" s="58" t="str">
        <f t="shared" ca="1" si="1630"/>
        <v>X</v>
      </c>
      <c r="HI400" s="58" t="str">
        <f t="shared" ca="1" si="1631"/>
        <v>X</v>
      </c>
      <c r="HJ400" s="58" t="str">
        <f t="shared" ca="1" si="1632"/>
        <v>X</v>
      </c>
      <c r="HK400" s="58" t="str">
        <f t="shared" ca="1" si="1633"/>
        <v>X</v>
      </c>
      <c r="HL400" s="58" t="str">
        <f t="shared" ca="1" si="1634"/>
        <v>X</v>
      </c>
      <c r="HM400" s="58" t="str">
        <f t="shared" ca="1" si="1635"/>
        <v>X</v>
      </c>
      <c r="HN400" s="58" t="str">
        <f t="shared" ca="1" si="1636"/>
        <v>X</v>
      </c>
      <c r="HO400" s="58" t="str">
        <f t="shared" ca="1" si="1637"/>
        <v>X</v>
      </c>
      <c r="HP400" s="58" t="str">
        <f t="shared" ca="1" si="1638"/>
        <v>X</v>
      </c>
      <c r="HQ400" s="58" t="str">
        <f t="shared" ca="1" si="1639"/>
        <v>X</v>
      </c>
      <c r="HR400" s="58" t="str">
        <f t="shared" ca="1" si="1640"/>
        <v>X</v>
      </c>
      <c r="HS400" s="58" t="str">
        <f t="shared" ca="1" si="1641"/>
        <v>X</v>
      </c>
      <c r="HT400" s="58" t="str">
        <f t="shared" ca="1" si="1642"/>
        <v>X</v>
      </c>
      <c r="HU400" s="58" t="str">
        <f t="shared" ca="1" si="1643"/>
        <v>X</v>
      </c>
      <c r="HV400" s="58" t="str">
        <f t="shared" ca="1" si="1644"/>
        <v>X</v>
      </c>
      <c r="HW400" s="58" t="str">
        <f t="shared" ca="1" si="1645"/>
        <v>X</v>
      </c>
      <c r="HX400" s="58" t="str">
        <f t="shared" ca="1" si="1646"/>
        <v>X</v>
      </c>
      <c r="HY400" s="58" t="str">
        <f t="shared" ca="1" si="1647"/>
        <v>X</v>
      </c>
      <c r="HZ400" s="58" t="str">
        <f t="shared" ca="1" si="1648"/>
        <v>X</v>
      </c>
      <c r="IA400" s="58" t="str">
        <f t="shared" ca="1" si="1649"/>
        <v>X</v>
      </c>
      <c r="IB400" s="58" t="str">
        <f t="shared" ca="1" si="1650"/>
        <v>X</v>
      </c>
      <c r="IC400" s="58" t="str">
        <f t="shared" ca="1" si="1651"/>
        <v>X</v>
      </c>
      <c r="ID400" s="58" t="str">
        <f t="shared" ca="1" si="1652"/>
        <v>X</v>
      </c>
      <c r="IE400" s="58" t="str">
        <f t="shared" ca="1" si="1653"/>
        <v>X</v>
      </c>
      <c r="IF400" s="58" t="str">
        <f t="shared" ca="1" si="1654"/>
        <v>X</v>
      </c>
      <c r="IG400" s="58" t="str">
        <f t="shared" ca="1" si="1655"/>
        <v>X</v>
      </c>
      <c r="IH400" s="58" t="str">
        <f t="shared" ca="1" si="1656"/>
        <v>X</v>
      </c>
      <c r="II400" s="58" t="str">
        <f t="shared" ca="1" si="1657"/>
        <v>X</v>
      </c>
      <c r="IJ400" s="58" t="str">
        <f t="shared" ca="1" si="1658"/>
        <v>X</v>
      </c>
      <c r="IK400" s="58" t="str">
        <f t="shared" ca="1" si="1659"/>
        <v>X</v>
      </c>
      <c r="IL400" s="58">
        <f t="shared" ca="1" si="1660"/>
        <v>46141</v>
      </c>
      <c r="IM400" s="58">
        <f t="shared" ca="1" si="1661"/>
        <v>46141</v>
      </c>
      <c r="IN400" s="58">
        <f t="shared" ca="1" si="1662"/>
        <v>46141</v>
      </c>
      <c r="IO400" s="58">
        <f t="shared" ca="1" si="1663"/>
        <v>46141</v>
      </c>
      <c r="IP400" s="58" t="str">
        <f t="shared" ca="1" si="1664"/>
        <v>X</v>
      </c>
      <c r="IQ400" s="58" t="str">
        <f t="shared" ca="1" si="1665"/>
        <v>X</v>
      </c>
      <c r="IR400" s="58" t="str">
        <f t="shared" ca="1" si="1666"/>
        <v>X</v>
      </c>
      <c r="IS400" s="58" t="str">
        <f t="shared" ca="1" si="1667"/>
        <v>X</v>
      </c>
      <c r="IT400" s="58" t="str">
        <f t="shared" ca="1" si="1668"/>
        <v>X</v>
      </c>
      <c r="IU400" s="58" t="str">
        <f t="shared" ca="1" si="1669"/>
        <v>X</v>
      </c>
      <c r="IV400" s="58" t="str">
        <f t="shared" ca="1" si="1670"/>
        <v>X</v>
      </c>
      <c r="IW400" s="58" t="str">
        <f t="shared" ca="1" si="1671"/>
        <v>X</v>
      </c>
      <c r="IX400" s="58" t="str">
        <f t="shared" ca="1" si="1672"/>
        <v>X</v>
      </c>
      <c r="IY400" s="58" t="str">
        <f t="shared" ca="1" si="1673"/>
        <v>X</v>
      </c>
      <c r="IZ400" s="58">
        <f t="shared" ca="1" si="1674"/>
        <v>46169</v>
      </c>
      <c r="JA400" s="58">
        <f t="shared" ca="1" si="1675"/>
        <v>46169</v>
      </c>
      <c r="JB400" s="58">
        <f t="shared" ca="1" si="1676"/>
        <v>46169</v>
      </c>
      <c r="JC400" s="58">
        <f t="shared" ca="1" si="1677"/>
        <v>46169</v>
      </c>
      <c r="JD400" s="58" t="str">
        <f t="shared" ca="1" si="1678"/>
        <v>X</v>
      </c>
      <c r="JE400" s="58" t="str">
        <f t="shared" ca="1" si="1679"/>
        <v>X</v>
      </c>
      <c r="JF400" s="58" t="str">
        <f t="shared" ca="1" si="1680"/>
        <v>X</v>
      </c>
      <c r="JG400" s="58" t="str">
        <f t="shared" ca="1" si="1681"/>
        <v>X</v>
      </c>
      <c r="JH400" s="58" t="str">
        <f t="shared" ca="1" si="1682"/>
        <v>X</v>
      </c>
      <c r="JI400" s="58" t="str">
        <f t="shared" ca="1" si="1683"/>
        <v>X</v>
      </c>
      <c r="JJ400" s="58" t="str">
        <f t="shared" ca="1" si="1684"/>
        <v>X</v>
      </c>
      <c r="JK400" s="58" t="str">
        <f t="shared" ca="1" si="1685"/>
        <v>X</v>
      </c>
      <c r="JL400" s="58" t="str">
        <f t="shared" ca="1" si="1686"/>
        <v>X</v>
      </c>
      <c r="JM400" s="58" t="str">
        <f t="shared" ca="1" si="1687"/>
        <v>X</v>
      </c>
      <c r="JN400" s="58">
        <f t="shared" ca="1" si="1688"/>
        <v>46189</v>
      </c>
      <c r="JO400" s="58">
        <f t="shared" ca="1" si="1689"/>
        <v>46189</v>
      </c>
      <c r="JP400" s="58">
        <f t="shared" ca="1" si="1690"/>
        <v>46189</v>
      </c>
      <c r="JQ400" s="58">
        <f t="shared" ca="1" si="1691"/>
        <v>46189</v>
      </c>
      <c r="JR400" s="58" t="str">
        <f t="shared" ca="1" si="1692"/>
        <v>X</v>
      </c>
      <c r="JS400" s="58" t="str">
        <f t="shared" ca="1" si="1693"/>
        <v>X</v>
      </c>
      <c r="JT400" s="58" t="str">
        <f t="shared" ca="1" si="1694"/>
        <v>X</v>
      </c>
      <c r="JU400" s="58" t="str">
        <f t="shared" ca="1" si="1695"/>
        <v>X</v>
      </c>
      <c r="JV400" s="58" t="str">
        <f t="shared" ca="1" si="1696"/>
        <v>X</v>
      </c>
      <c r="JW400" s="58" t="str">
        <f t="shared" ca="1" si="1697"/>
        <v>X</v>
      </c>
      <c r="JX400" s="58" t="str">
        <f t="shared" ca="1" si="1698"/>
        <v>X</v>
      </c>
      <c r="JY400" s="58" t="str">
        <f t="shared" ca="1" si="1699"/>
        <v>X</v>
      </c>
      <c r="JZ400" s="58" t="str">
        <f t="shared" ca="1" si="1700"/>
        <v>X</v>
      </c>
      <c r="KA400" s="58" t="str">
        <f t="shared" ca="1" si="1701"/>
        <v>X</v>
      </c>
      <c r="KB400" s="58" t="str">
        <f t="shared" ca="1" si="1702"/>
        <v>X</v>
      </c>
      <c r="KC400" s="58" t="str">
        <f t="shared" ca="1" si="1703"/>
        <v>X</v>
      </c>
      <c r="KD400" s="58" t="str">
        <f t="shared" ca="1" si="1704"/>
        <v>X</v>
      </c>
      <c r="KE400" s="58" t="str">
        <f t="shared" ca="1" si="1705"/>
        <v>X</v>
      </c>
      <c r="KF400" s="58" t="str">
        <f t="shared" ca="1" si="1706"/>
        <v>X</v>
      </c>
      <c r="KG400" s="58" t="str">
        <f t="shared" ca="1" si="1707"/>
        <v>X</v>
      </c>
      <c r="KH400" s="58" t="str">
        <f t="shared" ca="1" si="1708"/>
        <v>X</v>
      </c>
      <c r="KI400" s="58" t="str">
        <f t="shared" ca="1" si="1709"/>
        <v>X</v>
      </c>
      <c r="KJ400" s="58" t="str">
        <f t="shared" ca="1" si="1710"/>
        <v>X</v>
      </c>
      <c r="KK400" s="58" t="str">
        <f t="shared" ca="1" si="1711"/>
        <v>X</v>
      </c>
      <c r="KL400" s="58" t="str">
        <f t="shared" ca="1" si="1712"/>
        <v>X</v>
      </c>
      <c r="KM400" s="58" t="str">
        <f t="shared" ca="1" si="1713"/>
        <v>X</v>
      </c>
      <c r="KN400" s="58" t="str">
        <f t="shared" ca="1" si="1714"/>
        <v>X</v>
      </c>
      <c r="KO400" s="58" t="str">
        <f t="shared" ca="1" si="1715"/>
        <v>X</v>
      </c>
      <c r="KP400" s="58" t="str">
        <f t="shared" ca="1" si="1716"/>
        <v>X</v>
      </c>
      <c r="KQ400" s="58" t="str">
        <f t="shared" ca="1" si="1717"/>
        <v>X</v>
      </c>
      <c r="KR400" s="58" t="str">
        <f t="shared" ca="1" si="1718"/>
        <v>X</v>
      </c>
      <c r="KS400" s="58" t="str">
        <f t="shared" ca="1" si="1719"/>
        <v>X</v>
      </c>
      <c r="KT400" s="58" t="str">
        <f t="shared" ca="1" si="1720"/>
        <v>X</v>
      </c>
      <c r="KU400" s="58" t="str">
        <f t="shared" ca="1" si="1721"/>
        <v>X</v>
      </c>
      <c r="KV400" s="58" t="str">
        <f t="shared" ca="1" si="1722"/>
        <v>X</v>
      </c>
      <c r="KW400" s="58" t="str">
        <f t="shared" ca="1" si="1723"/>
        <v>X</v>
      </c>
      <c r="KX400" s="58" t="str">
        <f t="shared" ca="1" si="1724"/>
        <v>X</v>
      </c>
      <c r="KY400" s="58" t="str">
        <f t="shared" ca="1" si="1725"/>
        <v>X</v>
      </c>
      <c r="KZ400" s="58" t="str">
        <f t="shared" ca="1" si="1726"/>
        <v>X</v>
      </c>
      <c r="LA400" s="58" t="str">
        <f t="shared" ca="1" si="1727"/>
        <v>X</v>
      </c>
      <c r="LB400" s="58" t="str">
        <f t="shared" ca="1" si="1728"/>
        <v>X</v>
      </c>
      <c r="LC400" s="58" t="str">
        <f t="shared" ca="1" si="1729"/>
        <v>X</v>
      </c>
      <c r="LD400" s="58" t="str">
        <f t="shared" ca="1" si="1730"/>
        <v>X</v>
      </c>
      <c r="LE400" s="58" t="str">
        <f t="shared" ca="1" si="1731"/>
        <v>X</v>
      </c>
      <c r="LF400" s="58" t="str">
        <f t="shared" ca="1" si="1732"/>
        <v>X</v>
      </c>
      <c r="LG400" s="58" t="str">
        <f t="shared" ca="1" si="1733"/>
        <v>X</v>
      </c>
      <c r="LH400" s="58" t="str">
        <f t="shared" ca="1" si="1734"/>
        <v>X</v>
      </c>
      <c r="LI400" s="58" t="str">
        <f t="shared" ca="1" si="1735"/>
        <v>X</v>
      </c>
      <c r="LJ400" s="58" t="str">
        <f t="shared" ca="1" si="1736"/>
        <v>X</v>
      </c>
      <c r="LK400" s="58" t="str">
        <f t="shared" ca="1" si="1737"/>
        <v>X</v>
      </c>
      <c r="LL400" s="58" t="str">
        <f t="shared" ca="1" si="1738"/>
        <v>X</v>
      </c>
      <c r="LM400" s="58" t="str">
        <f t="shared" ca="1" si="1739"/>
        <v>X</v>
      </c>
      <c r="LN400" s="58" t="str">
        <f t="shared" ca="1" si="1740"/>
        <v>X</v>
      </c>
      <c r="LO400" s="58" t="str">
        <f t="shared" ca="1" si="1741"/>
        <v>X</v>
      </c>
      <c r="LP400" s="58" t="str">
        <f t="shared" ca="1" si="1742"/>
        <v>X</v>
      </c>
      <c r="LQ400" s="58" t="str">
        <f t="shared" ca="1" si="1743"/>
        <v>X</v>
      </c>
      <c r="LR400" s="58" t="str">
        <f t="shared" ca="1" si="1744"/>
        <v>X</v>
      </c>
      <c r="LS400" s="58" t="str">
        <f t="shared" ca="1" si="1745"/>
        <v>X</v>
      </c>
      <c r="LT400" s="58" t="str">
        <f t="shared" ca="1" si="1746"/>
        <v>X</v>
      </c>
      <c r="LU400" s="58" t="str">
        <f t="shared" ca="1" si="1747"/>
        <v>X</v>
      </c>
      <c r="LV400" s="58" t="str">
        <f t="shared" ca="1" si="1748"/>
        <v>X</v>
      </c>
      <c r="LW400" s="58" t="str">
        <f t="shared" ca="1" si="1749"/>
        <v>X</v>
      </c>
      <c r="LX400" s="58" t="str">
        <f t="shared" ca="1" si="1750"/>
        <v>X</v>
      </c>
      <c r="LY400" s="58" t="str">
        <f t="shared" ca="1" si="1751"/>
        <v>X</v>
      </c>
      <c r="LZ400" s="58" t="str">
        <f t="shared" ca="1" si="1752"/>
        <v>X</v>
      </c>
      <c r="MA400" s="58" t="str">
        <f t="shared" ca="1" si="1753"/>
        <v>X</v>
      </c>
      <c r="MB400" s="58" t="str">
        <f t="shared" ca="1" si="1754"/>
        <v>X</v>
      </c>
      <c r="MC400" s="58" t="str">
        <f t="shared" ca="1" si="1755"/>
        <v>X</v>
      </c>
      <c r="MD400" s="58" t="str">
        <f t="shared" ca="1" si="1756"/>
        <v>X</v>
      </c>
      <c r="ME400" s="58" t="str">
        <f t="shared" ca="1" si="1757"/>
        <v>X</v>
      </c>
      <c r="MF400" s="58" t="str">
        <f t="shared" ca="1" si="1758"/>
        <v>X</v>
      </c>
      <c r="MG400" s="58" t="str">
        <f t="shared" ca="1" si="1759"/>
        <v>X</v>
      </c>
      <c r="MH400" s="58" t="str">
        <f t="shared" ca="1" si="1760"/>
        <v>X</v>
      </c>
      <c r="MI400" s="58" t="str">
        <f t="shared" ca="1" si="1761"/>
        <v>X</v>
      </c>
      <c r="MJ400" s="58" t="str">
        <f t="shared" ca="1" si="1762"/>
        <v>X</v>
      </c>
      <c r="MK400" s="58" t="str">
        <f t="shared" ca="1" si="1763"/>
        <v>X</v>
      </c>
      <c r="ML400" s="58" t="str">
        <f t="shared" ca="1" si="1764"/>
        <v>X</v>
      </c>
      <c r="MM400" s="58" t="str">
        <f t="shared" ca="1" si="1765"/>
        <v>X</v>
      </c>
      <c r="MN400" s="58" t="str">
        <f t="shared" ca="1" si="1766"/>
        <v>X</v>
      </c>
      <c r="MO400" s="58" t="str">
        <f t="shared" ca="1" si="1767"/>
        <v>X</v>
      </c>
      <c r="MP400" s="58" t="str">
        <f t="shared" ca="1" si="1768"/>
        <v>X</v>
      </c>
      <c r="MQ400" s="58" t="str">
        <f t="shared" ca="1" si="1769"/>
        <v>X</v>
      </c>
      <c r="MR400" s="58" t="str">
        <f t="shared" ca="1" si="1770"/>
        <v>X</v>
      </c>
      <c r="MS400" s="58" t="str">
        <f t="shared" ca="1" si="1771"/>
        <v>X</v>
      </c>
      <c r="MT400" s="58" t="str">
        <f t="shared" ref="MT400:NE400" ca="1" si="1790">IF($K400=INDIRECT(CONCATENATE("$AG$"&amp;GH$392)),INDIRECT(CONCATENATE("$AG$"&amp;GH$391)),
IF($K400=INDIRECT(CONCATENATE("$AF$"&amp;GH$392)),INDIRECT(CONCATENATE("$AF$"&amp;GH$391)),
IF($K400=INDIRECT(CONCATENATE("$AE$"&amp;GH$392)),INDIRECT(CONCATENATE("$AE$"&amp;GH$391)),
IF($K400=INDIRECT(CONCATENATE("$AD$"&amp;GH$392)),INDIRECT(CONCATENATE("$AD$"&amp;GH$391)),
IF($K400=INDIRECT(CONCATENATE("$AC$"&amp;GH$392)),INDIRECT(CONCATENATE("$AC$"&amp;GH$391)),
IF($K400=INDIRECT(CONCATENATE("$AB$"&amp;GH$392)),INDIRECT(CONCATENATE("$AB$"&amp;GH$391)),
IF($K400=INDIRECT(CONCATENATE("$AA$"&amp;GH$392)),INDIRECT(CONCATENATE("$AA$"&amp;GH$391)),
IF($K400=INDIRECT(CONCATENATE("$Z$"&amp;GH$392)),INDIRECT(CONCATENATE("$Z$"&amp;GH$391)),
IF($K400=INDIRECT(CONCATENATE("$Y$"&amp;GH$392)),INDIRECT(CONCATENATE("$Y$"&amp;GH$391)),
IF($K400=INDIRECT(CONCATENATE("$X$"&amp;GH$392)),INDIRECT(CONCATENATE("$X$"&amp;GH$391)),
IF($K400=INDIRECT(CONCATENATE("$W$"&amp;GH$392)),INDIRECT(CONCATENATE("$W$"&amp;GH$391)),
IF($K400=INDIRECT(CONCATENATE("$V$"&amp;GH$392)),INDIRECT(CONCATENATE("$V$"&amp;GH$391)),
IF($K400=INDIRECT(CONCATENATE("$U$"&amp;GH$392)),INDIRECT(CONCATENATE("$U$"&amp;GH$391)),
IF($K400=INDIRECT(CONCATENATE("$T$"&amp;GH$392)),INDIRECT(CONCATENATE("$T$"&amp;GH$391)),
IF($K400=INDIRECT(CONCATENATE("$S$"&amp;GH$392)),INDIRECT(CONCATENATE("$S$"&amp;GH$391)),
IF($K400=INDIRECT(CONCATENATE("$R$"&amp;GH$392)),INDIRECT(CONCATENATE("$R$"&amp;GH$391)),
IF($K400=INDIRECT(CONCATENATE("$Q$"&amp;GH$392)),INDIRECT(CONCATENATE("$Q$"&amp;GH$391)),
IF($K400=INDIRECT(CONCATENATE("$P$"&amp;GH$392)),INDIRECT(CONCATENATE("$P$"&amp;GH$391)),
IF($K400=INDIRECT(CONCATENATE("$O$"&amp;GH$392)),INDIRECT(CONCATENATE("$O$"&amp;GH$391)),
IF($K400=INDIRECT(CONCATENATE("$N$"&amp;GH$392)),INDIRECT(CONCATENATE("$N$"&amp;GH$391)),
IF($K400=INDIRECT(CONCATENATE("$M$"&amp;GH$392)),INDIRECT(CONCATENATE("$M$"&amp;GH$391)),
IF($K400=INDIRECT(CONCATENATE("$L$"&amp;GH$392)),INDIRECT(CONCATENATE("$L$"&amp;GH$391)),
IF($K400=INDIRECT(CONCATENATE("$K$"&amp;GH$392)),INDIRECT(CONCATENATE("$K$"&amp;GH$391)),
IF($K400=INDIRECT(CONCATENATE("$J$"&amp;GH$392)),INDIRECT(CONCATENATE("$J$"&amp;GH$391)),
IF($K400=INDIRECT(CONCATENATE("$I$"&amp;GH$392)),INDIRECT(CONCATENATE("$I$"&amp;GH$391)),
IF($K400=INDIRECT(CONCATENATE("$H$"&amp;GH$392)),INDIRECT(CONCATENATE("$H$"&amp;GH$391)),
IF($K400=INDIRECT(CONCATENATE("$G$"&amp;GH$392)),INDIRECT(CONCATENATE("$G$"&amp;GH$391)),
IF($K400=INDIRECT(CONCATENATE("$F$"&amp;GH$392)),INDIRECT(CONCATENATE("$F$"&amp;GH$391)),
IF($K400=INDIRECT(CONCATENATE("$E$"&amp;GH$392)),INDIRECT(CONCATENATE("$E$"&amp;GH$391)),
IF($K400=INDIRECT(CONCATENATE("$D$"&amp;GH$392)),INDIRECT(CONCATENATE("$D$"&amp;GH$391)),
IF($K400=INDIRECT(CONCATENATE("$C$"&amp;GH$392)),INDIRECT(CONCATENATE("$C$"&amp;GH$391)),"X")))))))))))))))))))))))))))))))</f>
        <v>X</v>
      </c>
      <c r="MU400" s="58" t="str">
        <f t="shared" ca="1" si="1790"/>
        <v>X</v>
      </c>
      <c r="MV400" s="58" t="str">
        <f t="shared" ca="1" si="1790"/>
        <v>X</v>
      </c>
      <c r="MW400" s="58" t="str">
        <f t="shared" ca="1" si="1790"/>
        <v>X</v>
      </c>
      <c r="MX400" s="58" t="str">
        <f t="shared" ca="1" si="1790"/>
        <v>X</v>
      </c>
      <c r="MY400" s="58" t="str">
        <f t="shared" ca="1" si="1790"/>
        <v>X</v>
      </c>
      <c r="MZ400" s="58" t="str">
        <f t="shared" ca="1" si="1790"/>
        <v>X</v>
      </c>
      <c r="NA400" s="58" t="str">
        <f t="shared" ca="1" si="1790"/>
        <v>X</v>
      </c>
      <c r="NB400" s="58" t="str">
        <f t="shared" ca="1" si="1790"/>
        <v>X</v>
      </c>
      <c r="NC400" s="58" t="str">
        <f t="shared" ca="1" si="1790"/>
        <v>X</v>
      </c>
      <c r="ND400" s="58" t="str">
        <f t="shared" ca="1" si="1790"/>
        <v>X</v>
      </c>
      <c r="NE400" s="58" t="str">
        <f t="shared" ca="1" si="1790"/>
        <v>X</v>
      </c>
      <c r="NF400" s="58" t="str">
        <f t="shared" ca="1" si="1773"/>
        <v>X</v>
      </c>
      <c r="NG400" s="58" t="str">
        <f t="shared" ca="1" si="1774"/>
        <v>X</v>
      </c>
    </row>
    <row r="401" spans="1:371" ht="18" customHeight="1">
      <c r="A401" s="241" t="s">
        <v>93</v>
      </c>
      <c r="B401" s="304"/>
      <c r="C401" s="304"/>
      <c r="D401" s="304"/>
      <c r="E401" s="304"/>
      <c r="F401" s="304"/>
      <c r="G401" s="304"/>
      <c r="H401" s="304"/>
      <c r="I401" s="304"/>
      <c r="J401" s="303"/>
      <c r="K401" s="237" t="s">
        <v>30</v>
      </c>
      <c r="L401" s="303"/>
      <c r="M401" s="55">
        <v>90</v>
      </c>
      <c r="N401" s="225" t="s">
        <v>94</v>
      </c>
      <c r="O401" s="304"/>
      <c r="P401" s="304"/>
      <c r="Q401" s="304"/>
      <c r="R401" s="303"/>
      <c r="S401" s="226">
        <v>96378</v>
      </c>
      <c r="T401" s="304"/>
      <c r="U401" s="303"/>
      <c r="V401" s="227" t="s">
        <v>87</v>
      </c>
      <c r="W401" s="303"/>
      <c r="X401" s="56">
        <f t="shared" ca="1" si="1775"/>
        <v>46056</v>
      </c>
      <c r="Y401" s="56">
        <f t="shared" ca="1" si="1776"/>
        <v>46140</v>
      </c>
      <c r="Z401" s="228" t="str">
        <f t="shared" ca="1" si="1612"/>
        <v>CONCLUÍDA</v>
      </c>
      <c r="AA401" s="304"/>
      <c r="AB401" s="303"/>
      <c r="AC401" s="224">
        <f t="shared" si="1777"/>
        <v>90</v>
      </c>
      <c r="AD401" s="303"/>
      <c r="AE401" s="229">
        <f t="shared" si="1778"/>
        <v>0</v>
      </c>
      <c r="AF401" s="303"/>
      <c r="AG401" s="57" t="str">
        <f t="shared" si="1615"/>
        <v>OK</v>
      </c>
      <c r="AH401" s="21"/>
      <c r="AI401" s="70"/>
      <c r="AJ401" s="58" t="str">
        <f t="shared" ref="AJ401:GT401" ca="1" si="1791">IF($K401=INDIRECT(CONCATENATE("$C$"&amp;AJ$392)), INDIRECT(CONCATENATE("$C$"&amp;AJ$391)),
IF($K401=INDIRECT(CONCATENATE("$D$"&amp;AJ$392)), INDIRECT(CONCATENATE("$D$"&amp;AJ$391)),
IF($K401=INDIRECT(CONCATENATE("$E$"&amp;AJ$392)), INDIRECT(CONCATENATE("$E$"&amp;AJ$391)),
IF($K401=INDIRECT(CONCATENATE("$F$"&amp;AJ$392)), INDIRECT(CONCATENATE("$F$"&amp;AJ$391)),
IF($K401=INDIRECT(CONCATENATE("$G$"&amp;AJ$392)), INDIRECT(CONCATENATE("$G$"&amp;AJ$391)),
IF($K401=INDIRECT(CONCATENATE("$H$"&amp;AJ$392)), INDIRECT(CONCATENATE("$H$"&amp;AJ$391)),
IF($K401=INDIRECT(CONCATENATE("$I$"&amp;AJ$392)), INDIRECT(CONCATENATE("$I$"&amp;AJ$391)),
IF($K401=INDIRECT(CONCATENATE("$J$"&amp;AJ$392)), INDIRECT(CONCATENATE("$J$"&amp;AJ$391)),
IF($K401=INDIRECT(CONCATENATE("$K$"&amp;AJ$392)), INDIRECT(CONCATENATE("$K$"&amp;AJ$391)),
IF($K401=INDIRECT(CONCATENATE("$L$"&amp;AJ$392)), INDIRECT(CONCATENATE("$L$"&amp;AJ$391)),
IF($K401=INDIRECT(CONCATENATE("$M$"&amp;AJ$392)), INDIRECT(CONCATENATE("$M$"&amp;AJ$391)),
IF($K401=INDIRECT(CONCATENATE("$N$"&amp;AJ$392)), INDIRECT(CONCATENATE("$N$"&amp;AJ$391)),
IF($K401=INDIRECT(CONCATENATE("$O$"&amp;AJ$392)), INDIRECT(CONCATENATE("$O$"&amp;AJ$391)),
IF($K401=INDIRECT(CONCATENATE("$P$"&amp;AJ$392)), INDIRECT(CONCATENATE("$P$"&amp;AJ$391)),
IF($K401=INDIRECT(CONCATENATE("$Q$"&amp;AJ$392)), INDIRECT(CONCATENATE("$Q$"&amp;AJ$391)),
IF($K401=INDIRECT(CONCATENATE("$R$"&amp;AJ$392)), INDIRECT(CONCATENATE("$R$"&amp;AJ$391)),
IF($K401=INDIRECT(CONCATENATE("$S$"&amp;AJ$392)), INDIRECT(CONCATENATE("$S$"&amp;AJ$391)),
IF($K401=INDIRECT(CONCATENATE("$T$"&amp;AJ$392)), INDIRECT(CONCATENATE("$T$"&amp;AJ$391)),
IF($K401=INDIRECT(CONCATENATE("$U$"&amp;AJ$392)), INDIRECT(CONCATENATE("$U$"&amp;AJ$391)),
IF($K401=INDIRECT(CONCATENATE("$V$"&amp;AJ$392)), INDIRECT(CONCATENATE("$V$"&amp;AJ$391)),
IF($K401=INDIRECT(CONCATENATE("$W$"&amp;AJ$392)), INDIRECT(CONCATENATE("$W$"&amp;AJ$391)),
IF($K401=INDIRECT(CONCATENATE("$X$"&amp;AJ$392)), INDIRECT(CONCATENATE("$X$"&amp;AJ$391)),
IF($K401=INDIRECT(CONCATENATE("$Y$"&amp;AJ$392)), INDIRECT(CONCATENATE("$Y$"&amp;AJ$391)),
IF($K401=INDIRECT(CONCATENATE("$Z$"&amp;AJ$392)), INDIRECT(CONCATENATE("$Z$"&amp;AJ$391)),
IF($K401=INDIRECT(CONCATENATE("$AA$"&amp;AJ$392)), INDIRECT(CONCATENATE("$AA$"&amp;AJ$391)),
IF($K401=INDIRECT(CONCATENATE("$AB$"&amp;AJ$392)), INDIRECT(CONCATENATE("$AB$"&amp;AJ$391)),
IF($K401=INDIRECT(CONCATENATE("$AC$"&amp;AJ$392)), INDIRECT(CONCATENATE("$AC$"&amp;AJ$391)),
IF($K401=INDIRECT(CONCATENATE("$AD$"&amp;AJ$392)), INDIRECT(CONCATENATE("$AD$"&amp;AJ$391)),
IF($K401=INDIRECT(CONCATENATE("$AE$"&amp;AJ$392)), INDIRECT(CONCATENATE("$AE$"&amp;AJ$391)),
IF($K401=INDIRECT(CONCATENATE("$AF$"&amp;AJ$392)), INDIRECT(CONCATENATE("$AF$"&amp;AJ$391)),
IF($K401=INDIRECT(CONCATENATE("$AG$"&amp;AJ$392)), INDIRECT(CONCATENATE("$AG$"&amp;AJ$391)),"X")))))))))))))))))))))))))))))))</f>
        <v>X</v>
      </c>
      <c r="AK401" s="58" t="str">
        <f t="shared" ca="1" si="1791"/>
        <v>X</v>
      </c>
      <c r="AL401" s="58" t="str">
        <f t="shared" ca="1" si="1791"/>
        <v>X</v>
      </c>
      <c r="AM401" s="58" t="str">
        <f t="shared" ca="1" si="1791"/>
        <v>X</v>
      </c>
      <c r="AN401" s="58" t="str">
        <f t="shared" ca="1" si="1791"/>
        <v>X</v>
      </c>
      <c r="AO401" s="58" t="str">
        <f t="shared" ca="1" si="1791"/>
        <v>X</v>
      </c>
      <c r="AP401" s="58" t="str">
        <f t="shared" ca="1" si="1791"/>
        <v>X</v>
      </c>
      <c r="AQ401" s="58" t="str">
        <f t="shared" ca="1" si="1791"/>
        <v>X</v>
      </c>
      <c r="AR401" s="58" t="str">
        <f t="shared" ca="1" si="1791"/>
        <v>X</v>
      </c>
      <c r="AS401" s="58" t="str">
        <f t="shared" ca="1" si="1791"/>
        <v>X</v>
      </c>
      <c r="AT401" s="58" t="str">
        <f t="shared" ca="1" si="1791"/>
        <v>X</v>
      </c>
      <c r="AU401" s="58" t="str">
        <f t="shared" ca="1" si="1791"/>
        <v>X</v>
      </c>
      <c r="AV401" s="58" t="str">
        <f t="shared" ca="1" si="1791"/>
        <v>X</v>
      </c>
      <c r="AW401" s="58" t="str">
        <f t="shared" ca="1" si="1791"/>
        <v>X</v>
      </c>
      <c r="AX401" s="58" t="str">
        <f t="shared" ca="1" si="1791"/>
        <v>X</v>
      </c>
      <c r="AY401" s="58" t="str">
        <f t="shared" ca="1" si="1791"/>
        <v>X</v>
      </c>
      <c r="AZ401" s="58" t="str">
        <f t="shared" ca="1" si="1791"/>
        <v>X</v>
      </c>
      <c r="BA401" s="58" t="str">
        <f t="shared" ca="1" si="1791"/>
        <v>X</v>
      </c>
      <c r="BB401" s="58" t="str">
        <f t="shared" ca="1" si="1791"/>
        <v>X</v>
      </c>
      <c r="BC401" s="58">
        <f t="shared" ca="1" si="1791"/>
        <v>46056</v>
      </c>
      <c r="BD401" s="58">
        <f t="shared" ca="1" si="1791"/>
        <v>46056</v>
      </c>
      <c r="BE401" s="58">
        <f t="shared" ca="1" si="1791"/>
        <v>46056</v>
      </c>
      <c r="BF401" s="58">
        <f t="shared" ca="1" si="1791"/>
        <v>46056</v>
      </c>
      <c r="BG401" s="58" t="str">
        <f t="shared" ca="1" si="1791"/>
        <v>X</v>
      </c>
      <c r="BH401" s="58" t="str">
        <f t="shared" ca="1" si="1791"/>
        <v>X</v>
      </c>
      <c r="BI401" s="58" t="str">
        <f t="shared" ca="1" si="1791"/>
        <v>X</v>
      </c>
      <c r="BJ401" s="58" t="str">
        <f t="shared" ca="1" si="1791"/>
        <v>X</v>
      </c>
      <c r="BK401" s="58" t="str">
        <f t="shared" ca="1" si="1791"/>
        <v>X</v>
      </c>
      <c r="BL401" s="58" t="str">
        <f t="shared" ca="1" si="1791"/>
        <v>X</v>
      </c>
      <c r="BM401" s="58" t="str">
        <f t="shared" ca="1" si="1791"/>
        <v>X</v>
      </c>
      <c r="BN401" s="58" t="str">
        <f t="shared" ca="1" si="1791"/>
        <v>X</v>
      </c>
      <c r="BO401" s="58" t="str">
        <f t="shared" ca="1" si="1791"/>
        <v>X</v>
      </c>
      <c r="BP401" s="58" t="str">
        <f t="shared" ca="1" si="1791"/>
        <v>X</v>
      </c>
      <c r="BQ401" s="58">
        <f t="shared" ca="1" si="1791"/>
        <v>46084</v>
      </c>
      <c r="BR401" s="58">
        <f t="shared" ca="1" si="1791"/>
        <v>46084</v>
      </c>
      <c r="BS401" s="58">
        <f t="shared" ca="1" si="1791"/>
        <v>46084</v>
      </c>
      <c r="BT401" s="58">
        <f t="shared" ca="1" si="1791"/>
        <v>46084</v>
      </c>
      <c r="BU401" s="58" t="str">
        <f t="shared" ca="1" si="1791"/>
        <v>X</v>
      </c>
      <c r="BV401" s="58" t="str">
        <f t="shared" ca="1" si="1791"/>
        <v>X</v>
      </c>
      <c r="BW401" s="58" t="str">
        <f t="shared" ca="1" si="1791"/>
        <v>X</v>
      </c>
      <c r="BX401" s="58" t="str">
        <f t="shared" ca="1" si="1791"/>
        <v>X</v>
      </c>
      <c r="BY401" s="58" t="str">
        <f t="shared" ca="1" si="1791"/>
        <v>X</v>
      </c>
      <c r="BZ401" s="58" t="str">
        <f t="shared" ca="1" si="1791"/>
        <v>X</v>
      </c>
      <c r="CA401" s="58" t="str">
        <f t="shared" ca="1" si="1791"/>
        <v>X</v>
      </c>
      <c r="CB401" s="58" t="str">
        <f t="shared" ca="1" si="1791"/>
        <v>X</v>
      </c>
      <c r="CC401" s="58" t="str">
        <f t="shared" ca="1" si="1791"/>
        <v>X</v>
      </c>
      <c r="CD401" s="58" t="str">
        <f t="shared" ca="1" si="1791"/>
        <v>X</v>
      </c>
      <c r="CE401" s="58">
        <f t="shared" ca="1" si="1791"/>
        <v>46119</v>
      </c>
      <c r="CF401" s="58">
        <f t="shared" ca="1" si="1791"/>
        <v>46119</v>
      </c>
      <c r="CG401" s="58">
        <f t="shared" ca="1" si="1791"/>
        <v>46119</v>
      </c>
      <c r="CH401" s="58">
        <f t="shared" ca="1" si="1791"/>
        <v>46119</v>
      </c>
      <c r="CI401" s="58" t="str">
        <f t="shared" ca="1" si="1791"/>
        <v>X</v>
      </c>
      <c r="CJ401" s="58" t="str">
        <f t="shared" ca="1" si="1791"/>
        <v>X</v>
      </c>
      <c r="CK401" s="58" t="str">
        <f t="shared" ca="1" si="1791"/>
        <v>X</v>
      </c>
      <c r="CL401" s="58" t="str">
        <f t="shared" ca="1" si="1791"/>
        <v>X</v>
      </c>
      <c r="CM401" s="58" t="str">
        <f t="shared" ca="1" si="1791"/>
        <v>X</v>
      </c>
      <c r="CN401" s="58" t="str">
        <f t="shared" ca="1" si="1791"/>
        <v>X</v>
      </c>
      <c r="CO401" s="58" t="str">
        <f t="shared" ca="1" si="1791"/>
        <v>X</v>
      </c>
      <c r="CP401" s="58" t="str">
        <f t="shared" ca="1" si="1791"/>
        <v>X</v>
      </c>
      <c r="CQ401" s="58" t="str">
        <f t="shared" ca="1" si="1791"/>
        <v>X</v>
      </c>
      <c r="CR401" s="58" t="str">
        <f t="shared" ca="1" si="1791"/>
        <v>X</v>
      </c>
      <c r="CS401" s="58" t="str">
        <f t="shared" ca="1" si="1791"/>
        <v>X</v>
      </c>
      <c r="CT401" s="58" t="str">
        <f t="shared" ca="1" si="1791"/>
        <v>X</v>
      </c>
      <c r="CU401" s="58" t="str">
        <f t="shared" ca="1" si="1791"/>
        <v>X</v>
      </c>
      <c r="CV401" s="58" t="str">
        <f t="shared" ca="1" si="1791"/>
        <v>X</v>
      </c>
      <c r="CW401" s="58" t="str">
        <f t="shared" ca="1" si="1791"/>
        <v>X</v>
      </c>
      <c r="CX401" s="58" t="str">
        <f t="shared" ca="1" si="1791"/>
        <v>X</v>
      </c>
      <c r="CY401" s="58" t="str">
        <f t="shared" ca="1" si="1791"/>
        <v>X</v>
      </c>
      <c r="CZ401" s="58" t="str">
        <f t="shared" ca="1" si="1791"/>
        <v>X</v>
      </c>
      <c r="DA401" s="58" t="str">
        <f t="shared" ca="1" si="1791"/>
        <v>X</v>
      </c>
      <c r="DB401" s="58" t="str">
        <f t="shared" ca="1" si="1791"/>
        <v>X</v>
      </c>
      <c r="DC401" s="58" t="str">
        <f t="shared" ca="1" si="1791"/>
        <v>X</v>
      </c>
      <c r="DD401" s="58" t="str">
        <f t="shared" ca="1" si="1791"/>
        <v>X</v>
      </c>
      <c r="DE401" s="58" t="str">
        <f t="shared" ca="1" si="1791"/>
        <v>X</v>
      </c>
      <c r="DF401" s="58" t="str">
        <f t="shared" ca="1" si="1791"/>
        <v>X</v>
      </c>
      <c r="DG401" s="58" t="str">
        <f t="shared" ca="1" si="1791"/>
        <v>X</v>
      </c>
      <c r="DH401" s="58" t="str">
        <f t="shared" ca="1" si="1791"/>
        <v>X</v>
      </c>
      <c r="DI401" s="58" t="str">
        <f t="shared" ca="1" si="1791"/>
        <v>X</v>
      </c>
      <c r="DJ401" s="58" t="str">
        <f t="shared" ca="1" si="1791"/>
        <v>X</v>
      </c>
      <c r="DK401" s="58" t="str">
        <f t="shared" ca="1" si="1791"/>
        <v>X</v>
      </c>
      <c r="DL401" s="58" t="str">
        <f t="shared" ca="1" si="1791"/>
        <v>X</v>
      </c>
      <c r="DM401" s="58" t="str">
        <f t="shared" ca="1" si="1791"/>
        <v>X</v>
      </c>
      <c r="DN401" s="58" t="str">
        <f t="shared" ca="1" si="1791"/>
        <v>X</v>
      </c>
      <c r="DO401" s="58" t="str">
        <f t="shared" ca="1" si="1791"/>
        <v>X</v>
      </c>
      <c r="DP401" s="58" t="str">
        <f t="shared" ca="1" si="1791"/>
        <v>X</v>
      </c>
      <c r="DQ401" s="58" t="str">
        <f t="shared" ca="1" si="1791"/>
        <v>X</v>
      </c>
      <c r="DR401" s="58" t="str">
        <f t="shared" ca="1" si="1791"/>
        <v>X</v>
      </c>
      <c r="DS401" s="58" t="str">
        <f t="shared" ca="1" si="1791"/>
        <v>X</v>
      </c>
      <c r="DT401" s="58" t="str">
        <f t="shared" ca="1" si="1791"/>
        <v>X</v>
      </c>
      <c r="DU401" s="58" t="str">
        <f t="shared" ca="1" si="1791"/>
        <v>X</v>
      </c>
      <c r="DV401" s="58" t="str">
        <f t="shared" ca="1" si="1791"/>
        <v>X</v>
      </c>
      <c r="DW401" s="58" t="str">
        <f t="shared" ca="1" si="1791"/>
        <v>X</v>
      </c>
      <c r="DX401" s="58" t="str">
        <f t="shared" ca="1" si="1791"/>
        <v>X</v>
      </c>
      <c r="DY401" s="58" t="str">
        <f t="shared" ca="1" si="1791"/>
        <v>X</v>
      </c>
      <c r="DZ401" s="58" t="str">
        <f t="shared" ca="1" si="1791"/>
        <v>X</v>
      </c>
      <c r="EA401" s="58" t="str">
        <f t="shared" ca="1" si="1791"/>
        <v>X</v>
      </c>
      <c r="EB401" s="58" t="str">
        <f t="shared" ca="1" si="1791"/>
        <v>X</v>
      </c>
      <c r="EC401" s="58" t="str">
        <f t="shared" ca="1" si="1791"/>
        <v>X</v>
      </c>
      <c r="ED401" s="58" t="str">
        <f t="shared" ca="1" si="1791"/>
        <v>X</v>
      </c>
      <c r="EE401" s="58" t="str">
        <f t="shared" ca="1" si="1791"/>
        <v>X</v>
      </c>
      <c r="EF401" s="58" t="str">
        <f t="shared" ca="1" si="1791"/>
        <v>X</v>
      </c>
      <c r="EG401" s="58" t="str">
        <f t="shared" ca="1" si="1791"/>
        <v>X</v>
      </c>
      <c r="EH401" s="58" t="str">
        <f t="shared" ca="1" si="1791"/>
        <v>X</v>
      </c>
      <c r="EI401" s="58" t="str">
        <f t="shared" ca="1" si="1791"/>
        <v>X</v>
      </c>
      <c r="EJ401" s="58" t="str">
        <f t="shared" ca="1" si="1791"/>
        <v>X</v>
      </c>
      <c r="EK401" s="58" t="str">
        <f t="shared" ca="1" si="1791"/>
        <v>X</v>
      </c>
      <c r="EL401" s="58" t="str">
        <f t="shared" ca="1" si="1791"/>
        <v>X</v>
      </c>
      <c r="EM401" s="58" t="str">
        <f t="shared" ca="1" si="1791"/>
        <v>X</v>
      </c>
      <c r="EN401" s="58" t="str">
        <f t="shared" ca="1" si="1791"/>
        <v>X</v>
      </c>
      <c r="EO401" s="58" t="str">
        <f t="shared" ca="1" si="1791"/>
        <v>X</v>
      </c>
      <c r="EP401" s="58" t="str">
        <f t="shared" ca="1" si="1791"/>
        <v>X</v>
      </c>
      <c r="EQ401" s="58" t="str">
        <f t="shared" ca="1" si="1791"/>
        <v>X</v>
      </c>
      <c r="ER401" s="58" t="str">
        <f t="shared" ca="1" si="1791"/>
        <v>X</v>
      </c>
      <c r="ES401" s="58" t="str">
        <f t="shared" ca="1" si="1791"/>
        <v>X</v>
      </c>
      <c r="ET401" s="58" t="str">
        <f t="shared" ca="1" si="1791"/>
        <v>X</v>
      </c>
      <c r="EU401" s="58" t="str">
        <f t="shared" ca="1" si="1791"/>
        <v>X</v>
      </c>
      <c r="EV401" s="58" t="str">
        <f t="shared" ca="1" si="1791"/>
        <v>X</v>
      </c>
      <c r="EW401" s="58" t="str">
        <f t="shared" ca="1" si="1791"/>
        <v>X</v>
      </c>
      <c r="EX401" s="58" t="str">
        <f t="shared" ca="1" si="1791"/>
        <v>X</v>
      </c>
      <c r="EY401" s="58" t="str">
        <f t="shared" ca="1" si="1791"/>
        <v>X</v>
      </c>
      <c r="EZ401" s="58" t="str">
        <f t="shared" ca="1" si="1791"/>
        <v>X</v>
      </c>
      <c r="FA401" s="58" t="str">
        <f t="shared" ca="1" si="1791"/>
        <v>X</v>
      </c>
      <c r="FB401" s="58" t="str">
        <f t="shared" ca="1" si="1791"/>
        <v>X</v>
      </c>
      <c r="FC401" s="58" t="str">
        <f t="shared" ca="1" si="1791"/>
        <v>X</v>
      </c>
      <c r="FD401" s="58" t="str">
        <f t="shared" ca="1" si="1791"/>
        <v>X</v>
      </c>
      <c r="FE401" s="58" t="str">
        <f t="shared" ca="1" si="1791"/>
        <v>X</v>
      </c>
      <c r="FF401" s="58" t="str">
        <f t="shared" ca="1" si="1791"/>
        <v>X</v>
      </c>
      <c r="FG401" s="58" t="str">
        <f t="shared" ca="1" si="1791"/>
        <v>X</v>
      </c>
      <c r="FH401" s="58" t="str">
        <f t="shared" ca="1" si="1791"/>
        <v>X</v>
      </c>
      <c r="FI401" s="58" t="str">
        <f t="shared" ca="1" si="1791"/>
        <v>X</v>
      </c>
      <c r="FJ401" s="58" t="str">
        <f t="shared" ca="1" si="1791"/>
        <v>X</v>
      </c>
      <c r="FK401" s="58" t="str">
        <f t="shared" ca="1" si="1791"/>
        <v>X</v>
      </c>
      <c r="FL401" s="58" t="str">
        <f t="shared" ca="1" si="1791"/>
        <v>X</v>
      </c>
      <c r="FM401" s="58" t="str">
        <f t="shared" ca="1" si="1791"/>
        <v>X</v>
      </c>
      <c r="FN401" s="58" t="str">
        <f t="shared" ca="1" si="1791"/>
        <v>X</v>
      </c>
      <c r="FO401" s="58" t="str">
        <f t="shared" ca="1" si="1791"/>
        <v>X</v>
      </c>
      <c r="FP401" s="58" t="str">
        <f t="shared" ca="1" si="1791"/>
        <v>X</v>
      </c>
      <c r="FQ401" s="58" t="str">
        <f t="shared" ca="1" si="1791"/>
        <v>X</v>
      </c>
      <c r="FR401" s="58" t="str">
        <f t="shared" ca="1" si="1791"/>
        <v>X</v>
      </c>
      <c r="FS401" s="58" t="str">
        <f t="shared" ca="1" si="1791"/>
        <v>X</v>
      </c>
      <c r="FT401" s="58" t="str">
        <f t="shared" ca="1" si="1791"/>
        <v>X</v>
      </c>
      <c r="FU401" s="58" t="str">
        <f t="shared" ca="1" si="1791"/>
        <v>X</v>
      </c>
      <c r="FV401" s="58" t="str">
        <f t="shared" ca="1" si="1791"/>
        <v>X</v>
      </c>
      <c r="FW401" s="58" t="str">
        <f t="shared" ca="1" si="1791"/>
        <v>X</v>
      </c>
      <c r="FX401" s="58" t="str">
        <f t="shared" ca="1" si="1791"/>
        <v>X</v>
      </c>
      <c r="FY401" s="58" t="str">
        <f t="shared" ca="1" si="1791"/>
        <v>X</v>
      </c>
      <c r="FZ401" s="58" t="str">
        <f t="shared" ca="1" si="1791"/>
        <v>X</v>
      </c>
      <c r="GA401" s="58" t="str">
        <f t="shared" ca="1" si="1791"/>
        <v>X</v>
      </c>
      <c r="GB401" s="58" t="str">
        <f t="shared" ca="1" si="1791"/>
        <v>X</v>
      </c>
      <c r="GC401" s="58" t="str">
        <f t="shared" ca="1" si="1791"/>
        <v>X</v>
      </c>
      <c r="GD401" s="58" t="str">
        <f t="shared" ca="1" si="1791"/>
        <v>X</v>
      </c>
      <c r="GE401" s="58" t="str">
        <f t="shared" ca="1" si="1791"/>
        <v>X</v>
      </c>
      <c r="GF401" s="58" t="str">
        <f t="shared" ca="1" si="1791"/>
        <v>X</v>
      </c>
      <c r="GG401" s="58" t="str">
        <f t="shared" ca="1" si="1791"/>
        <v>X</v>
      </c>
      <c r="GH401" s="58" t="str">
        <f t="shared" ca="1" si="1791"/>
        <v>X</v>
      </c>
      <c r="GI401" s="58" t="str">
        <f t="shared" ca="1" si="1791"/>
        <v>X</v>
      </c>
      <c r="GJ401" s="58" t="str">
        <f t="shared" ca="1" si="1791"/>
        <v>X</v>
      </c>
      <c r="GK401" s="58" t="str">
        <f t="shared" ca="1" si="1791"/>
        <v>X</v>
      </c>
      <c r="GL401" s="58" t="str">
        <f t="shared" ca="1" si="1791"/>
        <v>X</v>
      </c>
      <c r="GM401" s="58" t="str">
        <f t="shared" ca="1" si="1791"/>
        <v>X</v>
      </c>
      <c r="GN401" s="58" t="str">
        <f t="shared" ca="1" si="1791"/>
        <v>X</v>
      </c>
      <c r="GO401" s="58" t="str">
        <f t="shared" ca="1" si="1791"/>
        <v>X</v>
      </c>
      <c r="GP401" s="58" t="str">
        <f t="shared" ca="1" si="1791"/>
        <v>X</v>
      </c>
      <c r="GQ401" s="58" t="str">
        <f t="shared" ca="1" si="1791"/>
        <v>X</v>
      </c>
      <c r="GR401" s="58" t="str">
        <f t="shared" ca="1" si="1791"/>
        <v>X</v>
      </c>
      <c r="GS401" s="80" t="str">
        <f t="shared" ca="1" si="1791"/>
        <v>X</v>
      </c>
      <c r="GT401" s="58" t="str">
        <f t="shared" ca="1" si="1791"/>
        <v>X</v>
      </c>
      <c r="GU401" s="82" t="str">
        <f t="shared" ca="1" si="1617"/>
        <v>X</v>
      </c>
      <c r="GV401" s="58" t="str">
        <f t="shared" ca="1" si="1618"/>
        <v>X</v>
      </c>
      <c r="GW401" s="58" t="str">
        <f t="shared" ca="1" si="1619"/>
        <v>X</v>
      </c>
      <c r="GX401" s="58" t="str">
        <f t="shared" ca="1" si="1620"/>
        <v>X</v>
      </c>
      <c r="GY401" s="58" t="str">
        <f t="shared" ca="1" si="1621"/>
        <v>X</v>
      </c>
      <c r="GZ401" s="58" t="str">
        <f t="shared" ca="1" si="1622"/>
        <v>X</v>
      </c>
      <c r="HA401" s="58" t="str">
        <f t="shared" ca="1" si="1623"/>
        <v>X</v>
      </c>
      <c r="HB401" s="58" t="str">
        <f t="shared" ca="1" si="1624"/>
        <v>X</v>
      </c>
      <c r="HC401" s="58" t="str">
        <f t="shared" ca="1" si="1625"/>
        <v>X</v>
      </c>
      <c r="HD401" s="58" t="str">
        <f t="shared" ca="1" si="1626"/>
        <v>X</v>
      </c>
      <c r="HE401" s="58" t="str">
        <f t="shared" ca="1" si="1627"/>
        <v>X</v>
      </c>
      <c r="HF401" s="58" t="str">
        <f t="shared" ca="1" si="1628"/>
        <v>X</v>
      </c>
      <c r="HG401" s="58" t="str">
        <f t="shared" ca="1" si="1629"/>
        <v>X</v>
      </c>
      <c r="HH401" s="58" t="str">
        <f t="shared" ca="1" si="1630"/>
        <v>X</v>
      </c>
      <c r="HI401" s="58" t="str">
        <f t="shared" ca="1" si="1631"/>
        <v>X</v>
      </c>
      <c r="HJ401" s="58" t="str">
        <f t="shared" ca="1" si="1632"/>
        <v>X</v>
      </c>
      <c r="HK401" s="58" t="str">
        <f t="shared" ca="1" si="1633"/>
        <v>X</v>
      </c>
      <c r="HL401" s="58" t="str">
        <f t="shared" ca="1" si="1634"/>
        <v>X</v>
      </c>
      <c r="HM401" s="58" t="str">
        <f t="shared" ca="1" si="1635"/>
        <v>X</v>
      </c>
      <c r="HN401" s="58" t="str">
        <f t="shared" ca="1" si="1636"/>
        <v>X</v>
      </c>
      <c r="HO401" s="58">
        <f t="shared" ca="1" si="1637"/>
        <v>46073</v>
      </c>
      <c r="HP401" s="58">
        <f t="shared" ca="1" si="1638"/>
        <v>46073</v>
      </c>
      <c r="HQ401" s="58">
        <f t="shared" ca="1" si="1639"/>
        <v>46073</v>
      </c>
      <c r="HR401" s="58">
        <f t="shared" ca="1" si="1640"/>
        <v>46073</v>
      </c>
      <c r="HS401" s="58" t="str">
        <f t="shared" ca="1" si="1641"/>
        <v>X</v>
      </c>
      <c r="HT401" s="58" t="str">
        <f t="shared" ca="1" si="1642"/>
        <v>X</v>
      </c>
      <c r="HU401" s="58" t="str">
        <f t="shared" ca="1" si="1643"/>
        <v>X</v>
      </c>
      <c r="HV401" s="58" t="str">
        <f t="shared" ca="1" si="1644"/>
        <v>X</v>
      </c>
      <c r="HW401" s="58" t="str">
        <f t="shared" ca="1" si="1645"/>
        <v>X</v>
      </c>
      <c r="HX401" s="58" t="str">
        <f t="shared" ca="1" si="1646"/>
        <v>X</v>
      </c>
      <c r="HY401" s="58" t="str">
        <f t="shared" ca="1" si="1647"/>
        <v>X</v>
      </c>
      <c r="HZ401" s="58" t="str">
        <f t="shared" ca="1" si="1648"/>
        <v>X</v>
      </c>
      <c r="IA401" s="58" t="str">
        <f t="shared" ca="1" si="1649"/>
        <v>X</v>
      </c>
      <c r="IB401" s="58" t="str">
        <f t="shared" ca="1" si="1650"/>
        <v>X</v>
      </c>
      <c r="IC401" s="58">
        <f t="shared" ca="1" si="1651"/>
        <v>46112</v>
      </c>
      <c r="ID401" s="58">
        <f t="shared" ca="1" si="1652"/>
        <v>46112</v>
      </c>
      <c r="IE401" s="58">
        <f t="shared" ca="1" si="1653"/>
        <v>46112</v>
      </c>
      <c r="IF401" s="58">
        <f t="shared" ca="1" si="1654"/>
        <v>46112</v>
      </c>
      <c r="IG401" s="58" t="str">
        <f t="shared" ca="1" si="1655"/>
        <v>X</v>
      </c>
      <c r="IH401" s="58" t="str">
        <f t="shared" ca="1" si="1656"/>
        <v>X</v>
      </c>
      <c r="II401" s="58" t="str">
        <f t="shared" ca="1" si="1657"/>
        <v>X</v>
      </c>
      <c r="IJ401" s="58" t="str">
        <f t="shared" ca="1" si="1658"/>
        <v>X</v>
      </c>
      <c r="IK401" s="58" t="str">
        <f t="shared" ca="1" si="1659"/>
        <v>X</v>
      </c>
      <c r="IL401" s="58" t="str">
        <f t="shared" ca="1" si="1660"/>
        <v>X</v>
      </c>
      <c r="IM401" s="58" t="str">
        <f t="shared" ca="1" si="1661"/>
        <v>X</v>
      </c>
      <c r="IN401" s="58" t="str">
        <f t="shared" ca="1" si="1662"/>
        <v>X</v>
      </c>
      <c r="IO401" s="58" t="str">
        <f t="shared" ca="1" si="1663"/>
        <v>X</v>
      </c>
      <c r="IP401" s="58" t="str">
        <f t="shared" ca="1" si="1664"/>
        <v>X</v>
      </c>
      <c r="IQ401" s="58">
        <f t="shared" ca="1" si="1665"/>
        <v>46140</v>
      </c>
      <c r="IR401" s="58">
        <f t="shared" ca="1" si="1666"/>
        <v>46140</v>
      </c>
      <c r="IS401" s="58">
        <f t="shared" ca="1" si="1667"/>
        <v>46135</v>
      </c>
      <c r="IT401" s="58">
        <f t="shared" ca="1" si="1668"/>
        <v>46135</v>
      </c>
      <c r="IU401" s="58" t="str">
        <f t="shared" ca="1" si="1669"/>
        <v>X</v>
      </c>
      <c r="IV401" s="58" t="str">
        <f t="shared" ca="1" si="1670"/>
        <v>X</v>
      </c>
      <c r="IW401" s="58" t="str">
        <f t="shared" ca="1" si="1671"/>
        <v>X</v>
      </c>
      <c r="IX401" s="58" t="str">
        <f t="shared" ca="1" si="1672"/>
        <v>X</v>
      </c>
      <c r="IY401" s="58" t="str">
        <f t="shared" ca="1" si="1673"/>
        <v>X</v>
      </c>
      <c r="IZ401" s="58" t="str">
        <f t="shared" ca="1" si="1674"/>
        <v>X</v>
      </c>
      <c r="JA401" s="58" t="str">
        <f t="shared" ca="1" si="1675"/>
        <v>X</v>
      </c>
      <c r="JB401" s="58" t="str">
        <f t="shared" ca="1" si="1676"/>
        <v>X</v>
      </c>
      <c r="JC401" s="58" t="str">
        <f t="shared" ca="1" si="1677"/>
        <v>X</v>
      </c>
      <c r="JD401" s="58" t="str">
        <f t="shared" ca="1" si="1678"/>
        <v>X</v>
      </c>
      <c r="JE401" s="58" t="str">
        <f t="shared" ca="1" si="1679"/>
        <v>X</v>
      </c>
      <c r="JF401" s="58" t="str">
        <f t="shared" ca="1" si="1680"/>
        <v>X</v>
      </c>
      <c r="JG401" s="58" t="str">
        <f t="shared" ca="1" si="1681"/>
        <v>X</v>
      </c>
      <c r="JH401" s="58" t="str">
        <f t="shared" ca="1" si="1682"/>
        <v>X</v>
      </c>
      <c r="JI401" s="58" t="str">
        <f t="shared" ca="1" si="1683"/>
        <v>X</v>
      </c>
      <c r="JJ401" s="58" t="str">
        <f t="shared" ca="1" si="1684"/>
        <v>X</v>
      </c>
      <c r="JK401" s="58" t="str">
        <f t="shared" ca="1" si="1685"/>
        <v>X</v>
      </c>
      <c r="JL401" s="58" t="str">
        <f t="shared" ca="1" si="1686"/>
        <v>X</v>
      </c>
      <c r="JM401" s="58" t="str">
        <f t="shared" ca="1" si="1687"/>
        <v>X</v>
      </c>
      <c r="JN401" s="58" t="str">
        <f t="shared" ca="1" si="1688"/>
        <v>X</v>
      </c>
      <c r="JO401" s="58" t="str">
        <f t="shared" ca="1" si="1689"/>
        <v>X</v>
      </c>
      <c r="JP401" s="58" t="str">
        <f t="shared" ca="1" si="1690"/>
        <v>X</v>
      </c>
      <c r="JQ401" s="58" t="str">
        <f t="shared" ca="1" si="1691"/>
        <v>X</v>
      </c>
      <c r="JR401" s="58" t="str">
        <f t="shared" ca="1" si="1692"/>
        <v>X</v>
      </c>
      <c r="JS401" s="58" t="str">
        <f t="shared" ca="1" si="1693"/>
        <v>X</v>
      </c>
      <c r="JT401" s="58" t="str">
        <f t="shared" ca="1" si="1694"/>
        <v>X</v>
      </c>
      <c r="JU401" s="58" t="str">
        <f t="shared" ca="1" si="1695"/>
        <v>X</v>
      </c>
      <c r="JV401" s="58" t="str">
        <f t="shared" ca="1" si="1696"/>
        <v>X</v>
      </c>
      <c r="JW401" s="58" t="str">
        <f t="shared" ca="1" si="1697"/>
        <v>X</v>
      </c>
      <c r="JX401" s="58" t="str">
        <f t="shared" ca="1" si="1698"/>
        <v>X</v>
      </c>
      <c r="JY401" s="58" t="str">
        <f t="shared" ca="1" si="1699"/>
        <v>X</v>
      </c>
      <c r="JZ401" s="58" t="str">
        <f t="shared" ca="1" si="1700"/>
        <v>X</v>
      </c>
      <c r="KA401" s="58" t="str">
        <f t="shared" ca="1" si="1701"/>
        <v>X</v>
      </c>
      <c r="KB401" s="58" t="str">
        <f t="shared" ca="1" si="1702"/>
        <v>X</v>
      </c>
      <c r="KC401" s="58" t="str">
        <f t="shared" ca="1" si="1703"/>
        <v>X</v>
      </c>
      <c r="KD401" s="58" t="str">
        <f t="shared" ca="1" si="1704"/>
        <v>X</v>
      </c>
      <c r="KE401" s="58" t="str">
        <f t="shared" ca="1" si="1705"/>
        <v>X</v>
      </c>
      <c r="KF401" s="58" t="str">
        <f t="shared" ca="1" si="1706"/>
        <v>X</v>
      </c>
      <c r="KG401" s="58" t="str">
        <f t="shared" ca="1" si="1707"/>
        <v>X</v>
      </c>
      <c r="KH401" s="58" t="str">
        <f t="shared" ca="1" si="1708"/>
        <v>X</v>
      </c>
      <c r="KI401" s="58" t="str">
        <f t="shared" ca="1" si="1709"/>
        <v>X</v>
      </c>
      <c r="KJ401" s="58" t="str">
        <f t="shared" ca="1" si="1710"/>
        <v>X</v>
      </c>
      <c r="KK401" s="58" t="str">
        <f t="shared" ca="1" si="1711"/>
        <v>X</v>
      </c>
      <c r="KL401" s="58" t="str">
        <f t="shared" ca="1" si="1712"/>
        <v>X</v>
      </c>
      <c r="KM401" s="58" t="str">
        <f t="shared" ca="1" si="1713"/>
        <v>X</v>
      </c>
      <c r="KN401" s="58" t="str">
        <f t="shared" ca="1" si="1714"/>
        <v>X</v>
      </c>
      <c r="KO401" s="58" t="str">
        <f t="shared" ca="1" si="1715"/>
        <v>X</v>
      </c>
      <c r="KP401" s="58" t="str">
        <f t="shared" ca="1" si="1716"/>
        <v>X</v>
      </c>
      <c r="KQ401" s="58" t="str">
        <f t="shared" ca="1" si="1717"/>
        <v>X</v>
      </c>
      <c r="KR401" s="58" t="str">
        <f t="shared" ca="1" si="1718"/>
        <v>X</v>
      </c>
      <c r="KS401" s="58" t="str">
        <f t="shared" ca="1" si="1719"/>
        <v>X</v>
      </c>
      <c r="KT401" s="58" t="str">
        <f t="shared" ca="1" si="1720"/>
        <v>X</v>
      </c>
      <c r="KU401" s="58" t="str">
        <f t="shared" ca="1" si="1721"/>
        <v>X</v>
      </c>
      <c r="KV401" s="58" t="str">
        <f t="shared" ca="1" si="1722"/>
        <v>X</v>
      </c>
      <c r="KW401" s="58" t="str">
        <f t="shared" ca="1" si="1723"/>
        <v>X</v>
      </c>
      <c r="KX401" s="58" t="str">
        <f t="shared" ca="1" si="1724"/>
        <v>X</v>
      </c>
      <c r="KY401" s="58" t="str">
        <f t="shared" ca="1" si="1725"/>
        <v>X</v>
      </c>
      <c r="KZ401" s="58" t="str">
        <f t="shared" ca="1" si="1726"/>
        <v>X</v>
      </c>
      <c r="LA401" s="58" t="str">
        <f t="shared" ca="1" si="1727"/>
        <v>X</v>
      </c>
      <c r="LB401" s="58" t="str">
        <f t="shared" ca="1" si="1728"/>
        <v>X</v>
      </c>
      <c r="LC401" s="58" t="str">
        <f t="shared" ca="1" si="1729"/>
        <v>X</v>
      </c>
      <c r="LD401" s="58" t="str">
        <f t="shared" ca="1" si="1730"/>
        <v>X</v>
      </c>
      <c r="LE401" s="58" t="str">
        <f t="shared" ca="1" si="1731"/>
        <v>X</v>
      </c>
      <c r="LF401" s="58" t="str">
        <f t="shared" ca="1" si="1732"/>
        <v>X</v>
      </c>
      <c r="LG401" s="58" t="str">
        <f t="shared" ca="1" si="1733"/>
        <v>X</v>
      </c>
      <c r="LH401" s="58" t="str">
        <f t="shared" ca="1" si="1734"/>
        <v>X</v>
      </c>
      <c r="LI401" s="58" t="str">
        <f t="shared" ca="1" si="1735"/>
        <v>X</v>
      </c>
      <c r="LJ401" s="58" t="str">
        <f t="shared" ca="1" si="1736"/>
        <v>X</v>
      </c>
      <c r="LK401" s="58" t="str">
        <f t="shared" ca="1" si="1737"/>
        <v>X</v>
      </c>
      <c r="LL401" s="58" t="str">
        <f t="shared" ca="1" si="1738"/>
        <v>X</v>
      </c>
      <c r="LM401" s="58" t="str">
        <f t="shared" ca="1" si="1739"/>
        <v>X</v>
      </c>
      <c r="LN401" s="58" t="str">
        <f t="shared" ca="1" si="1740"/>
        <v>X</v>
      </c>
      <c r="LO401" s="58" t="str">
        <f t="shared" ca="1" si="1741"/>
        <v>X</v>
      </c>
      <c r="LP401" s="58" t="str">
        <f t="shared" ca="1" si="1742"/>
        <v>X</v>
      </c>
      <c r="LQ401" s="58" t="str">
        <f t="shared" ca="1" si="1743"/>
        <v>X</v>
      </c>
      <c r="LR401" s="58" t="str">
        <f t="shared" ca="1" si="1744"/>
        <v>X</v>
      </c>
      <c r="LS401" s="58" t="str">
        <f t="shared" ca="1" si="1745"/>
        <v>X</v>
      </c>
      <c r="LT401" s="58" t="str">
        <f t="shared" ca="1" si="1746"/>
        <v>X</v>
      </c>
      <c r="LU401" s="58" t="str">
        <f t="shared" ca="1" si="1747"/>
        <v>X</v>
      </c>
      <c r="LV401" s="58" t="str">
        <f t="shared" ca="1" si="1748"/>
        <v>X</v>
      </c>
      <c r="LW401" s="58" t="str">
        <f t="shared" ca="1" si="1749"/>
        <v>X</v>
      </c>
      <c r="LX401" s="58" t="str">
        <f t="shared" ca="1" si="1750"/>
        <v>X</v>
      </c>
      <c r="LY401" s="58" t="str">
        <f t="shared" ca="1" si="1751"/>
        <v>X</v>
      </c>
      <c r="LZ401" s="58" t="str">
        <f t="shared" ca="1" si="1752"/>
        <v>X</v>
      </c>
      <c r="MA401" s="58" t="str">
        <f t="shared" ca="1" si="1753"/>
        <v>X</v>
      </c>
      <c r="MB401" s="58" t="str">
        <f t="shared" ca="1" si="1754"/>
        <v>X</v>
      </c>
      <c r="MC401" s="58" t="str">
        <f t="shared" ca="1" si="1755"/>
        <v>X</v>
      </c>
      <c r="MD401" s="58" t="str">
        <f t="shared" ca="1" si="1756"/>
        <v>X</v>
      </c>
      <c r="ME401" s="58" t="str">
        <f t="shared" ca="1" si="1757"/>
        <v>X</v>
      </c>
      <c r="MF401" s="58" t="str">
        <f t="shared" ca="1" si="1758"/>
        <v>X</v>
      </c>
      <c r="MG401" s="58" t="str">
        <f t="shared" ca="1" si="1759"/>
        <v>X</v>
      </c>
      <c r="MH401" s="58" t="str">
        <f t="shared" ca="1" si="1760"/>
        <v>X</v>
      </c>
      <c r="MI401" s="58" t="str">
        <f t="shared" ca="1" si="1761"/>
        <v>X</v>
      </c>
      <c r="MJ401" s="58" t="str">
        <f t="shared" ca="1" si="1762"/>
        <v>X</v>
      </c>
      <c r="MK401" s="58" t="str">
        <f t="shared" ca="1" si="1763"/>
        <v>X</v>
      </c>
      <c r="ML401" s="58" t="str">
        <f t="shared" ca="1" si="1764"/>
        <v>X</v>
      </c>
      <c r="MM401" s="58" t="str">
        <f t="shared" ca="1" si="1765"/>
        <v>X</v>
      </c>
      <c r="MN401" s="58" t="str">
        <f t="shared" ca="1" si="1766"/>
        <v>X</v>
      </c>
      <c r="MO401" s="58" t="str">
        <f t="shared" ca="1" si="1767"/>
        <v>X</v>
      </c>
      <c r="MP401" s="58" t="str">
        <f t="shared" ca="1" si="1768"/>
        <v>X</v>
      </c>
      <c r="MQ401" s="58" t="str">
        <f t="shared" ca="1" si="1769"/>
        <v>X</v>
      </c>
      <c r="MR401" s="58" t="str">
        <f t="shared" ca="1" si="1770"/>
        <v>X</v>
      </c>
      <c r="MS401" s="58" t="str">
        <f t="shared" ca="1" si="1771"/>
        <v>X</v>
      </c>
      <c r="MT401" s="58" t="str">
        <f t="shared" ref="MT401:NE401" ca="1" si="1792">IF($K401=INDIRECT(CONCATENATE("$AG$"&amp;GH$392)),INDIRECT(CONCATENATE("$AG$"&amp;GH$391)),
IF($K401=INDIRECT(CONCATENATE("$AF$"&amp;GH$392)),INDIRECT(CONCATENATE("$AF$"&amp;GH$391)),
IF($K401=INDIRECT(CONCATENATE("$AE$"&amp;GH$392)),INDIRECT(CONCATENATE("$AE$"&amp;GH$391)),
IF($K401=INDIRECT(CONCATENATE("$AD$"&amp;GH$392)),INDIRECT(CONCATENATE("$AD$"&amp;GH$391)),
IF($K401=INDIRECT(CONCATENATE("$AC$"&amp;GH$392)),INDIRECT(CONCATENATE("$AC$"&amp;GH$391)),
IF($K401=INDIRECT(CONCATENATE("$AB$"&amp;GH$392)),INDIRECT(CONCATENATE("$AB$"&amp;GH$391)),
IF($K401=INDIRECT(CONCATENATE("$AA$"&amp;GH$392)),INDIRECT(CONCATENATE("$AA$"&amp;GH$391)),
IF($K401=INDIRECT(CONCATENATE("$Z$"&amp;GH$392)),INDIRECT(CONCATENATE("$Z$"&amp;GH$391)),
IF($K401=INDIRECT(CONCATENATE("$Y$"&amp;GH$392)),INDIRECT(CONCATENATE("$Y$"&amp;GH$391)),
IF($K401=INDIRECT(CONCATENATE("$X$"&amp;GH$392)),INDIRECT(CONCATENATE("$X$"&amp;GH$391)),
IF($K401=INDIRECT(CONCATENATE("$W$"&amp;GH$392)),INDIRECT(CONCATENATE("$W$"&amp;GH$391)),
IF($K401=INDIRECT(CONCATENATE("$V$"&amp;GH$392)),INDIRECT(CONCATENATE("$V$"&amp;GH$391)),
IF($K401=INDIRECT(CONCATENATE("$U$"&amp;GH$392)),INDIRECT(CONCATENATE("$U$"&amp;GH$391)),
IF($K401=INDIRECT(CONCATENATE("$T$"&amp;GH$392)),INDIRECT(CONCATENATE("$T$"&amp;GH$391)),
IF($K401=INDIRECT(CONCATENATE("$S$"&amp;GH$392)),INDIRECT(CONCATENATE("$S$"&amp;GH$391)),
IF($K401=INDIRECT(CONCATENATE("$R$"&amp;GH$392)),INDIRECT(CONCATENATE("$R$"&amp;GH$391)),
IF($K401=INDIRECT(CONCATENATE("$Q$"&amp;GH$392)),INDIRECT(CONCATENATE("$Q$"&amp;GH$391)),
IF($K401=INDIRECT(CONCATENATE("$P$"&amp;GH$392)),INDIRECT(CONCATENATE("$P$"&amp;GH$391)),
IF($K401=INDIRECT(CONCATENATE("$O$"&amp;GH$392)),INDIRECT(CONCATENATE("$O$"&amp;GH$391)),
IF($K401=INDIRECT(CONCATENATE("$N$"&amp;GH$392)),INDIRECT(CONCATENATE("$N$"&amp;GH$391)),
IF($K401=INDIRECT(CONCATENATE("$M$"&amp;GH$392)),INDIRECT(CONCATENATE("$M$"&amp;GH$391)),
IF($K401=INDIRECT(CONCATENATE("$L$"&amp;GH$392)),INDIRECT(CONCATENATE("$L$"&amp;GH$391)),
IF($K401=INDIRECT(CONCATENATE("$K$"&amp;GH$392)),INDIRECT(CONCATENATE("$K$"&amp;GH$391)),
IF($K401=INDIRECT(CONCATENATE("$J$"&amp;GH$392)),INDIRECT(CONCATENATE("$J$"&amp;GH$391)),
IF($K401=INDIRECT(CONCATENATE("$I$"&amp;GH$392)),INDIRECT(CONCATENATE("$I$"&amp;GH$391)),
IF($K401=INDIRECT(CONCATENATE("$H$"&amp;GH$392)),INDIRECT(CONCATENATE("$H$"&amp;GH$391)),
IF($K401=INDIRECT(CONCATENATE("$G$"&amp;GH$392)),INDIRECT(CONCATENATE("$G$"&amp;GH$391)),
IF($K401=INDIRECT(CONCATENATE("$F$"&amp;GH$392)),INDIRECT(CONCATENATE("$F$"&amp;GH$391)),
IF($K401=INDIRECT(CONCATENATE("$E$"&amp;GH$392)),INDIRECT(CONCATENATE("$E$"&amp;GH$391)),
IF($K401=INDIRECT(CONCATENATE("$D$"&amp;GH$392)),INDIRECT(CONCATENATE("$D$"&amp;GH$391)),
IF($K401=INDIRECT(CONCATENATE("$C$"&amp;GH$392)),INDIRECT(CONCATENATE("$C$"&amp;GH$391)),"X")))))))))))))))))))))))))))))))</f>
        <v>X</v>
      </c>
      <c r="MU401" s="58" t="str">
        <f t="shared" ca="1" si="1792"/>
        <v>X</v>
      </c>
      <c r="MV401" s="58" t="str">
        <f t="shared" ca="1" si="1792"/>
        <v>X</v>
      </c>
      <c r="MW401" s="58" t="str">
        <f t="shared" ca="1" si="1792"/>
        <v>X</v>
      </c>
      <c r="MX401" s="58" t="str">
        <f t="shared" ca="1" si="1792"/>
        <v>X</v>
      </c>
      <c r="MY401" s="58" t="str">
        <f t="shared" ca="1" si="1792"/>
        <v>X</v>
      </c>
      <c r="MZ401" s="58" t="str">
        <f t="shared" ca="1" si="1792"/>
        <v>X</v>
      </c>
      <c r="NA401" s="58" t="str">
        <f t="shared" ca="1" si="1792"/>
        <v>X</v>
      </c>
      <c r="NB401" s="58" t="str">
        <f t="shared" ca="1" si="1792"/>
        <v>X</v>
      </c>
      <c r="NC401" s="58" t="str">
        <f t="shared" ca="1" si="1792"/>
        <v>X</v>
      </c>
      <c r="ND401" s="58" t="str">
        <f t="shared" ca="1" si="1792"/>
        <v>X</v>
      </c>
      <c r="NE401" s="58" t="str">
        <f t="shared" ca="1" si="1792"/>
        <v>X</v>
      </c>
      <c r="NF401" s="58" t="str">
        <f t="shared" ca="1" si="1773"/>
        <v>X</v>
      </c>
      <c r="NG401" s="58" t="str">
        <f t="shared" ca="1" si="1774"/>
        <v>X</v>
      </c>
    </row>
    <row r="402" spans="1:371" ht="18" customHeight="1">
      <c r="A402" s="241" t="s">
        <v>95</v>
      </c>
      <c r="B402" s="304"/>
      <c r="C402" s="304"/>
      <c r="D402" s="304"/>
      <c r="E402" s="304"/>
      <c r="F402" s="304"/>
      <c r="G402" s="304"/>
      <c r="H402" s="304"/>
      <c r="I402" s="304"/>
      <c r="J402" s="303"/>
      <c r="K402" s="237" t="s">
        <v>40</v>
      </c>
      <c r="L402" s="303"/>
      <c r="M402" s="55">
        <v>24</v>
      </c>
      <c r="N402" s="225" t="s">
        <v>94</v>
      </c>
      <c r="O402" s="304"/>
      <c r="P402" s="304"/>
      <c r="Q402" s="304"/>
      <c r="R402" s="303"/>
      <c r="S402" s="226">
        <v>96378</v>
      </c>
      <c r="T402" s="304"/>
      <c r="U402" s="303"/>
      <c r="V402" s="227" t="s">
        <v>87</v>
      </c>
      <c r="W402" s="303"/>
      <c r="X402" s="56">
        <f t="shared" ca="1" si="1775"/>
        <v>46147</v>
      </c>
      <c r="Y402" s="56">
        <f t="shared" ca="1" si="1776"/>
        <v>46182</v>
      </c>
      <c r="Z402" s="228" t="str">
        <f t="shared" ca="1" si="1612"/>
        <v>CONCLUÍDA</v>
      </c>
      <c r="AA402" s="304"/>
      <c r="AB402" s="303"/>
      <c r="AC402" s="224">
        <f t="shared" si="1777"/>
        <v>24</v>
      </c>
      <c r="AD402" s="303"/>
      <c r="AE402" s="229">
        <f t="shared" si="1778"/>
        <v>0</v>
      </c>
      <c r="AF402" s="303"/>
      <c r="AG402" s="57" t="str">
        <f t="shared" si="1615"/>
        <v>OK</v>
      </c>
      <c r="AH402" s="21"/>
      <c r="AI402" s="70"/>
      <c r="AJ402" s="58" t="str">
        <f t="shared" ref="AJ402:GT402" ca="1" si="1793">IF($K402=INDIRECT(CONCATENATE("$C$"&amp;AJ$392)), INDIRECT(CONCATENATE("$C$"&amp;AJ$391)),
IF($K402=INDIRECT(CONCATENATE("$D$"&amp;AJ$392)), INDIRECT(CONCATENATE("$D$"&amp;AJ$391)),
IF($K402=INDIRECT(CONCATENATE("$E$"&amp;AJ$392)), INDIRECT(CONCATENATE("$E$"&amp;AJ$391)),
IF($K402=INDIRECT(CONCATENATE("$F$"&amp;AJ$392)), INDIRECT(CONCATENATE("$F$"&amp;AJ$391)),
IF($K402=INDIRECT(CONCATENATE("$G$"&amp;AJ$392)), INDIRECT(CONCATENATE("$G$"&amp;AJ$391)),
IF($K402=INDIRECT(CONCATENATE("$H$"&amp;AJ$392)), INDIRECT(CONCATENATE("$H$"&amp;AJ$391)),
IF($K402=INDIRECT(CONCATENATE("$I$"&amp;AJ$392)), INDIRECT(CONCATENATE("$I$"&amp;AJ$391)),
IF($K402=INDIRECT(CONCATENATE("$J$"&amp;AJ$392)), INDIRECT(CONCATENATE("$J$"&amp;AJ$391)),
IF($K402=INDIRECT(CONCATENATE("$K$"&amp;AJ$392)), INDIRECT(CONCATENATE("$K$"&amp;AJ$391)),
IF($K402=INDIRECT(CONCATENATE("$L$"&amp;AJ$392)), INDIRECT(CONCATENATE("$L$"&amp;AJ$391)),
IF($K402=INDIRECT(CONCATENATE("$M$"&amp;AJ$392)), INDIRECT(CONCATENATE("$M$"&amp;AJ$391)),
IF($K402=INDIRECT(CONCATENATE("$N$"&amp;AJ$392)), INDIRECT(CONCATENATE("$N$"&amp;AJ$391)),
IF($K402=INDIRECT(CONCATENATE("$O$"&amp;AJ$392)), INDIRECT(CONCATENATE("$O$"&amp;AJ$391)),
IF($K402=INDIRECT(CONCATENATE("$P$"&amp;AJ$392)), INDIRECT(CONCATENATE("$P$"&amp;AJ$391)),
IF($K402=INDIRECT(CONCATENATE("$Q$"&amp;AJ$392)), INDIRECT(CONCATENATE("$Q$"&amp;AJ$391)),
IF($K402=INDIRECT(CONCATENATE("$R$"&amp;AJ$392)), INDIRECT(CONCATENATE("$R$"&amp;AJ$391)),
IF($K402=INDIRECT(CONCATENATE("$S$"&amp;AJ$392)), INDIRECT(CONCATENATE("$S$"&amp;AJ$391)),
IF($K402=INDIRECT(CONCATENATE("$T$"&amp;AJ$392)), INDIRECT(CONCATENATE("$T$"&amp;AJ$391)),
IF($K402=INDIRECT(CONCATENATE("$U$"&amp;AJ$392)), INDIRECT(CONCATENATE("$U$"&amp;AJ$391)),
IF($K402=INDIRECT(CONCATENATE("$V$"&amp;AJ$392)), INDIRECT(CONCATENATE("$V$"&amp;AJ$391)),
IF($K402=INDIRECT(CONCATENATE("$W$"&amp;AJ$392)), INDIRECT(CONCATENATE("$W$"&amp;AJ$391)),
IF($K402=INDIRECT(CONCATENATE("$X$"&amp;AJ$392)), INDIRECT(CONCATENATE("$X$"&amp;AJ$391)),
IF($K402=INDIRECT(CONCATENATE("$Y$"&amp;AJ$392)), INDIRECT(CONCATENATE("$Y$"&amp;AJ$391)),
IF($K402=INDIRECT(CONCATENATE("$Z$"&amp;AJ$392)), INDIRECT(CONCATENATE("$Z$"&amp;AJ$391)),
IF($K402=INDIRECT(CONCATENATE("$AA$"&amp;AJ$392)), INDIRECT(CONCATENATE("$AA$"&amp;AJ$391)),
IF($K402=INDIRECT(CONCATENATE("$AB$"&amp;AJ$392)), INDIRECT(CONCATENATE("$AB$"&amp;AJ$391)),
IF($K402=INDIRECT(CONCATENATE("$AC$"&amp;AJ$392)), INDIRECT(CONCATENATE("$AC$"&amp;AJ$391)),
IF($K402=INDIRECT(CONCATENATE("$AD$"&amp;AJ$392)), INDIRECT(CONCATENATE("$AD$"&amp;AJ$391)),
IF($K402=INDIRECT(CONCATENATE("$AE$"&amp;AJ$392)), INDIRECT(CONCATENATE("$AE$"&amp;AJ$391)),
IF($K402=INDIRECT(CONCATENATE("$AF$"&amp;AJ$392)), INDIRECT(CONCATENATE("$AF$"&amp;AJ$391)),
IF($K402=INDIRECT(CONCATENATE("$AG$"&amp;AJ$392)), INDIRECT(CONCATENATE("$AG$"&amp;AJ$391)),"X")))))))))))))))))))))))))))))))</f>
        <v>X</v>
      </c>
      <c r="AK402" s="58" t="str">
        <f t="shared" ca="1" si="1793"/>
        <v>X</v>
      </c>
      <c r="AL402" s="58" t="str">
        <f t="shared" ca="1" si="1793"/>
        <v>X</v>
      </c>
      <c r="AM402" s="58" t="str">
        <f t="shared" ca="1" si="1793"/>
        <v>X</v>
      </c>
      <c r="AN402" s="58" t="str">
        <f t="shared" ca="1" si="1793"/>
        <v>X</v>
      </c>
      <c r="AO402" s="58" t="str">
        <f t="shared" ca="1" si="1793"/>
        <v>X</v>
      </c>
      <c r="AP402" s="58" t="str">
        <f t="shared" ca="1" si="1793"/>
        <v>X</v>
      </c>
      <c r="AQ402" s="58" t="str">
        <f t="shared" ca="1" si="1793"/>
        <v>X</v>
      </c>
      <c r="AR402" s="58" t="str">
        <f t="shared" ca="1" si="1793"/>
        <v>X</v>
      </c>
      <c r="AS402" s="58" t="str">
        <f t="shared" ca="1" si="1793"/>
        <v>X</v>
      </c>
      <c r="AT402" s="58" t="str">
        <f t="shared" ca="1" si="1793"/>
        <v>X</v>
      </c>
      <c r="AU402" s="58" t="str">
        <f t="shared" ca="1" si="1793"/>
        <v>X</v>
      </c>
      <c r="AV402" s="58" t="str">
        <f t="shared" ca="1" si="1793"/>
        <v>X</v>
      </c>
      <c r="AW402" s="58" t="str">
        <f t="shared" ca="1" si="1793"/>
        <v>X</v>
      </c>
      <c r="AX402" s="58" t="str">
        <f t="shared" ca="1" si="1793"/>
        <v>X</v>
      </c>
      <c r="AY402" s="58" t="str">
        <f t="shared" ca="1" si="1793"/>
        <v>X</v>
      </c>
      <c r="AZ402" s="58" t="str">
        <f t="shared" ca="1" si="1793"/>
        <v>X</v>
      </c>
      <c r="BA402" s="58" t="str">
        <f t="shared" ca="1" si="1793"/>
        <v>X</v>
      </c>
      <c r="BB402" s="58" t="str">
        <f t="shared" ca="1" si="1793"/>
        <v>X</v>
      </c>
      <c r="BC402" s="58" t="str">
        <f t="shared" ca="1" si="1793"/>
        <v>X</v>
      </c>
      <c r="BD402" s="58" t="str">
        <f t="shared" ca="1" si="1793"/>
        <v>X</v>
      </c>
      <c r="BE402" s="58" t="str">
        <f t="shared" ca="1" si="1793"/>
        <v>X</v>
      </c>
      <c r="BF402" s="58" t="str">
        <f t="shared" ca="1" si="1793"/>
        <v>X</v>
      </c>
      <c r="BG402" s="58" t="str">
        <f t="shared" ca="1" si="1793"/>
        <v>X</v>
      </c>
      <c r="BH402" s="58" t="str">
        <f t="shared" ca="1" si="1793"/>
        <v>X</v>
      </c>
      <c r="BI402" s="58" t="str">
        <f t="shared" ca="1" si="1793"/>
        <v>X</v>
      </c>
      <c r="BJ402" s="58" t="str">
        <f t="shared" ca="1" si="1793"/>
        <v>X</v>
      </c>
      <c r="BK402" s="58" t="str">
        <f t="shared" ca="1" si="1793"/>
        <v>X</v>
      </c>
      <c r="BL402" s="58" t="str">
        <f t="shared" ca="1" si="1793"/>
        <v>X</v>
      </c>
      <c r="BM402" s="58" t="str">
        <f t="shared" ca="1" si="1793"/>
        <v>X</v>
      </c>
      <c r="BN402" s="58" t="str">
        <f t="shared" ca="1" si="1793"/>
        <v>X</v>
      </c>
      <c r="BO402" s="58" t="str">
        <f t="shared" ca="1" si="1793"/>
        <v>X</v>
      </c>
      <c r="BP402" s="58" t="str">
        <f t="shared" ca="1" si="1793"/>
        <v>X</v>
      </c>
      <c r="BQ402" s="58" t="str">
        <f t="shared" ca="1" si="1793"/>
        <v>X</v>
      </c>
      <c r="BR402" s="58" t="str">
        <f t="shared" ca="1" si="1793"/>
        <v>X</v>
      </c>
      <c r="BS402" s="58" t="str">
        <f t="shared" ca="1" si="1793"/>
        <v>X</v>
      </c>
      <c r="BT402" s="58" t="str">
        <f t="shared" ca="1" si="1793"/>
        <v>X</v>
      </c>
      <c r="BU402" s="58" t="str">
        <f t="shared" ca="1" si="1793"/>
        <v>X</v>
      </c>
      <c r="BV402" s="58" t="str">
        <f t="shared" ca="1" si="1793"/>
        <v>X</v>
      </c>
      <c r="BW402" s="58" t="str">
        <f t="shared" ca="1" si="1793"/>
        <v>X</v>
      </c>
      <c r="BX402" s="58" t="str">
        <f t="shared" ca="1" si="1793"/>
        <v>X</v>
      </c>
      <c r="BY402" s="58" t="str">
        <f t="shared" ca="1" si="1793"/>
        <v>X</v>
      </c>
      <c r="BZ402" s="58" t="str">
        <f t="shared" ca="1" si="1793"/>
        <v>X</v>
      </c>
      <c r="CA402" s="58" t="str">
        <f t="shared" ca="1" si="1793"/>
        <v>X</v>
      </c>
      <c r="CB402" s="58" t="str">
        <f t="shared" ca="1" si="1793"/>
        <v>X</v>
      </c>
      <c r="CC402" s="58" t="str">
        <f t="shared" ca="1" si="1793"/>
        <v>X</v>
      </c>
      <c r="CD402" s="58" t="str">
        <f t="shared" ca="1" si="1793"/>
        <v>X</v>
      </c>
      <c r="CE402" s="58" t="str">
        <f t="shared" ca="1" si="1793"/>
        <v>X</v>
      </c>
      <c r="CF402" s="58" t="str">
        <f t="shared" ca="1" si="1793"/>
        <v>X</v>
      </c>
      <c r="CG402" s="58" t="str">
        <f t="shared" ca="1" si="1793"/>
        <v>X</v>
      </c>
      <c r="CH402" s="58" t="str">
        <f t="shared" ca="1" si="1793"/>
        <v>X</v>
      </c>
      <c r="CI402" s="58" t="str">
        <f t="shared" ca="1" si="1793"/>
        <v>X</v>
      </c>
      <c r="CJ402" s="58" t="str">
        <f t="shared" ca="1" si="1793"/>
        <v>X</v>
      </c>
      <c r="CK402" s="58" t="str">
        <f t="shared" ca="1" si="1793"/>
        <v>X</v>
      </c>
      <c r="CL402" s="58" t="str">
        <f t="shared" ca="1" si="1793"/>
        <v>X</v>
      </c>
      <c r="CM402" s="58" t="str">
        <f t="shared" ca="1" si="1793"/>
        <v>X</v>
      </c>
      <c r="CN402" s="58" t="str">
        <f t="shared" ca="1" si="1793"/>
        <v>X</v>
      </c>
      <c r="CO402" s="58" t="str">
        <f t="shared" ca="1" si="1793"/>
        <v>X</v>
      </c>
      <c r="CP402" s="58" t="str">
        <f t="shared" ca="1" si="1793"/>
        <v>X</v>
      </c>
      <c r="CQ402" s="58" t="str">
        <f t="shared" ca="1" si="1793"/>
        <v>X</v>
      </c>
      <c r="CR402" s="58" t="str">
        <f t="shared" ca="1" si="1793"/>
        <v>X</v>
      </c>
      <c r="CS402" s="58">
        <f t="shared" ca="1" si="1793"/>
        <v>46147</v>
      </c>
      <c r="CT402" s="58">
        <f t="shared" ca="1" si="1793"/>
        <v>46147</v>
      </c>
      <c r="CU402" s="58">
        <f t="shared" ca="1" si="1793"/>
        <v>46147</v>
      </c>
      <c r="CV402" s="58">
        <f t="shared" ca="1" si="1793"/>
        <v>46147</v>
      </c>
      <c r="CW402" s="58" t="str">
        <f t="shared" ca="1" si="1793"/>
        <v>X</v>
      </c>
      <c r="CX402" s="58" t="str">
        <f t="shared" ca="1" si="1793"/>
        <v>X</v>
      </c>
      <c r="CY402" s="58" t="str">
        <f t="shared" ca="1" si="1793"/>
        <v>X</v>
      </c>
      <c r="CZ402" s="58" t="str">
        <f t="shared" ca="1" si="1793"/>
        <v>X</v>
      </c>
      <c r="DA402" s="58" t="str">
        <f t="shared" ca="1" si="1793"/>
        <v>X</v>
      </c>
      <c r="DB402" s="58" t="str">
        <f t="shared" ca="1" si="1793"/>
        <v>X</v>
      </c>
      <c r="DC402" s="58" t="str">
        <f t="shared" ca="1" si="1793"/>
        <v>X</v>
      </c>
      <c r="DD402" s="58" t="str">
        <f t="shared" ca="1" si="1793"/>
        <v>X</v>
      </c>
      <c r="DE402" s="58" t="str">
        <f t="shared" ca="1" si="1793"/>
        <v>X</v>
      </c>
      <c r="DF402" s="58" t="str">
        <f t="shared" ca="1" si="1793"/>
        <v>X</v>
      </c>
      <c r="DG402" s="58">
        <f t="shared" ca="1" si="1793"/>
        <v>46175</v>
      </c>
      <c r="DH402" s="58">
        <f t="shared" ca="1" si="1793"/>
        <v>46175</v>
      </c>
      <c r="DI402" s="58">
        <f t="shared" ca="1" si="1793"/>
        <v>46175</v>
      </c>
      <c r="DJ402" s="58">
        <f t="shared" ca="1" si="1793"/>
        <v>46175</v>
      </c>
      <c r="DK402" s="58" t="str">
        <f t="shared" ca="1" si="1793"/>
        <v>X</v>
      </c>
      <c r="DL402" s="58" t="str">
        <f t="shared" ca="1" si="1793"/>
        <v>X</v>
      </c>
      <c r="DM402" s="58" t="str">
        <f t="shared" ca="1" si="1793"/>
        <v>X</v>
      </c>
      <c r="DN402" s="58" t="str">
        <f t="shared" ca="1" si="1793"/>
        <v>X</v>
      </c>
      <c r="DO402" s="58" t="str">
        <f t="shared" ca="1" si="1793"/>
        <v>X</v>
      </c>
      <c r="DP402" s="58" t="str">
        <f t="shared" ca="1" si="1793"/>
        <v>X</v>
      </c>
      <c r="DQ402" s="58" t="str">
        <f t="shared" ca="1" si="1793"/>
        <v>X</v>
      </c>
      <c r="DR402" s="58" t="str">
        <f t="shared" ca="1" si="1793"/>
        <v>X</v>
      </c>
      <c r="DS402" s="58" t="str">
        <f t="shared" ca="1" si="1793"/>
        <v>X</v>
      </c>
      <c r="DT402" s="58" t="str">
        <f t="shared" ca="1" si="1793"/>
        <v>X</v>
      </c>
      <c r="DU402" s="58" t="str">
        <f t="shared" ca="1" si="1793"/>
        <v>X</v>
      </c>
      <c r="DV402" s="58" t="str">
        <f t="shared" ca="1" si="1793"/>
        <v>X</v>
      </c>
      <c r="DW402" s="58" t="str">
        <f t="shared" ca="1" si="1793"/>
        <v>X</v>
      </c>
      <c r="DX402" s="58" t="str">
        <f t="shared" ca="1" si="1793"/>
        <v>X</v>
      </c>
      <c r="DY402" s="58" t="str">
        <f t="shared" ca="1" si="1793"/>
        <v>X</v>
      </c>
      <c r="DZ402" s="58" t="str">
        <f t="shared" ca="1" si="1793"/>
        <v>X</v>
      </c>
      <c r="EA402" s="58" t="str">
        <f t="shared" ca="1" si="1793"/>
        <v>X</v>
      </c>
      <c r="EB402" s="58" t="str">
        <f t="shared" ca="1" si="1793"/>
        <v>X</v>
      </c>
      <c r="EC402" s="58" t="str">
        <f t="shared" ca="1" si="1793"/>
        <v>X</v>
      </c>
      <c r="ED402" s="58" t="str">
        <f t="shared" ca="1" si="1793"/>
        <v>X</v>
      </c>
      <c r="EE402" s="58" t="str">
        <f t="shared" ca="1" si="1793"/>
        <v>X</v>
      </c>
      <c r="EF402" s="58" t="str">
        <f t="shared" ca="1" si="1793"/>
        <v>X</v>
      </c>
      <c r="EG402" s="58" t="str">
        <f t="shared" ca="1" si="1793"/>
        <v>X</v>
      </c>
      <c r="EH402" s="58" t="str">
        <f t="shared" ca="1" si="1793"/>
        <v>X</v>
      </c>
      <c r="EI402" s="58" t="str">
        <f t="shared" ca="1" si="1793"/>
        <v>X</v>
      </c>
      <c r="EJ402" s="58" t="str">
        <f t="shared" ca="1" si="1793"/>
        <v>X</v>
      </c>
      <c r="EK402" s="58" t="str">
        <f t="shared" ca="1" si="1793"/>
        <v>X</v>
      </c>
      <c r="EL402" s="58" t="str">
        <f t="shared" ca="1" si="1793"/>
        <v>X</v>
      </c>
      <c r="EM402" s="58" t="str">
        <f t="shared" ca="1" si="1793"/>
        <v>X</v>
      </c>
      <c r="EN402" s="58" t="str">
        <f t="shared" ca="1" si="1793"/>
        <v>X</v>
      </c>
      <c r="EO402" s="58" t="str">
        <f t="shared" ca="1" si="1793"/>
        <v>X</v>
      </c>
      <c r="EP402" s="58" t="str">
        <f t="shared" ca="1" si="1793"/>
        <v>X</v>
      </c>
      <c r="EQ402" s="58" t="str">
        <f t="shared" ca="1" si="1793"/>
        <v>X</v>
      </c>
      <c r="ER402" s="58" t="str">
        <f t="shared" ca="1" si="1793"/>
        <v>X</v>
      </c>
      <c r="ES402" s="58" t="str">
        <f t="shared" ca="1" si="1793"/>
        <v>X</v>
      </c>
      <c r="ET402" s="58" t="str">
        <f t="shared" ca="1" si="1793"/>
        <v>X</v>
      </c>
      <c r="EU402" s="58" t="str">
        <f t="shared" ca="1" si="1793"/>
        <v>X</v>
      </c>
      <c r="EV402" s="58" t="str">
        <f t="shared" ca="1" si="1793"/>
        <v>X</v>
      </c>
      <c r="EW402" s="58" t="str">
        <f t="shared" ca="1" si="1793"/>
        <v>X</v>
      </c>
      <c r="EX402" s="58" t="str">
        <f t="shared" ca="1" si="1793"/>
        <v>X</v>
      </c>
      <c r="EY402" s="58" t="str">
        <f t="shared" ca="1" si="1793"/>
        <v>X</v>
      </c>
      <c r="EZ402" s="58" t="str">
        <f t="shared" ca="1" si="1793"/>
        <v>X</v>
      </c>
      <c r="FA402" s="58" t="str">
        <f t="shared" ca="1" si="1793"/>
        <v>X</v>
      </c>
      <c r="FB402" s="58" t="str">
        <f t="shared" ca="1" si="1793"/>
        <v>X</v>
      </c>
      <c r="FC402" s="58" t="str">
        <f t="shared" ca="1" si="1793"/>
        <v>X</v>
      </c>
      <c r="FD402" s="58" t="str">
        <f t="shared" ca="1" si="1793"/>
        <v>X</v>
      </c>
      <c r="FE402" s="58" t="str">
        <f t="shared" ca="1" si="1793"/>
        <v>X</v>
      </c>
      <c r="FF402" s="58" t="str">
        <f t="shared" ca="1" si="1793"/>
        <v>X</v>
      </c>
      <c r="FG402" s="58" t="str">
        <f t="shared" ca="1" si="1793"/>
        <v>X</v>
      </c>
      <c r="FH402" s="58" t="str">
        <f t="shared" ca="1" si="1793"/>
        <v>X</v>
      </c>
      <c r="FI402" s="58" t="str">
        <f t="shared" ca="1" si="1793"/>
        <v>X</v>
      </c>
      <c r="FJ402" s="58" t="str">
        <f t="shared" ca="1" si="1793"/>
        <v>X</v>
      </c>
      <c r="FK402" s="58" t="str">
        <f t="shared" ca="1" si="1793"/>
        <v>X</v>
      </c>
      <c r="FL402" s="58" t="str">
        <f t="shared" ca="1" si="1793"/>
        <v>X</v>
      </c>
      <c r="FM402" s="58" t="str">
        <f t="shared" ca="1" si="1793"/>
        <v>X</v>
      </c>
      <c r="FN402" s="58" t="str">
        <f t="shared" ca="1" si="1793"/>
        <v>X</v>
      </c>
      <c r="FO402" s="58" t="str">
        <f t="shared" ca="1" si="1793"/>
        <v>X</v>
      </c>
      <c r="FP402" s="58" t="str">
        <f t="shared" ca="1" si="1793"/>
        <v>X</v>
      </c>
      <c r="FQ402" s="58" t="str">
        <f t="shared" ca="1" si="1793"/>
        <v>X</v>
      </c>
      <c r="FR402" s="58" t="str">
        <f t="shared" ca="1" si="1793"/>
        <v>X</v>
      </c>
      <c r="FS402" s="58" t="str">
        <f t="shared" ca="1" si="1793"/>
        <v>X</v>
      </c>
      <c r="FT402" s="58" t="str">
        <f t="shared" ca="1" si="1793"/>
        <v>X</v>
      </c>
      <c r="FU402" s="58" t="str">
        <f t="shared" ca="1" si="1793"/>
        <v>X</v>
      </c>
      <c r="FV402" s="58" t="str">
        <f t="shared" ca="1" si="1793"/>
        <v>X</v>
      </c>
      <c r="FW402" s="58" t="str">
        <f t="shared" ca="1" si="1793"/>
        <v>X</v>
      </c>
      <c r="FX402" s="58" t="str">
        <f t="shared" ca="1" si="1793"/>
        <v>X</v>
      </c>
      <c r="FY402" s="58" t="str">
        <f t="shared" ca="1" si="1793"/>
        <v>X</v>
      </c>
      <c r="FZ402" s="58" t="str">
        <f t="shared" ca="1" si="1793"/>
        <v>X</v>
      </c>
      <c r="GA402" s="58" t="str">
        <f t="shared" ca="1" si="1793"/>
        <v>X</v>
      </c>
      <c r="GB402" s="58" t="str">
        <f t="shared" ca="1" si="1793"/>
        <v>X</v>
      </c>
      <c r="GC402" s="58" t="str">
        <f t="shared" ca="1" si="1793"/>
        <v>X</v>
      </c>
      <c r="GD402" s="58" t="str">
        <f t="shared" ca="1" si="1793"/>
        <v>X</v>
      </c>
      <c r="GE402" s="58" t="str">
        <f t="shared" ca="1" si="1793"/>
        <v>X</v>
      </c>
      <c r="GF402" s="58" t="str">
        <f t="shared" ca="1" si="1793"/>
        <v>X</v>
      </c>
      <c r="GG402" s="58" t="str">
        <f t="shared" ca="1" si="1793"/>
        <v>X</v>
      </c>
      <c r="GH402" s="58" t="str">
        <f t="shared" ca="1" si="1793"/>
        <v>X</v>
      </c>
      <c r="GI402" s="58" t="str">
        <f t="shared" ca="1" si="1793"/>
        <v>X</v>
      </c>
      <c r="GJ402" s="58" t="str">
        <f t="shared" ca="1" si="1793"/>
        <v>X</v>
      </c>
      <c r="GK402" s="58" t="str">
        <f t="shared" ca="1" si="1793"/>
        <v>X</v>
      </c>
      <c r="GL402" s="58" t="str">
        <f t="shared" ca="1" si="1793"/>
        <v>X</v>
      </c>
      <c r="GM402" s="58" t="str">
        <f t="shared" ca="1" si="1793"/>
        <v>X</v>
      </c>
      <c r="GN402" s="58" t="str">
        <f t="shared" ca="1" si="1793"/>
        <v>X</v>
      </c>
      <c r="GO402" s="58" t="str">
        <f t="shared" ca="1" si="1793"/>
        <v>X</v>
      </c>
      <c r="GP402" s="58" t="str">
        <f t="shared" ca="1" si="1793"/>
        <v>X</v>
      </c>
      <c r="GQ402" s="58" t="str">
        <f t="shared" ca="1" si="1793"/>
        <v>X</v>
      </c>
      <c r="GR402" s="58" t="str">
        <f t="shared" ca="1" si="1793"/>
        <v>X</v>
      </c>
      <c r="GS402" s="80" t="str">
        <f t="shared" ca="1" si="1793"/>
        <v>X</v>
      </c>
      <c r="GT402" s="58" t="str">
        <f t="shared" ca="1" si="1793"/>
        <v>X</v>
      </c>
      <c r="GU402" s="82" t="str">
        <f t="shared" ca="1" si="1617"/>
        <v>X</v>
      </c>
      <c r="GV402" s="58" t="str">
        <f t="shared" ca="1" si="1618"/>
        <v>X</v>
      </c>
      <c r="GW402" s="58" t="str">
        <f t="shared" ca="1" si="1619"/>
        <v>X</v>
      </c>
      <c r="GX402" s="58" t="str">
        <f t="shared" ca="1" si="1620"/>
        <v>X</v>
      </c>
      <c r="GY402" s="58" t="str">
        <f t="shared" ca="1" si="1621"/>
        <v>X</v>
      </c>
      <c r="GZ402" s="58" t="str">
        <f t="shared" ca="1" si="1622"/>
        <v>X</v>
      </c>
      <c r="HA402" s="58" t="str">
        <f t="shared" ca="1" si="1623"/>
        <v>X</v>
      </c>
      <c r="HB402" s="58" t="str">
        <f t="shared" ca="1" si="1624"/>
        <v>X</v>
      </c>
      <c r="HC402" s="58" t="str">
        <f t="shared" ca="1" si="1625"/>
        <v>X</v>
      </c>
      <c r="HD402" s="58" t="str">
        <f t="shared" ca="1" si="1626"/>
        <v>X</v>
      </c>
      <c r="HE402" s="58" t="str">
        <f t="shared" ca="1" si="1627"/>
        <v>X</v>
      </c>
      <c r="HF402" s="58" t="str">
        <f t="shared" ca="1" si="1628"/>
        <v>X</v>
      </c>
      <c r="HG402" s="58" t="str">
        <f t="shared" ca="1" si="1629"/>
        <v>X</v>
      </c>
      <c r="HH402" s="58" t="str">
        <f t="shared" ca="1" si="1630"/>
        <v>X</v>
      </c>
      <c r="HI402" s="58" t="str">
        <f t="shared" ca="1" si="1631"/>
        <v>X</v>
      </c>
      <c r="HJ402" s="58" t="str">
        <f t="shared" ca="1" si="1632"/>
        <v>X</v>
      </c>
      <c r="HK402" s="58" t="str">
        <f t="shared" ca="1" si="1633"/>
        <v>X</v>
      </c>
      <c r="HL402" s="58" t="str">
        <f t="shared" ca="1" si="1634"/>
        <v>X</v>
      </c>
      <c r="HM402" s="58" t="str">
        <f t="shared" ca="1" si="1635"/>
        <v>X</v>
      </c>
      <c r="HN402" s="58" t="str">
        <f t="shared" ca="1" si="1636"/>
        <v>X</v>
      </c>
      <c r="HO402" s="58" t="str">
        <f t="shared" ca="1" si="1637"/>
        <v>X</v>
      </c>
      <c r="HP402" s="58" t="str">
        <f t="shared" ca="1" si="1638"/>
        <v>X</v>
      </c>
      <c r="HQ402" s="58" t="str">
        <f t="shared" ca="1" si="1639"/>
        <v>X</v>
      </c>
      <c r="HR402" s="58" t="str">
        <f t="shared" ca="1" si="1640"/>
        <v>X</v>
      </c>
      <c r="HS402" s="58" t="str">
        <f t="shared" ca="1" si="1641"/>
        <v>X</v>
      </c>
      <c r="HT402" s="58" t="str">
        <f t="shared" ca="1" si="1642"/>
        <v>X</v>
      </c>
      <c r="HU402" s="58" t="str">
        <f t="shared" ca="1" si="1643"/>
        <v>X</v>
      </c>
      <c r="HV402" s="58" t="str">
        <f t="shared" ca="1" si="1644"/>
        <v>X</v>
      </c>
      <c r="HW402" s="58" t="str">
        <f t="shared" ca="1" si="1645"/>
        <v>X</v>
      </c>
      <c r="HX402" s="58" t="str">
        <f t="shared" ca="1" si="1646"/>
        <v>X</v>
      </c>
      <c r="HY402" s="58" t="str">
        <f t="shared" ca="1" si="1647"/>
        <v>X</v>
      </c>
      <c r="HZ402" s="58" t="str">
        <f t="shared" ca="1" si="1648"/>
        <v>X</v>
      </c>
      <c r="IA402" s="58" t="str">
        <f t="shared" ca="1" si="1649"/>
        <v>X</v>
      </c>
      <c r="IB402" s="58" t="str">
        <f t="shared" ca="1" si="1650"/>
        <v>X</v>
      </c>
      <c r="IC402" s="58" t="str">
        <f t="shared" ca="1" si="1651"/>
        <v>X</v>
      </c>
      <c r="ID402" s="58" t="str">
        <f t="shared" ca="1" si="1652"/>
        <v>X</v>
      </c>
      <c r="IE402" s="58" t="str">
        <f t="shared" ca="1" si="1653"/>
        <v>X</v>
      </c>
      <c r="IF402" s="58" t="str">
        <f t="shared" ca="1" si="1654"/>
        <v>X</v>
      </c>
      <c r="IG402" s="58" t="str">
        <f t="shared" ca="1" si="1655"/>
        <v>X</v>
      </c>
      <c r="IH402" s="58" t="str">
        <f t="shared" ca="1" si="1656"/>
        <v>X</v>
      </c>
      <c r="II402" s="58" t="str">
        <f t="shared" ca="1" si="1657"/>
        <v>X</v>
      </c>
      <c r="IJ402" s="58" t="str">
        <f t="shared" ca="1" si="1658"/>
        <v>X</v>
      </c>
      <c r="IK402" s="58" t="str">
        <f t="shared" ca="1" si="1659"/>
        <v>X</v>
      </c>
      <c r="IL402" s="58" t="str">
        <f t="shared" ca="1" si="1660"/>
        <v>X</v>
      </c>
      <c r="IM402" s="58" t="str">
        <f t="shared" ca="1" si="1661"/>
        <v>X</v>
      </c>
      <c r="IN402" s="58" t="str">
        <f t="shared" ca="1" si="1662"/>
        <v>X</v>
      </c>
      <c r="IO402" s="58" t="str">
        <f t="shared" ca="1" si="1663"/>
        <v>X</v>
      </c>
      <c r="IP402" s="58" t="str">
        <f t="shared" ca="1" si="1664"/>
        <v>X</v>
      </c>
      <c r="IQ402" s="58" t="str">
        <f t="shared" ca="1" si="1665"/>
        <v>X</v>
      </c>
      <c r="IR402" s="58" t="str">
        <f t="shared" ca="1" si="1666"/>
        <v>X</v>
      </c>
      <c r="IS402" s="58" t="str">
        <f t="shared" ca="1" si="1667"/>
        <v>X</v>
      </c>
      <c r="IT402" s="58" t="str">
        <f t="shared" ca="1" si="1668"/>
        <v>X</v>
      </c>
      <c r="IU402" s="58" t="str">
        <f t="shared" ca="1" si="1669"/>
        <v>X</v>
      </c>
      <c r="IV402" s="58" t="str">
        <f t="shared" ca="1" si="1670"/>
        <v>X</v>
      </c>
      <c r="IW402" s="58" t="str">
        <f t="shared" ca="1" si="1671"/>
        <v>X</v>
      </c>
      <c r="IX402" s="58" t="str">
        <f t="shared" ca="1" si="1672"/>
        <v>X</v>
      </c>
      <c r="IY402" s="58" t="str">
        <f t="shared" ca="1" si="1673"/>
        <v>X</v>
      </c>
      <c r="IZ402" s="58" t="str">
        <f t="shared" ca="1" si="1674"/>
        <v>X</v>
      </c>
      <c r="JA402" s="58" t="str">
        <f t="shared" ca="1" si="1675"/>
        <v>X</v>
      </c>
      <c r="JB402" s="58" t="str">
        <f t="shared" ca="1" si="1676"/>
        <v>X</v>
      </c>
      <c r="JC402" s="58" t="str">
        <f t="shared" ca="1" si="1677"/>
        <v>X</v>
      </c>
      <c r="JD402" s="58" t="str">
        <f t="shared" ca="1" si="1678"/>
        <v>X</v>
      </c>
      <c r="JE402" s="58">
        <f t="shared" ca="1" si="1679"/>
        <v>46168</v>
      </c>
      <c r="JF402" s="58">
        <f t="shared" ca="1" si="1680"/>
        <v>46168</v>
      </c>
      <c r="JG402" s="58">
        <f t="shared" ca="1" si="1681"/>
        <v>46168</v>
      </c>
      <c r="JH402" s="58">
        <f t="shared" ca="1" si="1682"/>
        <v>46168</v>
      </c>
      <c r="JI402" s="58" t="str">
        <f t="shared" ca="1" si="1683"/>
        <v>X</v>
      </c>
      <c r="JJ402" s="58" t="str">
        <f t="shared" ca="1" si="1684"/>
        <v>X</v>
      </c>
      <c r="JK402" s="58" t="str">
        <f t="shared" ca="1" si="1685"/>
        <v>X</v>
      </c>
      <c r="JL402" s="58" t="str">
        <f t="shared" ca="1" si="1686"/>
        <v>X</v>
      </c>
      <c r="JM402" s="58" t="str">
        <f t="shared" ca="1" si="1687"/>
        <v>X</v>
      </c>
      <c r="JN402" s="58" t="str">
        <f t="shared" ca="1" si="1688"/>
        <v>X</v>
      </c>
      <c r="JO402" s="58" t="str">
        <f t="shared" ca="1" si="1689"/>
        <v>X</v>
      </c>
      <c r="JP402" s="58" t="str">
        <f t="shared" ca="1" si="1690"/>
        <v>X</v>
      </c>
      <c r="JQ402" s="58" t="str">
        <f t="shared" ca="1" si="1691"/>
        <v>X</v>
      </c>
      <c r="JR402" s="58" t="str">
        <f t="shared" ca="1" si="1692"/>
        <v>X</v>
      </c>
      <c r="JS402" s="58">
        <f t="shared" ca="1" si="1693"/>
        <v>46182</v>
      </c>
      <c r="JT402" s="58">
        <f t="shared" ca="1" si="1694"/>
        <v>46182</v>
      </c>
      <c r="JU402" s="58">
        <f t="shared" ca="1" si="1695"/>
        <v>46182</v>
      </c>
      <c r="JV402" s="58">
        <f t="shared" ca="1" si="1696"/>
        <v>46182</v>
      </c>
      <c r="JW402" s="58" t="str">
        <f t="shared" ca="1" si="1697"/>
        <v>X</v>
      </c>
      <c r="JX402" s="58" t="str">
        <f t="shared" ca="1" si="1698"/>
        <v>X</v>
      </c>
      <c r="JY402" s="58" t="str">
        <f t="shared" ca="1" si="1699"/>
        <v>X</v>
      </c>
      <c r="JZ402" s="58" t="str">
        <f t="shared" ca="1" si="1700"/>
        <v>X</v>
      </c>
      <c r="KA402" s="58" t="str">
        <f t="shared" ca="1" si="1701"/>
        <v>X</v>
      </c>
      <c r="KB402" s="58" t="str">
        <f t="shared" ca="1" si="1702"/>
        <v>X</v>
      </c>
      <c r="KC402" s="58" t="str">
        <f t="shared" ca="1" si="1703"/>
        <v>X</v>
      </c>
      <c r="KD402" s="58" t="str">
        <f t="shared" ca="1" si="1704"/>
        <v>X</v>
      </c>
      <c r="KE402" s="58" t="str">
        <f t="shared" ca="1" si="1705"/>
        <v>X</v>
      </c>
      <c r="KF402" s="58" t="str">
        <f t="shared" ca="1" si="1706"/>
        <v>X</v>
      </c>
      <c r="KG402" s="58" t="str">
        <f t="shared" ca="1" si="1707"/>
        <v>X</v>
      </c>
      <c r="KH402" s="58" t="str">
        <f t="shared" ca="1" si="1708"/>
        <v>X</v>
      </c>
      <c r="KI402" s="58" t="str">
        <f t="shared" ca="1" si="1709"/>
        <v>X</v>
      </c>
      <c r="KJ402" s="58" t="str">
        <f t="shared" ca="1" si="1710"/>
        <v>X</v>
      </c>
      <c r="KK402" s="58" t="str">
        <f t="shared" ca="1" si="1711"/>
        <v>X</v>
      </c>
      <c r="KL402" s="58" t="str">
        <f t="shared" ca="1" si="1712"/>
        <v>X</v>
      </c>
      <c r="KM402" s="58" t="str">
        <f t="shared" ca="1" si="1713"/>
        <v>X</v>
      </c>
      <c r="KN402" s="58" t="str">
        <f t="shared" ca="1" si="1714"/>
        <v>X</v>
      </c>
      <c r="KO402" s="58" t="str">
        <f t="shared" ca="1" si="1715"/>
        <v>X</v>
      </c>
      <c r="KP402" s="58" t="str">
        <f t="shared" ca="1" si="1716"/>
        <v>X</v>
      </c>
      <c r="KQ402" s="58" t="str">
        <f t="shared" ca="1" si="1717"/>
        <v>X</v>
      </c>
      <c r="KR402" s="58" t="str">
        <f t="shared" ca="1" si="1718"/>
        <v>X</v>
      </c>
      <c r="KS402" s="58" t="str">
        <f t="shared" ca="1" si="1719"/>
        <v>X</v>
      </c>
      <c r="KT402" s="58" t="str">
        <f t="shared" ca="1" si="1720"/>
        <v>X</v>
      </c>
      <c r="KU402" s="58" t="str">
        <f t="shared" ca="1" si="1721"/>
        <v>X</v>
      </c>
      <c r="KV402" s="58" t="str">
        <f t="shared" ca="1" si="1722"/>
        <v>X</v>
      </c>
      <c r="KW402" s="58" t="str">
        <f t="shared" ca="1" si="1723"/>
        <v>X</v>
      </c>
      <c r="KX402" s="58" t="str">
        <f t="shared" ca="1" si="1724"/>
        <v>X</v>
      </c>
      <c r="KY402" s="58" t="str">
        <f t="shared" ca="1" si="1725"/>
        <v>X</v>
      </c>
      <c r="KZ402" s="58" t="str">
        <f t="shared" ca="1" si="1726"/>
        <v>X</v>
      </c>
      <c r="LA402" s="58" t="str">
        <f t="shared" ca="1" si="1727"/>
        <v>X</v>
      </c>
      <c r="LB402" s="58" t="str">
        <f t="shared" ca="1" si="1728"/>
        <v>X</v>
      </c>
      <c r="LC402" s="58" t="str">
        <f t="shared" ca="1" si="1729"/>
        <v>X</v>
      </c>
      <c r="LD402" s="58" t="str">
        <f t="shared" ca="1" si="1730"/>
        <v>X</v>
      </c>
      <c r="LE402" s="58" t="str">
        <f t="shared" ca="1" si="1731"/>
        <v>X</v>
      </c>
      <c r="LF402" s="58" t="str">
        <f t="shared" ca="1" si="1732"/>
        <v>X</v>
      </c>
      <c r="LG402" s="58" t="str">
        <f t="shared" ca="1" si="1733"/>
        <v>X</v>
      </c>
      <c r="LH402" s="58" t="str">
        <f t="shared" ca="1" si="1734"/>
        <v>X</v>
      </c>
      <c r="LI402" s="58" t="str">
        <f t="shared" ca="1" si="1735"/>
        <v>X</v>
      </c>
      <c r="LJ402" s="58" t="str">
        <f t="shared" ca="1" si="1736"/>
        <v>X</v>
      </c>
      <c r="LK402" s="58" t="str">
        <f t="shared" ca="1" si="1737"/>
        <v>X</v>
      </c>
      <c r="LL402" s="58" t="str">
        <f t="shared" ca="1" si="1738"/>
        <v>X</v>
      </c>
      <c r="LM402" s="58" t="str">
        <f t="shared" ca="1" si="1739"/>
        <v>X</v>
      </c>
      <c r="LN402" s="58" t="str">
        <f t="shared" ca="1" si="1740"/>
        <v>X</v>
      </c>
      <c r="LO402" s="58" t="str">
        <f t="shared" ca="1" si="1741"/>
        <v>X</v>
      </c>
      <c r="LP402" s="58" t="str">
        <f t="shared" ca="1" si="1742"/>
        <v>X</v>
      </c>
      <c r="LQ402" s="58" t="str">
        <f t="shared" ca="1" si="1743"/>
        <v>X</v>
      </c>
      <c r="LR402" s="58" t="str">
        <f t="shared" ca="1" si="1744"/>
        <v>X</v>
      </c>
      <c r="LS402" s="58" t="str">
        <f t="shared" ca="1" si="1745"/>
        <v>X</v>
      </c>
      <c r="LT402" s="58" t="str">
        <f t="shared" ca="1" si="1746"/>
        <v>X</v>
      </c>
      <c r="LU402" s="58" t="str">
        <f t="shared" ca="1" si="1747"/>
        <v>X</v>
      </c>
      <c r="LV402" s="58" t="str">
        <f t="shared" ca="1" si="1748"/>
        <v>X</v>
      </c>
      <c r="LW402" s="58" t="str">
        <f t="shared" ca="1" si="1749"/>
        <v>X</v>
      </c>
      <c r="LX402" s="58" t="str">
        <f t="shared" ca="1" si="1750"/>
        <v>X</v>
      </c>
      <c r="LY402" s="58" t="str">
        <f t="shared" ca="1" si="1751"/>
        <v>X</v>
      </c>
      <c r="LZ402" s="58" t="str">
        <f t="shared" ca="1" si="1752"/>
        <v>X</v>
      </c>
      <c r="MA402" s="58" t="str">
        <f t="shared" ca="1" si="1753"/>
        <v>X</v>
      </c>
      <c r="MB402" s="58" t="str">
        <f t="shared" ca="1" si="1754"/>
        <v>X</v>
      </c>
      <c r="MC402" s="58" t="str">
        <f t="shared" ca="1" si="1755"/>
        <v>X</v>
      </c>
      <c r="MD402" s="58" t="str">
        <f t="shared" ca="1" si="1756"/>
        <v>X</v>
      </c>
      <c r="ME402" s="58" t="str">
        <f t="shared" ca="1" si="1757"/>
        <v>X</v>
      </c>
      <c r="MF402" s="58" t="str">
        <f t="shared" ca="1" si="1758"/>
        <v>X</v>
      </c>
      <c r="MG402" s="58" t="str">
        <f t="shared" ca="1" si="1759"/>
        <v>X</v>
      </c>
      <c r="MH402" s="58" t="str">
        <f t="shared" ca="1" si="1760"/>
        <v>X</v>
      </c>
      <c r="MI402" s="58" t="str">
        <f t="shared" ca="1" si="1761"/>
        <v>X</v>
      </c>
      <c r="MJ402" s="58" t="str">
        <f t="shared" ca="1" si="1762"/>
        <v>X</v>
      </c>
      <c r="MK402" s="58" t="str">
        <f t="shared" ca="1" si="1763"/>
        <v>X</v>
      </c>
      <c r="ML402" s="58" t="str">
        <f t="shared" ca="1" si="1764"/>
        <v>X</v>
      </c>
      <c r="MM402" s="58" t="str">
        <f t="shared" ca="1" si="1765"/>
        <v>X</v>
      </c>
      <c r="MN402" s="58" t="str">
        <f t="shared" ca="1" si="1766"/>
        <v>X</v>
      </c>
      <c r="MO402" s="58" t="str">
        <f t="shared" ca="1" si="1767"/>
        <v>X</v>
      </c>
      <c r="MP402" s="58" t="str">
        <f t="shared" ca="1" si="1768"/>
        <v>X</v>
      </c>
      <c r="MQ402" s="58" t="str">
        <f t="shared" ca="1" si="1769"/>
        <v>X</v>
      </c>
      <c r="MR402" s="58" t="str">
        <f t="shared" ca="1" si="1770"/>
        <v>X</v>
      </c>
      <c r="MS402" s="58" t="str">
        <f t="shared" ca="1" si="1771"/>
        <v>X</v>
      </c>
      <c r="MT402" s="58" t="str">
        <f t="shared" ref="MT402:NE402" ca="1" si="1794">IF($K402=INDIRECT(CONCATENATE("$AG$"&amp;GH$392)),INDIRECT(CONCATENATE("$AG$"&amp;GH$391)),
IF($K402=INDIRECT(CONCATENATE("$AF$"&amp;GH$392)),INDIRECT(CONCATENATE("$AF$"&amp;GH$391)),
IF($K402=INDIRECT(CONCATENATE("$AE$"&amp;GH$392)),INDIRECT(CONCATENATE("$AE$"&amp;GH$391)),
IF($K402=INDIRECT(CONCATENATE("$AD$"&amp;GH$392)),INDIRECT(CONCATENATE("$AD$"&amp;GH$391)),
IF($K402=INDIRECT(CONCATENATE("$AC$"&amp;GH$392)),INDIRECT(CONCATENATE("$AC$"&amp;GH$391)),
IF($K402=INDIRECT(CONCATENATE("$AB$"&amp;GH$392)),INDIRECT(CONCATENATE("$AB$"&amp;GH$391)),
IF($K402=INDIRECT(CONCATENATE("$AA$"&amp;GH$392)),INDIRECT(CONCATENATE("$AA$"&amp;GH$391)),
IF($K402=INDIRECT(CONCATENATE("$Z$"&amp;GH$392)),INDIRECT(CONCATENATE("$Z$"&amp;GH$391)),
IF($K402=INDIRECT(CONCATENATE("$Y$"&amp;GH$392)),INDIRECT(CONCATENATE("$Y$"&amp;GH$391)),
IF($K402=INDIRECT(CONCATENATE("$X$"&amp;GH$392)),INDIRECT(CONCATENATE("$X$"&amp;GH$391)),
IF($K402=INDIRECT(CONCATENATE("$W$"&amp;GH$392)),INDIRECT(CONCATENATE("$W$"&amp;GH$391)),
IF($K402=INDIRECT(CONCATENATE("$V$"&amp;GH$392)),INDIRECT(CONCATENATE("$V$"&amp;GH$391)),
IF($K402=INDIRECT(CONCATENATE("$U$"&amp;GH$392)),INDIRECT(CONCATENATE("$U$"&amp;GH$391)),
IF($K402=INDIRECT(CONCATENATE("$T$"&amp;GH$392)),INDIRECT(CONCATENATE("$T$"&amp;GH$391)),
IF($K402=INDIRECT(CONCATENATE("$S$"&amp;GH$392)),INDIRECT(CONCATENATE("$S$"&amp;GH$391)),
IF($K402=INDIRECT(CONCATENATE("$R$"&amp;GH$392)),INDIRECT(CONCATENATE("$R$"&amp;GH$391)),
IF($K402=INDIRECT(CONCATENATE("$Q$"&amp;GH$392)),INDIRECT(CONCATENATE("$Q$"&amp;GH$391)),
IF($K402=INDIRECT(CONCATENATE("$P$"&amp;GH$392)),INDIRECT(CONCATENATE("$P$"&amp;GH$391)),
IF($K402=INDIRECT(CONCATENATE("$O$"&amp;GH$392)),INDIRECT(CONCATENATE("$O$"&amp;GH$391)),
IF($K402=INDIRECT(CONCATENATE("$N$"&amp;GH$392)),INDIRECT(CONCATENATE("$N$"&amp;GH$391)),
IF($K402=INDIRECT(CONCATENATE("$M$"&amp;GH$392)),INDIRECT(CONCATENATE("$M$"&amp;GH$391)),
IF($K402=INDIRECT(CONCATENATE("$L$"&amp;GH$392)),INDIRECT(CONCATENATE("$L$"&amp;GH$391)),
IF($K402=INDIRECT(CONCATENATE("$K$"&amp;GH$392)),INDIRECT(CONCATENATE("$K$"&amp;GH$391)),
IF($K402=INDIRECT(CONCATENATE("$J$"&amp;GH$392)),INDIRECT(CONCATENATE("$J$"&amp;GH$391)),
IF($K402=INDIRECT(CONCATENATE("$I$"&amp;GH$392)),INDIRECT(CONCATENATE("$I$"&amp;GH$391)),
IF($K402=INDIRECT(CONCATENATE("$H$"&amp;GH$392)),INDIRECT(CONCATENATE("$H$"&amp;GH$391)),
IF($K402=INDIRECT(CONCATENATE("$G$"&amp;GH$392)),INDIRECT(CONCATENATE("$G$"&amp;GH$391)),
IF($K402=INDIRECT(CONCATENATE("$F$"&amp;GH$392)),INDIRECT(CONCATENATE("$F$"&amp;GH$391)),
IF($K402=INDIRECT(CONCATENATE("$E$"&amp;GH$392)),INDIRECT(CONCATENATE("$E$"&amp;GH$391)),
IF($K402=INDIRECT(CONCATENATE("$D$"&amp;GH$392)),INDIRECT(CONCATENATE("$D$"&amp;GH$391)),
IF($K402=INDIRECT(CONCATENATE("$C$"&amp;GH$392)),INDIRECT(CONCATENATE("$C$"&amp;GH$391)),"X")))))))))))))))))))))))))))))))</f>
        <v>X</v>
      </c>
      <c r="MU402" s="58" t="str">
        <f t="shared" ca="1" si="1794"/>
        <v>X</v>
      </c>
      <c r="MV402" s="58" t="str">
        <f t="shared" ca="1" si="1794"/>
        <v>X</v>
      </c>
      <c r="MW402" s="58" t="str">
        <f t="shared" ca="1" si="1794"/>
        <v>X</v>
      </c>
      <c r="MX402" s="58" t="str">
        <f t="shared" ca="1" si="1794"/>
        <v>X</v>
      </c>
      <c r="MY402" s="58" t="str">
        <f t="shared" ca="1" si="1794"/>
        <v>X</v>
      </c>
      <c r="MZ402" s="58" t="str">
        <f t="shared" ca="1" si="1794"/>
        <v>X</v>
      </c>
      <c r="NA402" s="58" t="str">
        <f t="shared" ca="1" si="1794"/>
        <v>X</v>
      </c>
      <c r="NB402" s="58" t="str">
        <f t="shared" ca="1" si="1794"/>
        <v>X</v>
      </c>
      <c r="NC402" s="58" t="str">
        <f t="shared" ca="1" si="1794"/>
        <v>X</v>
      </c>
      <c r="ND402" s="58" t="str">
        <f t="shared" ca="1" si="1794"/>
        <v>X</v>
      </c>
      <c r="NE402" s="58" t="str">
        <f t="shared" ca="1" si="1794"/>
        <v>X</v>
      </c>
      <c r="NF402" s="58" t="str">
        <f t="shared" ca="1" si="1773"/>
        <v>X</v>
      </c>
      <c r="NG402" s="58" t="str">
        <f t="shared" ca="1" si="1774"/>
        <v>X</v>
      </c>
    </row>
    <row r="403" spans="1:371" ht="18" customHeight="1">
      <c r="A403" s="241" t="s">
        <v>93</v>
      </c>
      <c r="B403" s="304"/>
      <c r="C403" s="304"/>
      <c r="D403" s="304"/>
      <c r="E403" s="304"/>
      <c r="F403" s="304"/>
      <c r="G403" s="304"/>
      <c r="H403" s="304"/>
      <c r="I403" s="304"/>
      <c r="J403" s="303"/>
      <c r="K403" s="237" t="s">
        <v>32</v>
      </c>
      <c r="L403" s="303"/>
      <c r="M403" s="60">
        <v>90</v>
      </c>
      <c r="N403" s="225" t="s">
        <v>94</v>
      </c>
      <c r="O403" s="304"/>
      <c r="P403" s="304"/>
      <c r="Q403" s="304"/>
      <c r="R403" s="303"/>
      <c r="S403" s="226">
        <v>96379</v>
      </c>
      <c r="T403" s="304"/>
      <c r="U403" s="303"/>
      <c r="V403" s="227" t="s">
        <v>96</v>
      </c>
      <c r="W403" s="303"/>
      <c r="X403" s="56">
        <f t="shared" ca="1" si="1775"/>
        <v>46059</v>
      </c>
      <c r="Y403" s="56">
        <f t="shared" ca="1" si="1776"/>
        <v>46214</v>
      </c>
      <c r="Z403" s="228" t="str">
        <f t="shared" ca="1" si="1612"/>
        <v>CONCLUÍDA</v>
      </c>
      <c r="AA403" s="304"/>
      <c r="AB403" s="303"/>
      <c r="AC403" s="224">
        <f t="shared" si="1777"/>
        <v>90</v>
      </c>
      <c r="AD403" s="303"/>
      <c r="AE403" s="229">
        <f t="shared" si="1778"/>
        <v>0</v>
      </c>
      <c r="AF403" s="303"/>
      <c r="AG403" s="57" t="str">
        <f t="shared" si="1615"/>
        <v>OK</v>
      </c>
      <c r="AH403" s="21"/>
      <c r="AI403" s="70"/>
      <c r="AJ403" s="58" t="str">
        <f t="shared" ref="AJ403:GT403" ca="1" si="1795">IF($K403=INDIRECT(CONCATENATE("$C$"&amp;AJ$392)), INDIRECT(CONCATENATE("$C$"&amp;AJ$391)),
IF($K403=INDIRECT(CONCATENATE("$D$"&amp;AJ$392)), INDIRECT(CONCATENATE("$D$"&amp;AJ$391)),
IF($K403=INDIRECT(CONCATENATE("$E$"&amp;AJ$392)), INDIRECT(CONCATENATE("$E$"&amp;AJ$391)),
IF($K403=INDIRECT(CONCATENATE("$F$"&amp;AJ$392)), INDIRECT(CONCATENATE("$F$"&amp;AJ$391)),
IF($K403=INDIRECT(CONCATENATE("$G$"&amp;AJ$392)), INDIRECT(CONCATENATE("$G$"&amp;AJ$391)),
IF($K403=INDIRECT(CONCATENATE("$H$"&amp;AJ$392)), INDIRECT(CONCATENATE("$H$"&amp;AJ$391)),
IF($K403=INDIRECT(CONCATENATE("$I$"&amp;AJ$392)), INDIRECT(CONCATENATE("$I$"&amp;AJ$391)),
IF($K403=INDIRECT(CONCATENATE("$J$"&amp;AJ$392)), INDIRECT(CONCATENATE("$J$"&amp;AJ$391)),
IF($K403=INDIRECT(CONCATENATE("$K$"&amp;AJ$392)), INDIRECT(CONCATENATE("$K$"&amp;AJ$391)),
IF($K403=INDIRECT(CONCATENATE("$L$"&amp;AJ$392)), INDIRECT(CONCATENATE("$L$"&amp;AJ$391)),
IF($K403=INDIRECT(CONCATENATE("$M$"&amp;AJ$392)), INDIRECT(CONCATENATE("$M$"&amp;AJ$391)),
IF($K403=INDIRECT(CONCATENATE("$N$"&amp;AJ$392)), INDIRECT(CONCATENATE("$N$"&amp;AJ$391)),
IF($K403=INDIRECT(CONCATENATE("$O$"&amp;AJ$392)), INDIRECT(CONCATENATE("$O$"&amp;AJ$391)),
IF($K403=INDIRECT(CONCATENATE("$P$"&amp;AJ$392)), INDIRECT(CONCATENATE("$P$"&amp;AJ$391)),
IF($K403=INDIRECT(CONCATENATE("$Q$"&amp;AJ$392)), INDIRECT(CONCATENATE("$Q$"&amp;AJ$391)),
IF($K403=INDIRECT(CONCATENATE("$R$"&amp;AJ$392)), INDIRECT(CONCATENATE("$R$"&amp;AJ$391)),
IF($K403=INDIRECT(CONCATENATE("$S$"&amp;AJ$392)), INDIRECT(CONCATENATE("$S$"&amp;AJ$391)),
IF($K403=INDIRECT(CONCATENATE("$T$"&amp;AJ$392)), INDIRECT(CONCATENATE("$T$"&amp;AJ$391)),
IF($K403=INDIRECT(CONCATENATE("$U$"&amp;AJ$392)), INDIRECT(CONCATENATE("$U$"&amp;AJ$391)),
IF($K403=INDIRECT(CONCATENATE("$V$"&amp;AJ$392)), INDIRECT(CONCATENATE("$V$"&amp;AJ$391)),
IF($K403=INDIRECT(CONCATENATE("$W$"&amp;AJ$392)), INDIRECT(CONCATENATE("$W$"&amp;AJ$391)),
IF($K403=INDIRECT(CONCATENATE("$X$"&amp;AJ$392)), INDIRECT(CONCATENATE("$X$"&amp;AJ$391)),
IF($K403=INDIRECT(CONCATENATE("$Y$"&amp;AJ$392)), INDIRECT(CONCATENATE("$Y$"&amp;AJ$391)),
IF($K403=INDIRECT(CONCATENATE("$Z$"&amp;AJ$392)), INDIRECT(CONCATENATE("$Z$"&amp;AJ$391)),
IF($K403=INDIRECT(CONCATENATE("$AA$"&amp;AJ$392)), INDIRECT(CONCATENATE("$AA$"&amp;AJ$391)),
IF($K403=INDIRECT(CONCATENATE("$AB$"&amp;AJ$392)), INDIRECT(CONCATENATE("$AB$"&amp;AJ$391)),
IF($K403=INDIRECT(CONCATENATE("$AC$"&amp;AJ$392)), INDIRECT(CONCATENATE("$AC$"&amp;AJ$391)),
IF($K403=INDIRECT(CONCATENATE("$AD$"&amp;AJ$392)), INDIRECT(CONCATENATE("$AD$"&amp;AJ$391)),
IF($K403=INDIRECT(CONCATENATE("$AE$"&amp;AJ$392)), INDIRECT(CONCATENATE("$AE$"&amp;AJ$391)),
IF($K403=INDIRECT(CONCATENATE("$AF$"&amp;AJ$392)), INDIRECT(CONCATENATE("$AF$"&amp;AJ$391)),
IF($K403=INDIRECT(CONCATENATE("$AG$"&amp;AJ$392)), INDIRECT(CONCATENATE("$AG$"&amp;AJ$391)),"X")))))))))))))))))))))))))))))))</f>
        <v>X</v>
      </c>
      <c r="AK403" s="58" t="str">
        <f t="shared" ca="1" si="1795"/>
        <v>X</v>
      </c>
      <c r="AL403" s="58" t="str">
        <f t="shared" ca="1" si="1795"/>
        <v>X</v>
      </c>
      <c r="AM403" s="58" t="str">
        <f t="shared" ca="1" si="1795"/>
        <v>X</v>
      </c>
      <c r="AN403" s="58" t="str">
        <f t="shared" ca="1" si="1795"/>
        <v>X</v>
      </c>
      <c r="AO403" s="58" t="str">
        <f t="shared" ca="1" si="1795"/>
        <v>X</v>
      </c>
      <c r="AP403" s="58" t="str">
        <f t="shared" ca="1" si="1795"/>
        <v>X</v>
      </c>
      <c r="AQ403" s="58" t="str">
        <f t="shared" ca="1" si="1795"/>
        <v>X</v>
      </c>
      <c r="AR403" s="58" t="str">
        <f t="shared" ca="1" si="1795"/>
        <v>X</v>
      </c>
      <c r="AS403" s="58" t="str">
        <f t="shared" ca="1" si="1795"/>
        <v>X</v>
      </c>
      <c r="AT403" s="58" t="str">
        <f t="shared" ca="1" si="1795"/>
        <v>X</v>
      </c>
      <c r="AU403" s="58" t="str">
        <f t="shared" ca="1" si="1795"/>
        <v>X</v>
      </c>
      <c r="AV403" s="58" t="str">
        <f t="shared" ca="1" si="1795"/>
        <v>X</v>
      </c>
      <c r="AW403" s="58" t="str">
        <f t="shared" ca="1" si="1795"/>
        <v>X</v>
      </c>
      <c r="AX403" s="58" t="str">
        <f t="shared" ca="1" si="1795"/>
        <v>X</v>
      </c>
      <c r="AY403" s="58" t="str">
        <f t="shared" ca="1" si="1795"/>
        <v>X</v>
      </c>
      <c r="AZ403" s="58" t="str">
        <f t="shared" ca="1" si="1795"/>
        <v>X</v>
      </c>
      <c r="BA403" s="58" t="str">
        <f t="shared" ca="1" si="1795"/>
        <v>X</v>
      </c>
      <c r="BB403" s="58" t="str">
        <f t="shared" ca="1" si="1795"/>
        <v>X</v>
      </c>
      <c r="BC403" s="58" t="str">
        <f t="shared" ca="1" si="1795"/>
        <v>X</v>
      </c>
      <c r="BD403" s="58" t="str">
        <f t="shared" ca="1" si="1795"/>
        <v>X</v>
      </c>
      <c r="BE403" s="58" t="str">
        <f t="shared" ca="1" si="1795"/>
        <v>X</v>
      </c>
      <c r="BF403" s="58" t="str">
        <f t="shared" ca="1" si="1795"/>
        <v>X</v>
      </c>
      <c r="BG403" s="58" t="str">
        <f t="shared" ca="1" si="1795"/>
        <v>X</v>
      </c>
      <c r="BH403" s="58">
        <f t="shared" ca="1" si="1795"/>
        <v>46059</v>
      </c>
      <c r="BI403" s="58">
        <f t="shared" ca="1" si="1795"/>
        <v>46059</v>
      </c>
      <c r="BJ403" s="58">
        <f t="shared" ca="1" si="1795"/>
        <v>46059</v>
      </c>
      <c r="BK403" s="58" t="str">
        <f t="shared" ca="1" si="1795"/>
        <v>X</v>
      </c>
      <c r="BL403" s="58" t="str">
        <f t="shared" ca="1" si="1795"/>
        <v>X</v>
      </c>
      <c r="BM403" s="58" t="str">
        <f t="shared" ca="1" si="1795"/>
        <v>X</v>
      </c>
      <c r="BN403" s="58" t="str">
        <f t="shared" ca="1" si="1795"/>
        <v>X</v>
      </c>
      <c r="BO403" s="58" t="str">
        <f t="shared" ca="1" si="1795"/>
        <v>X</v>
      </c>
      <c r="BP403" s="58" t="str">
        <f t="shared" ca="1" si="1795"/>
        <v>X</v>
      </c>
      <c r="BQ403" s="58" t="str">
        <f t="shared" ca="1" si="1795"/>
        <v>X</v>
      </c>
      <c r="BR403" s="58" t="str">
        <f t="shared" ca="1" si="1795"/>
        <v>X</v>
      </c>
      <c r="BS403" s="58" t="str">
        <f t="shared" ca="1" si="1795"/>
        <v>X</v>
      </c>
      <c r="BT403" s="58" t="str">
        <f t="shared" ca="1" si="1795"/>
        <v>X</v>
      </c>
      <c r="BU403" s="58" t="str">
        <f t="shared" ca="1" si="1795"/>
        <v>X</v>
      </c>
      <c r="BV403" s="58">
        <f t="shared" ca="1" si="1795"/>
        <v>46087</v>
      </c>
      <c r="BW403" s="58">
        <f t="shared" ca="1" si="1795"/>
        <v>46087</v>
      </c>
      <c r="BX403" s="58">
        <f t="shared" ca="1" si="1795"/>
        <v>46087</v>
      </c>
      <c r="BY403" s="58" t="str">
        <f t="shared" ca="1" si="1795"/>
        <v>X</v>
      </c>
      <c r="BZ403" s="58" t="str">
        <f t="shared" ca="1" si="1795"/>
        <v>X</v>
      </c>
      <c r="CA403" s="58" t="str">
        <f t="shared" ca="1" si="1795"/>
        <v>X</v>
      </c>
      <c r="CB403" s="58" t="str">
        <f t="shared" ca="1" si="1795"/>
        <v>X</v>
      </c>
      <c r="CC403" s="58" t="str">
        <f t="shared" ca="1" si="1795"/>
        <v>X</v>
      </c>
      <c r="CD403" s="58" t="str">
        <f t="shared" ca="1" si="1795"/>
        <v>X</v>
      </c>
      <c r="CE403" s="58" t="str">
        <f t="shared" ca="1" si="1795"/>
        <v>X</v>
      </c>
      <c r="CF403" s="58" t="str">
        <f t="shared" ca="1" si="1795"/>
        <v>X</v>
      </c>
      <c r="CG403" s="58" t="str">
        <f t="shared" ca="1" si="1795"/>
        <v>X</v>
      </c>
      <c r="CH403" s="58" t="str">
        <f t="shared" ca="1" si="1795"/>
        <v>X</v>
      </c>
      <c r="CI403" s="58" t="str">
        <f t="shared" ca="1" si="1795"/>
        <v>X</v>
      </c>
      <c r="CJ403" s="58">
        <f t="shared" ca="1" si="1795"/>
        <v>46122</v>
      </c>
      <c r="CK403" s="58">
        <f t="shared" ca="1" si="1795"/>
        <v>46122</v>
      </c>
      <c r="CL403" s="58">
        <f t="shared" ca="1" si="1795"/>
        <v>46122</v>
      </c>
      <c r="CM403" s="58" t="str">
        <f t="shared" ca="1" si="1795"/>
        <v>X</v>
      </c>
      <c r="CN403" s="58" t="str">
        <f t="shared" ca="1" si="1795"/>
        <v>X</v>
      </c>
      <c r="CO403" s="58" t="str">
        <f t="shared" ca="1" si="1795"/>
        <v>X</v>
      </c>
      <c r="CP403" s="58" t="str">
        <f t="shared" ca="1" si="1795"/>
        <v>X</v>
      </c>
      <c r="CQ403" s="58" t="str">
        <f t="shared" ca="1" si="1795"/>
        <v>X</v>
      </c>
      <c r="CR403" s="58" t="str">
        <f t="shared" ca="1" si="1795"/>
        <v>X</v>
      </c>
      <c r="CS403" s="58" t="str">
        <f t="shared" ca="1" si="1795"/>
        <v>X</v>
      </c>
      <c r="CT403" s="58" t="str">
        <f t="shared" ca="1" si="1795"/>
        <v>X</v>
      </c>
      <c r="CU403" s="58" t="str">
        <f t="shared" ca="1" si="1795"/>
        <v>X</v>
      </c>
      <c r="CV403" s="58" t="str">
        <f t="shared" ca="1" si="1795"/>
        <v>X</v>
      </c>
      <c r="CW403" s="58" t="str">
        <f t="shared" ca="1" si="1795"/>
        <v>X</v>
      </c>
      <c r="CX403" s="58">
        <f t="shared" ca="1" si="1795"/>
        <v>46150</v>
      </c>
      <c r="CY403" s="58">
        <f t="shared" ca="1" si="1795"/>
        <v>46150</v>
      </c>
      <c r="CZ403" s="58">
        <f t="shared" ca="1" si="1795"/>
        <v>46150</v>
      </c>
      <c r="DA403" s="58" t="str">
        <f t="shared" ca="1" si="1795"/>
        <v>X</v>
      </c>
      <c r="DB403" s="58">
        <f t="shared" ca="1" si="1795"/>
        <v>46200</v>
      </c>
      <c r="DC403" s="58">
        <f t="shared" ca="1" si="1795"/>
        <v>46200</v>
      </c>
      <c r="DD403" s="58">
        <f t="shared" ca="1" si="1795"/>
        <v>46200</v>
      </c>
      <c r="DE403" s="58" t="str">
        <f t="shared" ca="1" si="1795"/>
        <v>X</v>
      </c>
      <c r="DF403" s="58" t="str">
        <f t="shared" ca="1" si="1795"/>
        <v>X</v>
      </c>
      <c r="DG403" s="58" t="str">
        <f t="shared" ca="1" si="1795"/>
        <v>X</v>
      </c>
      <c r="DH403" s="58" t="str">
        <f t="shared" ca="1" si="1795"/>
        <v>X</v>
      </c>
      <c r="DI403" s="58" t="str">
        <f t="shared" ca="1" si="1795"/>
        <v>X</v>
      </c>
      <c r="DJ403" s="58" t="str">
        <f t="shared" ca="1" si="1795"/>
        <v>X</v>
      </c>
      <c r="DK403" s="58" t="str">
        <f t="shared" ca="1" si="1795"/>
        <v>X</v>
      </c>
      <c r="DL403" s="58">
        <f t="shared" ca="1" si="1795"/>
        <v>46176</v>
      </c>
      <c r="DM403" s="58">
        <f t="shared" ca="1" si="1795"/>
        <v>46176</v>
      </c>
      <c r="DN403" s="58">
        <f t="shared" ca="1" si="1795"/>
        <v>46176</v>
      </c>
      <c r="DO403" s="58" t="str">
        <f t="shared" ca="1" si="1795"/>
        <v>X</v>
      </c>
      <c r="DP403" s="58">
        <f t="shared" ca="1" si="1795"/>
        <v>46214</v>
      </c>
      <c r="DQ403" s="58">
        <f t="shared" ca="1" si="1795"/>
        <v>46214</v>
      </c>
      <c r="DR403" s="58">
        <f t="shared" ca="1" si="1795"/>
        <v>46214</v>
      </c>
      <c r="DS403" s="58" t="str">
        <f t="shared" ca="1" si="1795"/>
        <v>X</v>
      </c>
      <c r="DT403" s="58" t="str">
        <f t="shared" ca="1" si="1795"/>
        <v>X</v>
      </c>
      <c r="DU403" s="58" t="str">
        <f t="shared" ca="1" si="1795"/>
        <v>X</v>
      </c>
      <c r="DV403" s="58" t="str">
        <f t="shared" ca="1" si="1795"/>
        <v>X</v>
      </c>
      <c r="DW403" s="58" t="str">
        <f t="shared" ca="1" si="1795"/>
        <v>X</v>
      </c>
      <c r="DX403" s="58" t="str">
        <f t="shared" ca="1" si="1795"/>
        <v>X</v>
      </c>
      <c r="DY403" s="58" t="str">
        <f t="shared" ca="1" si="1795"/>
        <v>X</v>
      </c>
      <c r="DZ403" s="58">
        <f t="shared" ca="1" si="1795"/>
        <v>46204</v>
      </c>
      <c r="EA403" s="58">
        <f t="shared" ca="1" si="1795"/>
        <v>46204</v>
      </c>
      <c r="EB403" s="58">
        <f t="shared" ca="1" si="1795"/>
        <v>46204</v>
      </c>
      <c r="EC403" s="58" t="str">
        <f t="shared" ca="1" si="1795"/>
        <v>X</v>
      </c>
      <c r="ED403" s="58" t="str">
        <f t="shared" ca="1" si="1795"/>
        <v>X</v>
      </c>
      <c r="EE403" s="58" t="str">
        <f t="shared" ca="1" si="1795"/>
        <v>X</v>
      </c>
      <c r="EF403" s="58" t="str">
        <f t="shared" ca="1" si="1795"/>
        <v>X</v>
      </c>
      <c r="EG403" s="58" t="str">
        <f t="shared" ca="1" si="1795"/>
        <v>X</v>
      </c>
      <c r="EH403" s="58" t="str">
        <f t="shared" ca="1" si="1795"/>
        <v>X</v>
      </c>
      <c r="EI403" s="58" t="str">
        <f t="shared" ca="1" si="1795"/>
        <v>X</v>
      </c>
      <c r="EJ403" s="58" t="str">
        <f t="shared" ca="1" si="1795"/>
        <v>X</v>
      </c>
      <c r="EK403" s="58" t="str">
        <f t="shared" ca="1" si="1795"/>
        <v>X</v>
      </c>
      <c r="EL403" s="58" t="str">
        <f t="shared" ca="1" si="1795"/>
        <v>X</v>
      </c>
      <c r="EM403" s="58" t="str">
        <f t="shared" ca="1" si="1795"/>
        <v>X</v>
      </c>
      <c r="EN403" s="58" t="str">
        <f t="shared" ca="1" si="1795"/>
        <v>X</v>
      </c>
      <c r="EO403" s="58" t="str">
        <f t="shared" ca="1" si="1795"/>
        <v>X</v>
      </c>
      <c r="EP403" s="58" t="str">
        <f t="shared" ca="1" si="1795"/>
        <v>X</v>
      </c>
      <c r="EQ403" s="58" t="str">
        <f t="shared" ca="1" si="1795"/>
        <v>X</v>
      </c>
      <c r="ER403" s="58" t="str">
        <f t="shared" ca="1" si="1795"/>
        <v>X</v>
      </c>
      <c r="ES403" s="58" t="str">
        <f t="shared" ca="1" si="1795"/>
        <v>X</v>
      </c>
      <c r="ET403" s="58" t="str">
        <f t="shared" ca="1" si="1795"/>
        <v>X</v>
      </c>
      <c r="EU403" s="58" t="str">
        <f t="shared" ca="1" si="1795"/>
        <v>X</v>
      </c>
      <c r="EV403" s="58" t="str">
        <f t="shared" ca="1" si="1795"/>
        <v>X</v>
      </c>
      <c r="EW403" s="58" t="str">
        <f t="shared" ca="1" si="1795"/>
        <v>X</v>
      </c>
      <c r="EX403" s="58" t="str">
        <f t="shared" ca="1" si="1795"/>
        <v>X</v>
      </c>
      <c r="EY403" s="58" t="str">
        <f t="shared" ca="1" si="1795"/>
        <v>X</v>
      </c>
      <c r="EZ403" s="58" t="str">
        <f t="shared" ca="1" si="1795"/>
        <v>X</v>
      </c>
      <c r="FA403" s="58" t="str">
        <f t="shared" ca="1" si="1795"/>
        <v>X</v>
      </c>
      <c r="FB403" s="58" t="str">
        <f t="shared" ca="1" si="1795"/>
        <v>X</v>
      </c>
      <c r="FC403" s="58" t="str">
        <f t="shared" ca="1" si="1795"/>
        <v>X</v>
      </c>
      <c r="FD403" s="58" t="str">
        <f t="shared" ca="1" si="1795"/>
        <v>X</v>
      </c>
      <c r="FE403" s="58" t="str">
        <f t="shared" ca="1" si="1795"/>
        <v>X</v>
      </c>
      <c r="FF403" s="58" t="str">
        <f t="shared" ca="1" si="1795"/>
        <v>X</v>
      </c>
      <c r="FG403" s="58" t="str">
        <f t="shared" ca="1" si="1795"/>
        <v>X</v>
      </c>
      <c r="FH403" s="58" t="str">
        <f t="shared" ca="1" si="1795"/>
        <v>X</v>
      </c>
      <c r="FI403" s="58" t="str">
        <f t="shared" ca="1" si="1795"/>
        <v>X</v>
      </c>
      <c r="FJ403" s="58" t="str">
        <f t="shared" ca="1" si="1795"/>
        <v>X</v>
      </c>
      <c r="FK403" s="58" t="str">
        <f t="shared" ca="1" si="1795"/>
        <v>X</v>
      </c>
      <c r="FL403" s="58" t="str">
        <f t="shared" ca="1" si="1795"/>
        <v>X</v>
      </c>
      <c r="FM403" s="58" t="str">
        <f t="shared" ca="1" si="1795"/>
        <v>X</v>
      </c>
      <c r="FN403" s="58" t="str">
        <f t="shared" ca="1" si="1795"/>
        <v>X</v>
      </c>
      <c r="FO403" s="58" t="str">
        <f t="shared" ca="1" si="1795"/>
        <v>X</v>
      </c>
      <c r="FP403" s="58" t="str">
        <f t="shared" ca="1" si="1795"/>
        <v>X</v>
      </c>
      <c r="FQ403" s="58" t="str">
        <f t="shared" ca="1" si="1795"/>
        <v>X</v>
      </c>
      <c r="FR403" s="58" t="str">
        <f t="shared" ca="1" si="1795"/>
        <v>X</v>
      </c>
      <c r="FS403" s="58" t="str">
        <f t="shared" ca="1" si="1795"/>
        <v>X</v>
      </c>
      <c r="FT403" s="58" t="str">
        <f t="shared" ca="1" si="1795"/>
        <v>X</v>
      </c>
      <c r="FU403" s="58" t="str">
        <f t="shared" ca="1" si="1795"/>
        <v>X</v>
      </c>
      <c r="FV403" s="58" t="str">
        <f t="shared" ca="1" si="1795"/>
        <v>X</v>
      </c>
      <c r="FW403" s="58" t="str">
        <f t="shared" ca="1" si="1795"/>
        <v>X</v>
      </c>
      <c r="FX403" s="58" t="str">
        <f t="shared" ca="1" si="1795"/>
        <v>X</v>
      </c>
      <c r="FY403" s="58" t="str">
        <f t="shared" ca="1" si="1795"/>
        <v>X</v>
      </c>
      <c r="FZ403" s="58" t="str">
        <f t="shared" ca="1" si="1795"/>
        <v>X</v>
      </c>
      <c r="GA403" s="58" t="str">
        <f t="shared" ca="1" si="1795"/>
        <v>X</v>
      </c>
      <c r="GB403" s="58" t="str">
        <f t="shared" ca="1" si="1795"/>
        <v>X</v>
      </c>
      <c r="GC403" s="58" t="str">
        <f t="shared" ca="1" si="1795"/>
        <v>X</v>
      </c>
      <c r="GD403" s="58" t="str">
        <f t="shared" ca="1" si="1795"/>
        <v>X</v>
      </c>
      <c r="GE403" s="58" t="str">
        <f t="shared" ca="1" si="1795"/>
        <v>X</v>
      </c>
      <c r="GF403" s="58" t="str">
        <f t="shared" ca="1" si="1795"/>
        <v>X</v>
      </c>
      <c r="GG403" s="58" t="str">
        <f t="shared" ca="1" si="1795"/>
        <v>X</v>
      </c>
      <c r="GH403" s="58" t="str">
        <f t="shared" ca="1" si="1795"/>
        <v>X</v>
      </c>
      <c r="GI403" s="58" t="str">
        <f t="shared" ca="1" si="1795"/>
        <v>X</v>
      </c>
      <c r="GJ403" s="58" t="str">
        <f t="shared" ca="1" si="1795"/>
        <v>X</v>
      </c>
      <c r="GK403" s="58" t="str">
        <f t="shared" ca="1" si="1795"/>
        <v>X</v>
      </c>
      <c r="GL403" s="58" t="str">
        <f t="shared" ca="1" si="1795"/>
        <v>X</v>
      </c>
      <c r="GM403" s="58" t="str">
        <f t="shared" ca="1" si="1795"/>
        <v>X</v>
      </c>
      <c r="GN403" s="58" t="str">
        <f t="shared" ca="1" si="1795"/>
        <v>X</v>
      </c>
      <c r="GO403" s="58" t="str">
        <f t="shared" ca="1" si="1795"/>
        <v>X</v>
      </c>
      <c r="GP403" s="58" t="str">
        <f t="shared" ca="1" si="1795"/>
        <v>X</v>
      </c>
      <c r="GQ403" s="58" t="str">
        <f t="shared" ca="1" si="1795"/>
        <v>X</v>
      </c>
      <c r="GR403" s="58" t="str">
        <f t="shared" ca="1" si="1795"/>
        <v>X</v>
      </c>
      <c r="GS403" s="80" t="str">
        <f t="shared" ca="1" si="1795"/>
        <v>X</v>
      </c>
      <c r="GT403" s="58" t="str">
        <f t="shared" ca="1" si="1795"/>
        <v>X</v>
      </c>
      <c r="GU403" s="82" t="str">
        <f t="shared" ca="1" si="1617"/>
        <v>X</v>
      </c>
      <c r="GV403" s="58" t="str">
        <f t="shared" ca="1" si="1618"/>
        <v>X</v>
      </c>
      <c r="GW403" s="58" t="str">
        <f t="shared" ca="1" si="1619"/>
        <v>X</v>
      </c>
      <c r="GX403" s="58" t="str">
        <f t="shared" ca="1" si="1620"/>
        <v>X</v>
      </c>
      <c r="GY403" s="58" t="str">
        <f t="shared" ca="1" si="1621"/>
        <v>X</v>
      </c>
      <c r="GZ403" s="58" t="str">
        <f t="shared" ca="1" si="1622"/>
        <v>X</v>
      </c>
      <c r="HA403" s="58" t="str">
        <f t="shared" ca="1" si="1623"/>
        <v>X</v>
      </c>
      <c r="HB403" s="58" t="str">
        <f t="shared" ca="1" si="1624"/>
        <v>X</v>
      </c>
      <c r="HC403" s="58" t="str">
        <f t="shared" ca="1" si="1625"/>
        <v>X</v>
      </c>
      <c r="HD403" s="58" t="str">
        <f t="shared" ca="1" si="1626"/>
        <v>X</v>
      </c>
      <c r="HE403" s="58" t="str">
        <f t="shared" ca="1" si="1627"/>
        <v>X</v>
      </c>
      <c r="HF403" s="58" t="str">
        <f t="shared" ca="1" si="1628"/>
        <v>X</v>
      </c>
      <c r="HG403" s="58" t="str">
        <f t="shared" ca="1" si="1629"/>
        <v>X</v>
      </c>
      <c r="HH403" s="58" t="str">
        <f t="shared" ca="1" si="1630"/>
        <v>X</v>
      </c>
      <c r="HI403" s="58" t="str">
        <f t="shared" ca="1" si="1631"/>
        <v>X</v>
      </c>
      <c r="HJ403" s="58" t="str">
        <f t="shared" ca="1" si="1632"/>
        <v>X</v>
      </c>
      <c r="HK403" s="58" t="str">
        <f t="shared" ca="1" si="1633"/>
        <v>X</v>
      </c>
      <c r="HL403" s="58" t="str">
        <f t="shared" ca="1" si="1634"/>
        <v>X</v>
      </c>
      <c r="HM403" s="58" t="str">
        <f t="shared" ca="1" si="1635"/>
        <v>X</v>
      </c>
      <c r="HN403" s="58" t="str">
        <f t="shared" ca="1" si="1636"/>
        <v>X</v>
      </c>
      <c r="HO403" s="58" t="str">
        <f t="shared" ca="1" si="1637"/>
        <v>X</v>
      </c>
      <c r="HP403" s="58" t="str">
        <f t="shared" ca="1" si="1638"/>
        <v>X</v>
      </c>
      <c r="HQ403" s="58" t="str">
        <f t="shared" ca="1" si="1639"/>
        <v>X</v>
      </c>
      <c r="HR403" s="58" t="str">
        <f t="shared" ca="1" si="1640"/>
        <v>X</v>
      </c>
      <c r="HS403" s="58" t="str">
        <f t="shared" ca="1" si="1641"/>
        <v>X</v>
      </c>
      <c r="HT403" s="58">
        <f t="shared" ca="1" si="1642"/>
        <v>46073</v>
      </c>
      <c r="HU403" s="58">
        <f t="shared" ca="1" si="1643"/>
        <v>46073</v>
      </c>
      <c r="HV403" s="58">
        <f t="shared" ca="1" si="1644"/>
        <v>46073</v>
      </c>
      <c r="HW403" s="58" t="str">
        <f t="shared" ca="1" si="1645"/>
        <v>X</v>
      </c>
      <c r="HX403" s="58" t="str">
        <f t="shared" ca="1" si="1646"/>
        <v>X</v>
      </c>
      <c r="HY403" s="58" t="str">
        <f t="shared" ca="1" si="1647"/>
        <v>X</v>
      </c>
      <c r="HZ403" s="58" t="str">
        <f t="shared" ca="1" si="1648"/>
        <v>X</v>
      </c>
      <c r="IA403" s="58" t="str">
        <f t="shared" ca="1" si="1649"/>
        <v>X</v>
      </c>
      <c r="IB403" s="58" t="str">
        <f t="shared" ca="1" si="1650"/>
        <v>X</v>
      </c>
      <c r="IC403" s="58" t="str">
        <f t="shared" ca="1" si="1651"/>
        <v>X</v>
      </c>
      <c r="ID403" s="58" t="str">
        <f t="shared" ca="1" si="1652"/>
        <v>X</v>
      </c>
      <c r="IE403" s="58" t="str">
        <f t="shared" ca="1" si="1653"/>
        <v>X</v>
      </c>
      <c r="IF403" s="58" t="str">
        <f t="shared" ca="1" si="1654"/>
        <v>X</v>
      </c>
      <c r="IG403" s="58" t="str">
        <f t="shared" ca="1" si="1655"/>
        <v>X</v>
      </c>
      <c r="IH403" s="58">
        <f t="shared" ca="1" si="1656"/>
        <v>46108</v>
      </c>
      <c r="II403" s="58">
        <f t="shared" ca="1" si="1657"/>
        <v>46108</v>
      </c>
      <c r="IJ403" s="58">
        <f t="shared" ca="1" si="1658"/>
        <v>46108</v>
      </c>
      <c r="IK403" s="58" t="str">
        <f t="shared" ca="1" si="1659"/>
        <v>X</v>
      </c>
      <c r="IL403" s="58" t="str">
        <f t="shared" ca="1" si="1660"/>
        <v>X</v>
      </c>
      <c r="IM403" s="58" t="str">
        <f t="shared" ca="1" si="1661"/>
        <v>X</v>
      </c>
      <c r="IN403" s="58" t="str">
        <f t="shared" ca="1" si="1662"/>
        <v>X</v>
      </c>
      <c r="IO403" s="58" t="str">
        <f t="shared" ca="1" si="1663"/>
        <v>X</v>
      </c>
      <c r="IP403" s="58" t="str">
        <f t="shared" ca="1" si="1664"/>
        <v>X</v>
      </c>
      <c r="IQ403" s="58" t="str">
        <f t="shared" ca="1" si="1665"/>
        <v>X</v>
      </c>
      <c r="IR403" s="58" t="str">
        <f t="shared" ca="1" si="1666"/>
        <v>X</v>
      </c>
      <c r="IS403" s="58" t="str">
        <f t="shared" ca="1" si="1667"/>
        <v>X</v>
      </c>
      <c r="IT403" s="58" t="str">
        <f t="shared" ca="1" si="1668"/>
        <v>X</v>
      </c>
      <c r="IU403" s="58" t="str">
        <f t="shared" ca="1" si="1669"/>
        <v>X</v>
      </c>
      <c r="IV403" s="58">
        <f t="shared" ca="1" si="1670"/>
        <v>46142</v>
      </c>
      <c r="IW403" s="58">
        <f t="shared" ca="1" si="1671"/>
        <v>46142</v>
      </c>
      <c r="IX403" s="58">
        <f t="shared" ca="1" si="1672"/>
        <v>46142</v>
      </c>
      <c r="IY403" s="58" t="str">
        <f t="shared" ca="1" si="1673"/>
        <v>X</v>
      </c>
      <c r="IZ403" s="58" t="str">
        <f t="shared" ca="1" si="1674"/>
        <v>X</v>
      </c>
      <c r="JA403" s="58" t="str">
        <f t="shared" ca="1" si="1675"/>
        <v>X</v>
      </c>
      <c r="JB403" s="58" t="str">
        <f t="shared" ca="1" si="1676"/>
        <v>X</v>
      </c>
      <c r="JC403" s="58" t="str">
        <f t="shared" ca="1" si="1677"/>
        <v>X</v>
      </c>
      <c r="JD403" s="58" t="str">
        <f t="shared" ca="1" si="1678"/>
        <v>X</v>
      </c>
      <c r="JE403" s="58" t="str">
        <f t="shared" ca="1" si="1679"/>
        <v>X</v>
      </c>
      <c r="JF403" s="58" t="str">
        <f t="shared" ca="1" si="1680"/>
        <v>X</v>
      </c>
      <c r="JG403" s="58" t="str">
        <f t="shared" ca="1" si="1681"/>
        <v>X</v>
      </c>
      <c r="JH403" s="58" t="str">
        <f t="shared" ca="1" si="1682"/>
        <v>X</v>
      </c>
      <c r="JI403" s="58" t="str">
        <f t="shared" ca="1" si="1683"/>
        <v>X</v>
      </c>
      <c r="JJ403" s="58">
        <f t="shared" ca="1" si="1684"/>
        <v>46171</v>
      </c>
      <c r="JK403" s="58">
        <f t="shared" ca="1" si="1685"/>
        <v>46171</v>
      </c>
      <c r="JL403" s="58">
        <f t="shared" ca="1" si="1686"/>
        <v>46171</v>
      </c>
      <c r="JM403" s="58" t="str">
        <f t="shared" ca="1" si="1687"/>
        <v>X</v>
      </c>
      <c r="JN403" s="58">
        <f t="shared" ca="1" si="1688"/>
        <v>46200</v>
      </c>
      <c r="JO403" s="58">
        <f t="shared" ca="1" si="1689"/>
        <v>46200</v>
      </c>
      <c r="JP403" s="58">
        <f t="shared" ca="1" si="1690"/>
        <v>46200</v>
      </c>
      <c r="JQ403" s="58" t="str">
        <f t="shared" ca="1" si="1691"/>
        <v>X</v>
      </c>
      <c r="JR403" s="58" t="str">
        <f t="shared" ca="1" si="1692"/>
        <v>X</v>
      </c>
      <c r="JS403" s="58" t="str">
        <f t="shared" ca="1" si="1693"/>
        <v>X</v>
      </c>
      <c r="JT403" s="58" t="str">
        <f t="shared" ca="1" si="1694"/>
        <v>X</v>
      </c>
      <c r="JU403" s="58" t="str">
        <f t="shared" ca="1" si="1695"/>
        <v>X</v>
      </c>
      <c r="JV403" s="58" t="str">
        <f t="shared" ca="1" si="1696"/>
        <v>X</v>
      </c>
      <c r="JW403" s="58" t="str">
        <f t="shared" ca="1" si="1697"/>
        <v>X</v>
      </c>
      <c r="JX403" s="58">
        <f t="shared" ca="1" si="1698"/>
        <v>46203</v>
      </c>
      <c r="JY403" s="58">
        <f t="shared" ca="1" si="1699"/>
        <v>46203</v>
      </c>
      <c r="JZ403" s="58">
        <f t="shared" ca="1" si="1700"/>
        <v>46203</v>
      </c>
      <c r="KA403" s="58" t="str">
        <f t="shared" ca="1" si="1701"/>
        <v>X</v>
      </c>
      <c r="KB403" s="58">
        <f t="shared" ca="1" si="1702"/>
        <v>46214</v>
      </c>
      <c r="KC403" s="58">
        <f t="shared" ca="1" si="1703"/>
        <v>46214</v>
      </c>
      <c r="KD403" s="58">
        <f t="shared" ca="1" si="1704"/>
        <v>46214</v>
      </c>
      <c r="KE403" s="58" t="str">
        <f t="shared" ca="1" si="1705"/>
        <v>X</v>
      </c>
      <c r="KF403" s="58" t="str">
        <f t="shared" ca="1" si="1706"/>
        <v>X</v>
      </c>
      <c r="KG403" s="58" t="str">
        <f t="shared" ca="1" si="1707"/>
        <v>X</v>
      </c>
      <c r="KH403" s="58" t="str">
        <f t="shared" ca="1" si="1708"/>
        <v>X</v>
      </c>
      <c r="KI403" s="58" t="str">
        <f t="shared" ca="1" si="1709"/>
        <v>X</v>
      </c>
      <c r="KJ403" s="58" t="str">
        <f t="shared" ca="1" si="1710"/>
        <v>X</v>
      </c>
      <c r="KK403" s="58" t="str">
        <f t="shared" ca="1" si="1711"/>
        <v>X</v>
      </c>
      <c r="KL403" s="58">
        <f t="shared" ca="1" si="1712"/>
        <v>46213</v>
      </c>
      <c r="KM403" s="58">
        <f t="shared" ca="1" si="1713"/>
        <v>46213</v>
      </c>
      <c r="KN403" s="58">
        <f t="shared" ca="1" si="1714"/>
        <v>46213</v>
      </c>
      <c r="KO403" s="58" t="str">
        <f t="shared" ca="1" si="1715"/>
        <v>X</v>
      </c>
      <c r="KP403" s="58" t="str">
        <f t="shared" ca="1" si="1716"/>
        <v>X</v>
      </c>
      <c r="KQ403" s="58" t="str">
        <f t="shared" ca="1" si="1717"/>
        <v>X</v>
      </c>
      <c r="KR403" s="58" t="str">
        <f t="shared" ca="1" si="1718"/>
        <v>X</v>
      </c>
      <c r="KS403" s="58" t="str">
        <f t="shared" ca="1" si="1719"/>
        <v>X</v>
      </c>
      <c r="KT403" s="58" t="str">
        <f t="shared" ca="1" si="1720"/>
        <v>X</v>
      </c>
      <c r="KU403" s="58" t="str">
        <f t="shared" ca="1" si="1721"/>
        <v>X</v>
      </c>
      <c r="KV403" s="58" t="str">
        <f t="shared" ca="1" si="1722"/>
        <v>X</v>
      </c>
      <c r="KW403" s="58" t="str">
        <f t="shared" ca="1" si="1723"/>
        <v>X</v>
      </c>
      <c r="KX403" s="58" t="str">
        <f t="shared" ca="1" si="1724"/>
        <v>X</v>
      </c>
      <c r="KY403" s="58" t="str">
        <f t="shared" ca="1" si="1725"/>
        <v>X</v>
      </c>
      <c r="KZ403" s="58" t="str">
        <f t="shared" ca="1" si="1726"/>
        <v>X</v>
      </c>
      <c r="LA403" s="58" t="str">
        <f t="shared" ca="1" si="1727"/>
        <v>X</v>
      </c>
      <c r="LB403" s="58" t="str">
        <f t="shared" ca="1" si="1728"/>
        <v>X</v>
      </c>
      <c r="LC403" s="58" t="str">
        <f t="shared" ca="1" si="1729"/>
        <v>X</v>
      </c>
      <c r="LD403" s="58" t="str">
        <f t="shared" ca="1" si="1730"/>
        <v>X</v>
      </c>
      <c r="LE403" s="58" t="str">
        <f t="shared" ca="1" si="1731"/>
        <v>X</v>
      </c>
      <c r="LF403" s="58" t="str">
        <f t="shared" ca="1" si="1732"/>
        <v>X</v>
      </c>
      <c r="LG403" s="58" t="str">
        <f t="shared" ca="1" si="1733"/>
        <v>X</v>
      </c>
      <c r="LH403" s="58" t="str">
        <f t="shared" ca="1" si="1734"/>
        <v>X</v>
      </c>
      <c r="LI403" s="58" t="str">
        <f t="shared" ca="1" si="1735"/>
        <v>X</v>
      </c>
      <c r="LJ403" s="58" t="str">
        <f t="shared" ca="1" si="1736"/>
        <v>X</v>
      </c>
      <c r="LK403" s="58" t="str">
        <f t="shared" ca="1" si="1737"/>
        <v>X</v>
      </c>
      <c r="LL403" s="58" t="str">
        <f t="shared" ca="1" si="1738"/>
        <v>X</v>
      </c>
      <c r="LM403" s="58" t="str">
        <f t="shared" ca="1" si="1739"/>
        <v>X</v>
      </c>
      <c r="LN403" s="58" t="str">
        <f t="shared" ca="1" si="1740"/>
        <v>X</v>
      </c>
      <c r="LO403" s="58" t="str">
        <f t="shared" ca="1" si="1741"/>
        <v>X</v>
      </c>
      <c r="LP403" s="58" t="str">
        <f t="shared" ca="1" si="1742"/>
        <v>X</v>
      </c>
      <c r="LQ403" s="58" t="str">
        <f t="shared" ca="1" si="1743"/>
        <v>X</v>
      </c>
      <c r="LR403" s="58" t="str">
        <f t="shared" ca="1" si="1744"/>
        <v>X</v>
      </c>
      <c r="LS403" s="58" t="str">
        <f t="shared" ca="1" si="1745"/>
        <v>X</v>
      </c>
      <c r="LT403" s="58" t="str">
        <f t="shared" ca="1" si="1746"/>
        <v>X</v>
      </c>
      <c r="LU403" s="58" t="str">
        <f t="shared" ca="1" si="1747"/>
        <v>X</v>
      </c>
      <c r="LV403" s="58" t="str">
        <f t="shared" ca="1" si="1748"/>
        <v>X</v>
      </c>
      <c r="LW403" s="58" t="str">
        <f t="shared" ca="1" si="1749"/>
        <v>X</v>
      </c>
      <c r="LX403" s="58" t="str">
        <f t="shared" ca="1" si="1750"/>
        <v>X</v>
      </c>
      <c r="LY403" s="58" t="str">
        <f t="shared" ca="1" si="1751"/>
        <v>X</v>
      </c>
      <c r="LZ403" s="58" t="str">
        <f t="shared" ca="1" si="1752"/>
        <v>X</v>
      </c>
      <c r="MA403" s="58" t="str">
        <f t="shared" ca="1" si="1753"/>
        <v>X</v>
      </c>
      <c r="MB403" s="58" t="str">
        <f t="shared" ca="1" si="1754"/>
        <v>X</v>
      </c>
      <c r="MC403" s="58" t="str">
        <f t="shared" ca="1" si="1755"/>
        <v>X</v>
      </c>
      <c r="MD403" s="58" t="str">
        <f t="shared" ca="1" si="1756"/>
        <v>X</v>
      </c>
      <c r="ME403" s="58" t="str">
        <f t="shared" ca="1" si="1757"/>
        <v>X</v>
      </c>
      <c r="MF403" s="58" t="str">
        <f t="shared" ca="1" si="1758"/>
        <v>X</v>
      </c>
      <c r="MG403" s="58" t="str">
        <f t="shared" ca="1" si="1759"/>
        <v>X</v>
      </c>
      <c r="MH403" s="58" t="str">
        <f t="shared" ca="1" si="1760"/>
        <v>X</v>
      </c>
      <c r="MI403" s="58" t="str">
        <f t="shared" ca="1" si="1761"/>
        <v>X</v>
      </c>
      <c r="MJ403" s="58" t="str">
        <f t="shared" ca="1" si="1762"/>
        <v>X</v>
      </c>
      <c r="MK403" s="58" t="str">
        <f t="shared" ca="1" si="1763"/>
        <v>X</v>
      </c>
      <c r="ML403" s="58" t="str">
        <f t="shared" ca="1" si="1764"/>
        <v>X</v>
      </c>
      <c r="MM403" s="58" t="str">
        <f t="shared" ca="1" si="1765"/>
        <v>X</v>
      </c>
      <c r="MN403" s="58" t="str">
        <f t="shared" ca="1" si="1766"/>
        <v>X</v>
      </c>
      <c r="MO403" s="58" t="str">
        <f t="shared" ca="1" si="1767"/>
        <v>X</v>
      </c>
      <c r="MP403" s="58" t="str">
        <f t="shared" ca="1" si="1768"/>
        <v>X</v>
      </c>
      <c r="MQ403" s="58" t="str">
        <f t="shared" ca="1" si="1769"/>
        <v>X</v>
      </c>
      <c r="MR403" s="58" t="str">
        <f t="shared" ca="1" si="1770"/>
        <v>X</v>
      </c>
      <c r="MS403" s="58" t="str">
        <f t="shared" ca="1" si="1771"/>
        <v>X</v>
      </c>
      <c r="MT403" s="58" t="str">
        <f t="shared" ref="MT403:NE403" ca="1" si="1796">IF($K403=INDIRECT(CONCATENATE("$AG$"&amp;GH$392)),INDIRECT(CONCATENATE("$AG$"&amp;GH$391)),
IF($K403=INDIRECT(CONCATENATE("$AF$"&amp;GH$392)),INDIRECT(CONCATENATE("$AF$"&amp;GH$391)),
IF($K403=INDIRECT(CONCATENATE("$AE$"&amp;GH$392)),INDIRECT(CONCATENATE("$AE$"&amp;GH$391)),
IF($K403=INDIRECT(CONCATENATE("$AD$"&amp;GH$392)),INDIRECT(CONCATENATE("$AD$"&amp;GH$391)),
IF($K403=INDIRECT(CONCATENATE("$AC$"&amp;GH$392)),INDIRECT(CONCATENATE("$AC$"&amp;GH$391)),
IF($K403=INDIRECT(CONCATENATE("$AB$"&amp;GH$392)),INDIRECT(CONCATENATE("$AB$"&amp;GH$391)),
IF($K403=INDIRECT(CONCATENATE("$AA$"&amp;GH$392)),INDIRECT(CONCATENATE("$AA$"&amp;GH$391)),
IF($K403=INDIRECT(CONCATENATE("$Z$"&amp;GH$392)),INDIRECT(CONCATENATE("$Z$"&amp;GH$391)),
IF($K403=INDIRECT(CONCATENATE("$Y$"&amp;GH$392)),INDIRECT(CONCATENATE("$Y$"&amp;GH$391)),
IF($K403=INDIRECT(CONCATENATE("$X$"&amp;GH$392)),INDIRECT(CONCATENATE("$X$"&amp;GH$391)),
IF($K403=INDIRECT(CONCATENATE("$W$"&amp;GH$392)),INDIRECT(CONCATENATE("$W$"&amp;GH$391)),
IF($K403=INDIRECT(CONCATENATE("$V$"&amp;GH$392)),INDIRECT(CONCATENATE("$V$"&amp;GH$391)),
IF($K403=INDIRECT(CONCATENATE("$U$"&amp;GH$392)),INDIRECT(CONCATENATE("$U$"&amp;GH$391)),
IF($K403=INDIRECT(CONCATENATE("$T$"&amp;GH$392)),INDIRECT(CONCATENATE("$T$"&amp;GH$391)),
IF($K403=INDIRECT(CONCATENATE("$S$"&amp;GH$392)),INDIRECT(CONCATENATE("$S$"&amp;GH$391)),
IF($K403=INDIRECT(CONCATENATE("$R$"&amp;GH$392)),INDIRECT(CONCATENATE("$R$"&amp;GH$391)),
IF($K403=INDIRECT(CONCATENATE("$Q$"&amp;GH$392)),INDIRECT(CONCATENATE("$Q$"&amp;GH$391)),
IF($K403=INDIRECT(CONCATENATE("$P$"&amp;GH$392)),INDIRECT(CONCATENATE("$P$"&amp;GH$391)),
IF($K403=INDIRECT(CONCATENATE("$O$"&amp;GH$392)),INDIRECT(CONCATENATE("$O$"&amp;GH$391)),
IF($K403=INDIRECT(CONCATENATE("$N$"&amp;GH$392)),INDIRECT(CONCATENATE("$N$"&amp;GH$391)),
IF($K403=INDIRECT(CONCATENATE("$M$"&amp;GH$392)),INDIRECT(CONCATENATE("$M$"&amp;GH$391)),
IF($K403=INDIRECT(CONCATENATE("$L$"&amp;GH$392)),INDIRECT(CONCATENATE("$L$"&amp;GH$391)),
IF($K403=INDIRECT(CONCATENATE("$K$"&amp;GH$392)),INDIRECT(CONCATENATE("$K$"&amp;GH$391)),
IF($K403=INDIRECT(CONCATENATE("$J$"&amp;GH$392)),INDIRECT(CONCATENATE("$J$"&amp;GH$391)),
IF($K403=INDIRECT(CONCATENATE("$I$"&amp;GH$392)),INDIRECT(CONCATENATE("$I$"&amp;GH$391)),
IF($K403=INDIRECT(CONCATENATE("$H$"&amp;GH$392)),INDIRECT(CONCATENATE("$H$"&amp;GH$391)),
IF($K403=INDIRECT(CONCATENATE("$G$"&amp;GH$392)),INDIRECT(CONCATENATE("$G$"&amp;GH$391)),
IF($K403=INDIRECT(CONCATENATE("$F$"&amp;GH$392)),INDIRECT(CONCATENATE("$F$"&amp;GH$391)),
IF($K403=INDIRECT(CONCATENATE("$E$"&amp;GH$392)),INDIRECT(CONCATENATE("$E$"&amp;GH$391)),
IF($K403=INDIRECT(CONCATENATE("$D$"&amp;GH$392)),INDIRECT(CONCATENATE("$D$"&amp;GH$391)),
IF($K403=INDIRECT(CONCATENATE("$C$"&amp;GH$392)),INDIRECT(CONCATENATE("$C$"&amp;GH$391)),"X")))))))))))))))))))))))))))))))</f>
        <v>X</v>
      </c>
      <c r="MU403" s="58" t="str">
        <f t="shared" ca="1" si="1796"/>
        <v>X</v>
      </c>
      <c r="MV403" s="58" t="str">
        <f t="shared" ca="1" si="1796"/>
        <v>X</v>
      </c>
      <c r="MW403" s="58" t="str">
        <f t="shared" ca="1" si="1796"/>
        <v>X</v>
      </c>
      <c r="MX403" s="58" t="str">
        <f t="shared" ca="1" si="1796"/>
        <v>X</v>
      </c>
      <c r="MY403" s="58" t="str">
        <f t="shared" ca="1" si="1796"/>
        <v>X</v>
      </c>
      <c r="MZ403" s="58" t="str">
        <f t="shared" ca="1" si="1796"/>
        <v>X</v>
      </c>
      <c r="NA403" s="58" t="str">
        <f t="shared" ca="1" si="1796"/>
        <v>X</v>
      </c>
      <c r="NB403" s="58" t="str">
        <f t="shared" ca="1" si="1796"/>
        <v>X</v>
      </c>
      <c r="NC403" s="58" t="str">
        <f t="shared" ca="1" si="1796"/>
        <v>X</v>
      </c>
      <c r="ND403" s="58" t="str">
        <f t="shared" ca="1" si="1796"/>
        <v>X</v>
      </c>
      <c r="NE403" s="58" t="str">
        <f t="shared" ca="1" si="1796"/>
        <v>X</v>
      </c>
      <c r="NF403" s="58" t="str">
        <f t="shared" ca="1" si="1773"/>
        <v>X</v>
      </c>
      <c r="NG403" s="58" t="str">
        <f t="shared" ca="1" si="1774"/>
        <v>X</v>
      </c>
    </row>
    <row r="404" spans="1:371" ht="18" customHeight="1">
      <c r="A404" s="241" t="s">
        <v>97</v>
      </c>
      <c r="B404" s="304"/>
      <c r="C404" s="304"/>
      <c r="D404" s="304"/>
      <c r="E404" s="304"/>
      <c r="F404" s="304"/>
      <c r="G404" s="304"/>
      <c r="H404" s="304"/>
      <c r="I404" s="304"/>
      <c r="J404" s="303"/>
      <c r="K404" s="237" t="s">
        <v>36</v>
      </c>
      <c r="L404" s="303"/>
      <c r="M404" s="60">
        <v>162</v>
      </c>
      <c r="N404" s="225" t="s">
        <v>86</v>
      </c>
      <c r="O404" s="304"/>
      <c r="P404" s="304"/>
      <c r="Q404" s="304"/>
      <c r="R404" s="303"/>
      <c r="S404" s="226">
        <v>101706</v>
      </c>
      <c r="T404" s="304"/>
      <c r="U404" s="303"/>
      <c r="V404" s="227" t="s">
        <v>87</v>
      </c>
      <c r="W404" s="303"/>
      <c r="X404" s="56">
        <f t="shared" ca="1" si="1775"/>
        <v>46122</v>
      </c>
      <c r="Y404" s="56">
        <f t="shared" ca="1" si="1776"/>
        <v>46213</v>
      </c>
      <c r="Z404" s="228" t="str">
        <f t="shared" ca="1" si="1612"/>
        <v>CONCLUÍDA</v>
      </c>
      <c r="AA404" s="304"/>
      <c r="AB404" s="303"/>
      <c r="AC404" s="224">
        <f t="shared" si="1777"/>
        <v>162</v>
      </c>
      <c r="AD404" s="303"/>
      <c r="AE404" s="229">
        <f t="shared" si="1778"/>
        <v>0</v>
      </c>
      <c r="AF404" s="303"/>
      <c r="AG404" s="57" t="str">
        <f t="shared" si="1615"/>
        <v>OK</v>
      </c>
      <c r="AH404" s="21"/>
      <c r="AI404" s="70"/>
      <c r="AJ404" s="58" t="str">
        <f t="shared" ref="AJ404:GT405" ca="1" si="1797">IF($K404=INDIRECT(CONCATENATE("$C$"&amp;AJ$392)), INDIRECT(CONCATENATE("$C$"&amp;AJ$391)),
IF($K404=INDIRECT(CONCATENATE("$D$"&amp;AJ$392)), INDIRECT(CONCATENATE("$D$"&amp;AJ$391)),
IF($K404=INDIRECT(CONCATENATE("$E$"&amp;AJ$392)), INDIRECT(CONCATENATE("$E$"&amp;AJ$391)),
IF($K404=INDIRECT(CONCATENATE("$F$"&amp;AJ$392)), INDIRECT(CONCATENATE("$F$"&amp;AJ$391)),
IF($K404=INDIRECT(CONCATENATE("$G$"&amp;AJ$392)), INDIRECT(CONCATENATE("$G$"&amp;AJ$391)),
IF($K404=INDIRECT(CONCATENATE("$H$"&amp;AJ$392)), INDIRECT(CONCATENATE("$H$"&amp;AJ$391)),
IF($K404=INDIRECT(CONCATENATE("$I$"&amp;AJ$392)), INDIRECT(CONCATENATE("$I$"&amp;AJ$391)),
IF($K404=INDIRECT(CONCATENATE("$J$"&amp;AJ$392)), INDIRECT(CONCATENATE("$J$"&amp;AJ$391)),
IF($K404=INDIRECT(CONCATENATE("$K$"&amp;AJ$392)), INDIRECT(CONCATENATE("$K$"&amp;AJ$391)),
IF($K404=INDIRECT(CONCATENATE("$L$"&amp;AJ$392)), INDIRECT(CONCATENATE("$L$"&amp;AJ$391)),
IF($K404=INDIRECT(CONCATENATE("$M$"&amp;AJ$392)), INDIRECT(CONCATENATE("$M$"&amp;AJ$391)),
IF($K404=INDIRECT(CONCATENATE("$N$"&amp;AJ$392)), INDIRECT(CONCATENATE("$N$"&amp;AJ$391)),
IF($K404=INDIRECT(CONCATENATE("$O$"&amp;AJ$392)), INDIRECT(CONCATENATE("$O$"&amp;AJ$391)),
IF($K404=INDIRECT(CONCATENATE("$P$"&amp;AJ$392)), INDIRECT(CONCATENATE("$P$"&amp;AJ$391)),
IF($K404=INDIRECT(CONCATENATE("$Q$"&amp;AJ$392)), INDIRECT(CONCATENATE("$Q$"&amp;AJ$391)),
IF($K404=INDIRECT(CONCATENATE("$R$"&amp;AJ$392)), INDIRECT(CONCATENATE("$R$"&amp;AJ$391)),
IF($K404=INDIRECT(CONCATENATE("$S$"&amp;AJ$392)), INDIRECT(CONCATENATE("$S$"&amp;AJ$391)),
IF($K404=INDIRECT(CONCATENATE("$T$"&amp;AJ$392)), INDIRECT(CONCATENATE("$T$"&amp;AJ$391)),
IF($K404=INDIRECT(CONCATENATE("$U$"&amp;AJ$392)), INDIRECT(CONCATENATE("$U$"&amp;AJ$391)),
IF($K404=INDIRECT(CONCATENATE("$V$"&amp;AJ$392)), INDIRECT(CONCATENATE("$V$"&amp;AJ$391)),
IF($K404=INDIRECT(CONCATENATE("$W$"&amp;AJ$392)), INDIRECT(CONCATENATE("$W$"&amp;AJ$391)),
IF($K404=INDIRECT(CONCATENATE("$X$"&amp;AJ$392)), INDIRECT(CONCATENATE("$X$"&amp;AJ$391)),
IF($K404=INDIRECT(CONCATENATE("$Y$"&amp;AJ$392)), INDIRECT(CONCATENATE("$Y$"&amp;AJ$391)),
IF($K404=INDIRECT(CONCATENATE("$Z$"&amp;AJ$392)), INDIRECT(CONCATENATE("$Z$"&amp;AJ$391)),
IF($K404=INDIRECT(CONCATENATE("$AA$"&amp;AJ$392)), INDIRECT(CONCATENATE("$AA$"&amp;AJ$391)),
IF($K404=INDIRECT(CONCATENATE("$AB$"&amp;AJ$392)), INDIRECT(CONCATENATE("$AB$"&amp;AJ$391)),
IF($K404=INDIRECT(CONCATENATE("$AC$"&amp;AJ$392)), INDIRECT(CONCATENATE("$AC$"&amp;AJ$391)),
IF($K404=INDIRECT(CONCATENATE("$AD$"&amp;AJ$392)), INDIRECT(CONCATENATE("$AD$"&amp;AJ$391)),
IF($K404=INDIRECT(CONCATENATE("$AE$"&amp;AJ$392)), INDIRECT(CONCATENATE("$AE$"&amp;AJ$391)),
IF($K404=INDIRECT(CONCATENATE("$AF$"&amp;AJ$392)), INDIRECT(CONCATENATE("$AF$"&amp;AJ$391)),
IF($K404=INDIRECT(CONCATENATE("$AG$"&amp;AJ$392)), INDIRECT(CONCATENATE("$AG$"&amp;AJ$391)),"X")))))))))))))))))))))))))))))))</f>
        <v>X</v>
      </c>
      <c r="AK404" s="58" t="str">
        <f t="shared" ca="1" si="1797"/>
        <v>X</v>
      </c>
      <c r="AL404" s="58" t="str">
        <f t="shared" ca="1" si="1797"/>
        <v>X</v>
      </c>
      <c r="AM404" s="58" t="str">
        <f t="shared" ca="1" si="1797"/>
        <v>X</v>
      </c>
      <c r="AN404" s="58" t="str">
        <f t="shared" ca="1" si="1797"/>
        <v>X</v>
      </c>
      <c r="AO404" s="58" t="str">
        <f t="shared" ca="1" si="1797"/>
        <v>X</v>
      </c>
      <c r="AP404" s="58" t="str">
        <f t="shared" ca="1" si="1797"/>
        <v>X</v>
      </c>
      <c r="AQ404" s="58" t="str">
        <f t="shared" ca="1" si="1797"/>
        <v>X</v>
      </c>
      <c r="AR404" s="58" t="str">
        <f t="shared" ca="1" si="1797"/>
        <v>X</v>
      </c>
      <c r="AS404" s="58" t="str">
        <f t="shared" ca="1" si="1797"/>
        <v>X</v>
      </c>
      <c r="AT404" s="58" t="str">
        <f t="shared" ca="1" si="1797"/>
        <v>X</v>
      </c>
      <c r="AU404" s="58" t="str">
        <f t="shared" ca="1" si="1797"/>
        <v>X</v>
      </c>
      <c r="AV404" s="58" t="str">
        <f t="shared" ca="1" si="1797"/>
        <v>X</v>
      </c>
      <c r="AW404" s="58" t="str">
        <f t="shared" ca="1" si="1797"/>
        <v>X</v>
      </c>
      <c r="AX404" s="58" t="str">
        <f t="shared" ca="1" si="1797"/>
        <v>X</v>
      </c>
      <c r="AY404" s="58" t="str">
        <f t="shared" ca="1" si="1797"/>
        <v>X</v>
      </c>
      <c r="AZ404" s="58" t="str">
        <f t="shared" ca="1" si="1797"/>
        <v>X</v>
      </c>
      <c r="BA404" s="58" t="str">
        <f t="shared" ca="1" si="1797"/>
        <v>X</v>
      </c>
      <c r="BB404" s="58" t="str">
        <f t="shared" ca="1" si="1797"/>
        <v>X</v>
      </c>
      <c r="BC404" s="58" t="str">
        <f t="shared" ca="1" si="1797"/>
        <v>X</v>
      </c>
      <c r="BD404" s="58" t="str">
        <f t="shared" ca="1" si="1797"/>
        <v>X</v>
      </c>
      <c r="BE404" s="58" t="str">
        <f t="shared" ca="1" si="1797"/>
        <v>X</v>
      </c>
      <c r="BF404" s="58" t="str">
        <f t="shared" ca="1" si="1797"/>
        <v>X</v>
      </c>
      <c r="BG404" s="58" t="str">
        <f t="shared" ca="1" si="1797"/>
        <v>X</v>
      </c>
      <c r="BH404" s="58" t="str">
        <f t="shared" ca="1" si="1797"/>
        <v>X</v>
      </c>
      <c r="BI404" s="58" t="str">
        <f t="shared" ca="1" si="1797"/>
        <v>X</v>
      </c>
      <c r="BJ404" s="58" t="str">
        <f t="shared" ca="1" si="1797"/>
        <v>X</v>
      </c>
      <c r="BK404" s="58" t="str">
        <f t="shared" ca="1" si="1797"/>
        <v>X</v>
      </c>
      <c r="BL404" s="58" t="str">
        <f t="shared" ca="1" si="1797"/>
        <v>X</v>
      </c>
      <c r="BM404" s="58" t="str">
        <f t="shared" ca="1" si="1797"/>
        <v>X</v>
      </c>
      <c r="BN404" s="58" t="str">
        <f t="shared" ca="1" si="1797"/>
        <v>X</v>
      </c>
      <c r="BO404" s="58" t="str">
        <f t="shared" ca="1" si="1797"/>
        <v>X</v>
      </c>
      <c r="BP404" s="58" t="str">
        <f t="shared" ca="1" si="1797"/>
        <v>X</v>
      </c>
      <c r="BQ404" s="58" t="str">
        <f t="shared" ca="1" si="1797"/>
        <v>X</v>
      </c>
      <c r="BR404" s="58" t="str">
        <f t="shared" ca="1" si="1797"/>
        <v>X</v>
      </c>
      <c r="BS404" s="58" t="str">
        <f t="shared" ca="1" si="1797"/>
        <v>X</v>
      </c>
      <c r="BT404" s="58" t="str">
        <f t="shared" ca="1" si="1797"/>
        <v>X</v>
      </c>
      <c r="BU404" s="58" t="str">
        <f t="shared" ca="1" si="1797"/>
        <v>X</v>
      </c>
      <c r="BV404" s="58" t="str">
        <f t="shared" ca="1" si="1797"/>
        <v>X</v>
      </c>
      <c r="BW404" s="58" t="str">
        <f t="shared" ca="1" si="1797"/>
        <v>X</v>
      </c>
      <c r="BX404" s="58" t="str">
        <f t="shared" ca="1" si="1797"/>
        <v>X</v>
      </c>
      <c r="BY404" s="58" t="str">
        <f t="shared" ca="1" si="1797"/>
        <v>X</v>
      </c>
      <c r="BZ404" s="58" t="str">
        <f t="shared" ca="1" si="1797"/>
        <v>X</v>
      </c>
      <c r="CA404" s="58" t="str">
        <f t="shared" ca="1" si="1797"/>
        <v>X</v>
      </c>
      <c r="CB404" s="58" t="str">
        <f t="shared" ca="1" si="1797"/>
        <v>X</v>
      </c>
      <c r="CC404" s="58" t="str">
        <f t="shared" ca="1" si="1797"/>
        <v>X</v>
      </c>
      <c r="CD404" s="58" t="str">
        <f t="shared" ca="1" si="1797"/>
        <v>X</v>
      </c>
      <c r="CE404" s="58">
        <f t="shared" ca="1" si="1797"/>
        <v>46122</v>
      </c>
      <c r="CF404" s="58">
        <f t="shared" ca="1" si="1797"/>
        <v>46122</v>
      </c>
      <c r="CG404" s="58">
        <f t="shared" ca="1" si="1797"/>
        <v>46122</v>
      </c>
      <c r="CH404" s="58">
        <f t="shared" ca="1" si="1797"/>
        <v>46122</v>
      </c>
      <c r="CI404" s="58" t="str">
        <f t="shared" ca="1" si="1797"/>
        <v>X</v>
      </c>
      <c r="CJ404" s="58" t="str">
        <f t="shared" ca="1" si="1797"/>
        <v>X</v>
      </c>
      <c r="CK404" s="58" t="str">
        <f t="shared" ca="1" si="1797"/>
        <v>X</v>
      </c>
      <c r="CL404" s="58" t="str">
        <f t="shared" ca="1" si="1797"/>
        <v>X</v>
      </c>
      <c r="CM404" s="58" t="str">
        <f t="shared" ca="1" si="1797"/>
        <v>X</v>
      </c>
      <c r="CN404" s="58" t="str">
        <f t="shared" ca="1" si="1797"/>
        <v>X</v>
      </c>
      <c r="CO404" s="58" t="str">
        <f t="shared" ca="1" si="1797"/>
        <v>X</v>
      </c>
      <c r="CP404" s="58" t="str">
        <f t="shared" ca="1" si="1797"/>
        <v>X</v>
      </c>
      <c r="CQ404" s="58" t="str">
        <f t="shared" ca="1" si="1797"/>
        <v>X</v>
      </c>
      <c r="CR404" s="58" t="str">
        <f t="shared" ca="1" si="1797"/>
        <v>X</v>
      </c>
      <c r="CS404" s="58">
        <f t="shared" ca="1" si="1797"/>
        <v>46146</v>
      </c>
      <c r="CT404" s="58">
        <f t="shared" ca="1" si="1797"/>
        <v>46146</v>
      </c>
      <c r="CU404" s="58">
        <f t="shared" ca="1" si="1797"/>
        <v>46146</v>
      </c>
      <c r="CV404" s="58">
        <f t="shared" ca="1" si="1797"/>
        <v>46146</v>
      </c>
      <c r="CW404" s="58" t="str">
        <f t="shared" ca="1" si="1797"/>
        <v>X</v>
      </c>
      <c r="CX404" s="58" t="str">
        <f t="shared" ca="1" si="1797"/>
        <v>X</v>
      </c>
      <c r="CY404" s="58" t="str">
        <f t="shared" ca="1" si="1797"/>
        <v>X</v>
      </c>
      <c r="CZ404" s="58" t="str">
        <f t="shared" ca="1" si="1797"/>
        <v>X</v>
      </c>
      <c r="DA404" s="58" t="str">
        <f t="shared" ca="1" si="1797"/>
        <v>X</v>
      </c>
      <c r="DB404" s="58" t="str">
        <f t="shared" ca="1" si="1797"/>
        <v>X</v>
      </c>
      <c r="DC404" s="58" t="str">
        <f t="shared" ca="1" si="1797"/>
        <v>X</v>
      </c>
      <c r="DD404" s="58" t="str">
        <f t="shared" ca="1" si="1797"/>
        <v>X</v>
      </c>
      <c r="DE404" s="58" t="str">
        <f t="shared" ca="1" si="1797"/>
        <v>X</v>
      </c>
      <c r="DF404" s="58" t="str">
        <f t="shared" ca="1" si="1797"/>
        <v>X</v>
      </c>
      <c r="DG404" s="58">
        <f t="shared" ca="1" si="1797"/>
        <v>46174</v>
      </c>
      <c r="DH404" s="58">
        <f t="shared" ca="1" si="1797"/>
        <v>46174</v>
      </c>
      <c r="DI404" s="58">
        <f t="shared" ca="1" si="1797"/>
        <v>46174</v>
      </c>
      <c r="DJ404" s="58">
        <f t="shared" ca="1" si="1797"/>
        <v>46174</v>
      </c>
      <c r="DK404" s="58" t="str">
        <f t="shared" ca="1" si="1797"/>
        <v>X</v>
      </c>
      <c r="DL404" s="58" t="str">
        <f t="shared" ca="1" si="1797"/>
        <v>X</v>
      </c>
      <c r="DM404" s="58" t="str">
        <f t="shared" ca="1" si="1797"/>
        <v>X</v>
      </c>
      <c r="DN404" s="58" t="str">
        <f t="shared" ca="1" si="1797"/>
        <v>X</v>
      </c>
      <c r="DO404" s="58" t="str">
        <f t="shared" ca="1" si="1797"/>
        <v>X</v>
      </c>
      <c r="DP404" s="58" t="str">
        <f t="shared" ca="1" si="1797"/>
        <v>X</v>
      </c>
      <c r="DQ404" s="58" t="str">
        <f t="shared" ca="1" si="1797"/>
        <v>X</v>
      </c>
      <c r="DR404" s="58" t="str">
        <f t="shared" ca="1" si="1797"/>
        <v>X</v>
      </c>
      <c r="DS404" s="58" t="str">
        <f t="shared" ca="1" si="1797"/>
        <v>X</v>
      </c>
      <c r="DT404" s="58" t="str">
        <f t="shared" ca="1" si="1797"/>
        <v>X</v>
      </c>
      <c r="DU404" s="58">
        <f t="shared" ca="1" si="1797"/>
        <v>46204</v>
      </c>
      <c r="DV404" s="58">
        <f t="shared" ca="1" si="1797"/>
        <v>46204</v>
      </c>
      <c r="DW404" s="58">
        <f t="shared" ca="1" si="1797"/>
        <v>46204</v>
      </c>
      <c r="DX404" s="58">
        <f t="shared" ca="1" si="1797"/>
        <v>46204</v>
      </c>
      <c r="DY404" s="58" t="str">
        <f t="shared" ca="1" si="1797"/>
        <v>X</v>
      </c>
      <c r="DZ404" s="58" t="str">
        <f t="shared" ca="1" si="1797"/>
        <v>X</v>
      </c>
      <c r="EA404" s="58" t="str">
        <f t="shared" ca="1" si="1797"/>
        <v>X</v>
      </c>
      <c r="EB404" s="58" t="str">
        <f t="shared" ca="1" si="1797"/>
        <v>X</v>
      </c>
      <c r="EC404" s="58" t="str">
        <f t="shared" ca="1" si="1797"/>
        <v>X</v>
      </c>
      <c r="ED404" s="58" t="str">
        <f t="shared" ca="1" si="1797"/>
        <v>X</v>
      </c>
      <c r="EE404" s="58" t="str">
        <f t="shared" ca="1" si="1797"/>
        <v>X</v>
      </c>
      <c r="EF404" s="58" t="str">
        <f t="shared" ca="1" si="1797"/>
        <v>X</v>
      </c>
      <c r="EG404" s="58" t="str">
        <f t="shared" ca="1" si="1797"/>
        <v>X</v>
      </c>
      <c r="EH404" s="58" t="str">
        <f t="shared" ca="1" si="1797"/>
        <v>X</v>
      </c>
      <c r="EI404" s="58" t="str">
        <f t="shared" ca="1" si="1797"/>
        <v>X</v>
      </c>
      <c r="EJ404" s="58" t="str">
        <f t="shared" ca="1" si="1797"/>
        <v>X</v>
      </c>
      <c r="EK404" s="58" t="str">
        <f t="shared" ca="1" si="1797"/>
        <v>X</v>
      </c>
      <c r="EL404" s="58" t="str">
        <f t="shared" ca="1" si="1797"/>
        <v>X</v>
      </c>
      <c r="EM404" s="58" t="str">
        <f t="shared" ca="1" si="1797"/>
        <v>X</v>
      </c>
      <c r="EN404" s="58" t="str">
        <f t="shared" ca="1" si="1797"/>
        <v>X</v>
      </c>
      <c r="EO404" s="58" t="str">
        <f t="shared" ca="1" si="1797"/>
        <v>X</v>
      </c>
      <c r="EP404" s="58" t="str">
        <f t="shared" ca="1" si="1797"/>
        <v>X</v>
      </c>
      <c r="EQ404" s="58" t="str">
        <f t="shared" ca="1" si="1797"/>
        <v>X</v>
      </c>
      <c r="ER404" s="58" t="str">
        <f t="shared" ca="1" si="1797"/>
        <v>X</v>
      </c>
      <c r="ES404" s="58" t="str">
        <f t="shared" ca="1" si="1797"/>
        <v>X</v>
      </c>
      <c r="ET404" s="58" t="str">
        <f t="shared" ca="1" si="1797"/>
        <v>X</v>
      </c>
      <c r="EU404" s="58" t="str">
        <f t="shared" ca="1" si="1797"/>
        <v>X</v>
      </c>
      <c r="EV404" s="58" t="str">
        <f t="shared" ca="1" si="1797"/>
        <v>X</v>
      </c>
      <c r="EW404" s="58" t="str">
        <f t="shared" ca="1" si="1797"/>
        <v>X</v>
      </c>
      <c r="EX404" s="58" t="str">
        <f t="shared" ca="1" si="1797"/>
        <v>X</v>
      </c>
      <c r="EY404" s="58" t="str">
        <f t="shared" ca="1" si="1797"/>
        <v>X</v>
      </c>
      <c r="EZ404" s="58" t="str">
        <f t="shared" ca="1" si="1797"/>
        <v>X</v>
      </c>
      <c r="FA404" s="58" t="str">
        <f t="shared" ca="1" si="1797"/>
        <v>X</v>
      </c>
      <c r="FB404" s="58" t="str">
        <f t="shared" ca="1" si="1797"/>
        <v>X</v>
      </c>
      <c r="FC404" s="58" t="str">
        <f t="shared" ca="1" si="1797"/>
        <v>X</v>
      </c>
      <c r="FD404" s="58" t="str">
        <f t="shared" ca="1" si="1797"/>
        <v>X</v>
      </c>
      <c r="FE404" s="58" t="str">
        <f t="shared" ca="1" si="1797"/>
        <v>X</v>
      </c>
      <c r="FF404" s="58" t="str">
        <f t="shared" ca="1" si="1797"/>
        <v>X</v>
      </c>
      <c r="FG404" s="58" t="str">
        <f t="shared" ca="1" si="1797"/>
        <v>X</v>
      </c>
      <c r="FH404" s="58" t="str">
        <f t="shared" ca="1" si="1797"/>
        <v>X</v>
      </c>
      <c r="FI404" s="58" t="str">
        <f t="shared" ca="1" si="1797"/>
        <v>X</v>
      </c>
      <c r="FJ404" s="58" t="str">
        <f t="shared" ca="1" si="1797"/>
        <v>X</v>
      </c>
      <c r="FK404" s="58" t="str">
        <f t="shared" ca="1" si="1797"/>
        <v>X</v>
      </c>
      <c r="FL404" s="58" t="str">
        <f t="shared" ca="1" si="1797"/>
        <v>X</v>
      </c>
      <c r="FM404" s="58" t="str">
        <f t="shared" ca="1" si="1797"/>
        <v>X</v>
      </c>
      <c r="FN404" s="58" t="str">
        <f t="shared" ca="1" si="1797"/>
        <v>X</v>
      </c>
      <c r="FO404" s="58" t="str">
        <f t="shared" ca="1" si="1797"/>
        <v>X</v>
      </c>
      <c r="FP404" s="58" t="str">
        <f t="shared" ca="1" si="1797"/>
        <v>X</v>
      </c>
      <c r="FQ404" s="58" t="str">
        <f t="shared" ca="1" si="1797"/>
        <v>X</v>
      </c>
      <c r="FR404" s="58" t="str">
        <f t="shared" ca="1" si="1797"/>
        <v>X</v>
      </c>
      <c r="FS404" s="58" t="str">
        <f t="shared" ca="1" si="1797"/>
        <v>X</v>
      </c>
      <c r="FT404" s="58" t="str">
        <f t="shared" ca="1" si="1797"/>
        <v>X</v>
      </c>
      <c r="FU404" s="58" t="str">
        <f t="shared" ca="1" si="1797"/>
        <v>X</v>
      </c>
      <c r="FV404" s="58" t="str">
        <f t="shared" ca="1" si="1797"/>
        <v>X</v>
      </c>
      <c r="FW404" s="58" t="str">
        <f t="shared" ca="1" si="1797"/>
        <v>X</v>
      </c>
      <c r="FX404" s="58" t="str">
        <f t="shared" ca="1" si="1797"/>
        <v>X</v>
      </c>
      <c r="FY404" s="58" t="str">
        <f t="shared" ca="1" si="1797"/>
        <v>X</v>
      </c>
      <c r="FZ404" s="58" t="str">
        <f t="shared" ca="1" si="1797"/>
        <v>X</v>
      </c>
      <c r="GA404" s="58" t="str">
        <f t="shared" ca="1" si="1797"/>
        <v>X</v>
      </c>
      <c r="GB404" s="58" t="str">
        <f t="shared" ca="1" si="1797"/>
        <v>X</v>
      </c>
      <c r="GC404" s="58" t="str">
        <f t="shared" ca="1" si="1797"/>
        <v>X</v>
      </c>
      <c r="GD404" s="58" t="str">
        <f t="shared" ca="1" si="1797"/>
        <v>X</v>
      </c>
      <c r="GE404" s="58" t="str">
        <f t="shared" ca="1" si="1797"/>
        <v>X</v>
      </c>
      <c r="GF404" s="58" t="str">
        <f t="shared" ca="1" si="1797"/>
        <v>X</v>
      </c>
      <c r="GG404" s="58" t="str">
        <f t="shared" ca="1" si="1797"/>
        <v>X</v>
      </c>
      <c r="GH404" s="58" t="str">
        <f t="shared" ca="1" si="1797"/>
        <v>X</v>
      </c>
      <c r="GI404" s="58" t="str">
        <f t="shared" ca="1" si="1797"/>
        <v>X</v>
      </c>
      <c r="GJ404" s="58" t="str">
        <f t="shared" ca="1" si="1797"/>
        <v>X</v>
      </c>
      <c r="GK404" s="58" t="str">
        <f t="shared" ca="1" si="1797"/>
        <v>X</v>
      </c>
      <c r="GL404" s="58" t="str">
        <f t="shared" ca="1" si="1797"/>
        <v>X</v>
      </c>
      <c r="GM404" s="58" t="str">
        <f t="shared" ca="1" si="1797"/>
        <v>X</v>
      </c>
      <c r="GN404" s="58" t="str">
        <f t="shared" ca="1" si="1797"/>
        <v>X</v>
      </c>
      <c r="GO404" s="58" t="str">
        <f t="shared" ca="1" si="1797"/>
        <v>X</v>
      </c>
      <c r="GP404" s="58" t="str">
        <f t="shared" ca="1" si="1797"/>
        <v>X</v>
      </c>
      <c r="GQ404" s="58" t="str">
        <f t="shared" ca="1" si="1797"/>
        <v>X</v>
      </c>
      <c r="GR404" s="58" t="str">
        <f t="shared" ca="1" si="1797"/>
        <v>X</v>
      </c>
      <c r="GS404" s="80" t="str">
        <f t="shared" ca="1" si="1797"/>
        <v>X</v>
      </c>
      <c r="GT404" s="58" t="str">
        <f t="shared" ca="1" si="1797"/>
        <v>X</v>
      </c>
      <c r="GU404" s="82" t="str">
        <f t="shared" ca="1" si="1617"/>
        <v>X</v>
      </c>
      <c r="GV404" s="58" t="str">
        <f t="shared" ca="1" si="1618"/>
        <v>X</v>
      </c>
      <c r="GW404" s="58" t="str">
        <f t="shared" ca="1" si="1619"/>
        <v>X</v>
      </c>
      <c r="GX404" s="58" t="str">
        <f t="shared" ca="1" si="1620"/>
        <v>X</v>
      </c>
      <c r="GY404" s="58" t="str">
        <f t="shared" ca="1" si="1621"/>
        <v>X</v>
      </c>
      <c r="GZ404" s="58" t="str">
        <f t="shared" ca="1" si="1622"/>
        <v>X</v>
      </c>
      <c r="HA404" s="58" t="str">
        <f t="shared" ca="1" si="1623"/>
        <v>X</v>
      </c>
      <c r="HB404" s="58" t="str">
        <f t="shared" ca="1" si="1624"/>
        <v>X</v>
      </c>
      <c r="HC404" s="58" t="str">
        <f t="shared" ca="1" si="1625"/>
        <v>X</v>
      </c>
      <c r="HD404" s="58" t="str">
        <f t="shared" ca="1" si="1626"/>
        <v>X</v>
      </c>
      <c r="HE404" s="58" t="str">
        <f t="shared" ca="1" si="1627"/>
        <v>X</v>
      </c>
      <c r="HF404" s="58" t="str">
        <f t="shared" ca="1" si="1628"/>
        <v>X</v>
      </c>
      <c r="HG404" s="58" t="str">
        <f t="shared" ca="1" si="1629"/>
        <v>X</v>
      </c>
      <c r="HH404" s="58" t="str">
        <f t="shared" ca="1" si="1630"/>
        <v>X</v>
      </c>
      <c r="HI404" s="58" t="str">
        <f t="shared" ca="1" si="1631"/>
        <v>X</v>
      </c>
      <c r="HJ404" s="58" t="str">
        <f t="shared" ca="1" si="1632"/>
        <v>X</v>
      </c>
      <c r="HK404" s="58" t="str">
        <f t="shared" ca="1" si="1633"/>
        <v>X</v>
      </c>
      <c r="HL404" s="58" t="str">
        <f t="shared" ca="1" si="1634"/>
        <v>X</v>
      </c>
      <c r="HM404" s="58" t="str">
        <f t="shared" ca="1" si="1635"/>
        <v>X</v>
      </c>
      <c r="HN404" s="58" t="str">
        <f t="shared" ca="1" si="1636"/>
        <v>X</v>
      </c>
      <c r="HO404" s="58" t="str">
        <f t="shared" ca="1" si="1637"/>
        <v>X</v>
      </c>
      <c r="HP404" s="58" t="str">
        <f t="shared" ca="1" si="1638"/>
        <v>X</v>
      </c>
      <c r="HQ404" s="58" t="str">
        <f t="shared" ca="1" si="1639"/>
        <v>X</v>
      </c>
      <c r="HR404" s="58" t="str">
        <f t="shared" ca="1" si="1640"/>
        <v>X</v>
      </c>
      <c r="HS404" s="58" t="str">
        <f t="shared" ca="1" si="1641"/>
        <v>X</v>
      </c>
      <c r="HT404" s="58" t="str">
        <f t="shared" ca="1" si="1642"/>
        <v>X</v>
      </c>
      <c r="HU404" s="58" t="str">
        <f t="shared" ca="1" si="1643"/>
        <v>X</v>
      </c>
      <c r="HV404" s="58" t="str">
        <f t="shared" ca="1" si="1644"/>
        <v>X</v>
      </c>
      <c r="HW404" s="58" t="str">
        <f t="shared" ca="1" si="1645"/>
        <v>X</v>
      </c>
      <c r="HX404" s="58" t="str">
        <f t="shared" ca="1" si="1646"/>
        <v>X</v>
      </c>
      <c r="HY404" s="58" t="str">
        <f t="shared" ca="1" si="1647"/>
        <v>X</v>
      </c>
      <c r="HZ404" s="58" t="str">
        <f t="shared" ca="1" si="1648"/>
        <v>X</v>
      </c>
      <c r="IA404" s="58" t="str">
        <f t="shared" ca="1" si="1649"/>
        <v>X</v>
      </c>
      <c r="IB404" s="58" t="str">
        <f t="shared" ca="1" si="1650"/>
        <v>X</v>
      </c>
      <c r="IC404" s="58" t="str">
        <f t="shared" ca="1" si="1651"/>
        <v>X</v>
      </c>
      <c r="ID404" s="58" t="str">
        <f t="shared" ca="1" si="1652"/>
        <v>X</v>
      </c>
      <c r="IE404" s="58" t="str">
        <f t="shared" ca="1" si="1653"/>
        <v>X</v>
      </c>
      <c r="IF404" s="58" t="str">
        <f t="shared" ca="1" si="1654"/>
        <v>X</v>
      </c>
      <c r="IG404" s="58" t="str">
        <f t="shared" ca="1" si="1655"/>
        <v>X</v>
      </c>
      <c r="IH404" s="58" t="str">
        <f t="shared" ca="1" si="1656"/>
        <v>X</v>
      </c>
      <c r="II404" s="58" t="str">
        <f t="shared" ca="1" si="1657"/>
        <v>X</v>
      </c>
      <c r="IJ404" s="58" t="str">
        <f t="shared" ca="1" si="1658"/>
        <v>X</v>
      </c>
      <c r="IK404" s="58" t="str">
        <f t="shared" ca="1" si="1659"/>
        <v>X</v>
      </c>
      <c r="IL404" s="58" t="str">
        <f t="shared" ca="1" si="1660"/>
        <v>X</v>
      </c>
      <c r="IM404" s="58" t="str">
        <f t="shared" ca="1" si="1661"/>
        <v>X</v>
      </c>
      <c r="IN404" s="58" t="str">
        <f t="shared" ca="1" si="1662"/>
        <v>X</v>
      </c>
      <c r="IO404" s="58" t="str">
        <f t="shared" ca="1" si="1663"/>
        <v>X</v>
      </c>
      <c r="IP404" s="58" t="str">
        <f t="shared" ca="1" si="1664"/>
        <v>X</v>
      </c>
      <c r="IQ404" s="58">
        <f t="shared" ca="1" si="1665"/>
        <v>46142</v>
      </c>
      <c r="IR404" s="58">
        <f t="shared" ca="1" si="1666"/>
        <v>46142</v>
      </c>
      <c r="IS404" s="58">
        <f t="shared" ca="1" si="1667"/>
        <v>46142</v>
      </c>
      <c r="IT404" s="58">
        <f t="shared" ca="1" si="1668"/>
        <v>46142</v>
      </c>
      <c r="IU404" s="58" t="str">
        <f t="shared" ca="1" si="1669"/>
        <v>X</v>
      </c>
      <c r="IV404" s="58" t="str">
        <f t="shared" ca="1" si="1670"/>
        <v>X</v>
      </c>
      <c r="IW404" s="58" t="str">
        <f t="shared" ca="1" si="1671"/>
        <v>X</v>
      </c>
      <c r="IX404" s="58" t="str">
        <f t="shared" ca="1" si="1672"/>
        <v>X</v>
      </c>
      <c r="IY404" s="58" t="str">
        <f t="shared" ca="1" si="1673"/>
        <v>X</v>
      </c>
      <c r="IZ404" s="58" t="str">
        <f t="shared" ca="1" si="1674"/>
        <v>X</v>
      </c>
      <c r="JA404" s="58" t="str">
        <f t="shared" ca="1" si="1675"/>
        <v>X</v>
      </c>
      <c r="JB404" s="58" t="str">
        <f t="shared" ca="1" si="1676"/>
        <v>X</v>
      </c>
      <c r="JC404" s="58" t="str">
        <f t="shared" ca="1" si="1677"/>
        <v>X</v>
      </c>
      <c r="JD404" s="58" t="str">
        <f t="shared" ca="1" si="1678"/>
        <v>X</v>
      </c>
      <c r="JE404" s="58">
        <f t="shared" ca="1" si="1679"/>
        <v>46171</v>
      </c>
      <c r="JF404" s="58">
        <f t="shared" ca="1" si="1680"/>
        <v>46171</v>
      </c>
      <c r="JG404" s="58">
        <f t="shared" ca="1" si="1681"/>
        <v>46171</v>
      </c>
      <c r="JH404" s="58">
        <f t="shared" ca="1" si="1682"/>
        <v>46171</v>
      </c>
      <c r="JI404" s="58" t="str">
        <f t="shared" ca="1" si="1683"/>
        <v>X</v>
      </c>
      <c r="JJ404" s="58" t="str">
        <f t="shared" ca="1" si="1684"/>
        <v>X</v>
      </c>
      <c r="JK404" s="58" t="str">
        <f t="shared" ca="1" si="1685"/>
        <v>X</v>
      </c>
      <c r="JL404" s="58" t="str">
        <f t="shared" ca="1" si="1686"/>
        <v>X</v>
      </c>
      <c r="JM404" s="58" t="str">
        <f t="shared" ca="1" si="1687"/>
        <v>X</v>
      </c>
      <c r="JN404" s="58" t="str">
        <f t="shared" ca="1" si="1688"/>
        <v>X</v>
      </c>
      <c r="JO404" s="58" t="str">
        <f t="shared" ca="1" si="1689"/>
        <v>X</v>
      </c>
      <c r="JP404" s="58" t="str">
        <f t="shared" ca="1" si="1690"/>
        <v>X</v>
      </c>
      <c r="JQ404" s="58" t="str">
        <f t="shared" ca="1" si="1691"/>
        <v>X</v>
      </c>
      <c r="JR404" s="58" t="str">
        <f t="shared" ca="1" si="1692"/>
        <v>X</v>
      </c>
      <c r="JS404" s="58">
        <f t="shared" ca="1" si="1693"/>
        <v>46203</v>
      </c>
      <c r="JT404" s="58">
        <f t="shared" ca="1" si="1694"/>
        <v>46203</v>
      </c>
      <c r="JU404" s="58">
        <f t="shared" ca="1" si="1695"/>
        <v>46203</v>
      </c>
      <c r="JV404" s="58">
        <f t="shared" ca="1" si="1696"/>
        <v>46203</v>
      </c>
      <c r="JW404" s="58" t="str">
        <f t="shared" ca="1" si="1697"/>
        <v>X</v>
      </c>
      <c r="JX404" s="58" t="str">
        <f t="shared" ca="1" si="1698"/>
        <v>X</v>
      </c>
      <c r="JY404" s="58" t="str">
        <f t="shared" ca="1" si="1699"/>
        <v>X</v>
      </c>
      <c r="JZ404" s="58" t="str">
        <f t="shared" ca="1" si="1700"/>
        <v>X</v>
      </c>
      <c r="KA404" s="58" t="str">
        <f t="shared" ca="1" si="1701"/>
        <v>X</v>
      </c>
      <c r="KB404" s="58" t="str">
        <f t="shared" ca="1" si="1702"/>
        <v>X</v>
      </c>
      <c r="KC404" s="58" t="str">
        <f t="shared" ca="1" si="1703"/>
        <v>X</v>
      </c>
      <c r="KD404" s="58" t="str">
        <f t="shared" ca="1" si="1704"/>
        <v>X</v>
      </c>
      <c r="KE404" s="58" t="str">
        <f t="shared" ca="1" si="1705"/>
        <v>X</v>
      </c>
      <c r="KF404" s="58" t="str">
        <f t="shared" ca="1" si="1706"/>
        <v>X</v>
      </c>
      <c r="KG404" s="58">
        <f t="shared" ca="1" si="1707"/>
        <v>46213</v>
      </c>
      <c r="KH404" s="58">
        <f t="shared" ca="1" si="1708"/>
        <v>46213</v>
      </c>
      <c r="KI404" s="58">
        <f t="shared" ca="1" si="1709"/>
        <v>46212</v>
      </c>
      <c r="KJ404" s="58">
        <f t="shared" ca="1" si="1710"/>
        <v>46212</v>
      </c>
      <c r="KK404" s="58" t="str">
        <f t="shared" ca="1" si="1711"/>
        <v>X</v>
      </c>
      <c r="KL404" s="58" t="str">
        <f t="shared" ca="1" si="1712"/>
        <v>X</v>
      </c>
      <c r="KM404" s="58" t="str">
        <f t="shared" ca="1" si="1713"/>
        <v>X</v>
      </c>
      <c r="KN404" s="58" t="str">
        <f t="shared" ca="1" si="1714"/>
        <v>X</v>
      </c>
      <c r="KO404" s="58" t="str">
        <f t="shared" ca="1" si="1715"/>
        <v>X</v>
      </c>
      <c r="KP404" s="58" t="str">
        <f t="shared" ca="1" si="1716"/>
        <v>X</v>
      </c>
      <c r="KQ404" s="58" t="str">
        <f t="shared" ca="1" si="1717"/>
        <v>X</v>
      </c>
      <c r="KR404" s="58" t="str">
        <f t="shared" ca="1" si="1718"/>
        <v>X</v>
      </c>
      <c r="KS404" s="58" t="str">
        <f t="shared" ca="1" si="1719"/>
        <v>X</v>
      </c>
      <c r="KT404" s="58" t="str">
        <f t="shared" ca="1" si="1720"/>
        <v>X</v>
      </c>
      <c r="KU404" s="58" t="str">
        <f t="shared" ca="1" si="1721"/>
        <v>X</v>
      </c>
      <c r="KV404" s="58" t="str">
        <f t="shared" ca="1" si="1722"/>
        <v>X</v>
      </c>
      <c r="KW404" s="58" t="str">
        <f t="shared" ca="1" si="1723"/>
        <v>X</v>
      </c>
      <c r="KX404" s="58" t="str">
        <f t="shared" ca="1" si="1724"/>
        <v>X</v>
      </c>
      <c r="KY404" s="58" t="str">
        <f t="shared" ca="1" si="1725"/>
        <v>X</v>
      </c>
      <c r="KZ404" s="58" t="str">
        <f t="shared" ca="1" si="1726"/>
        <v>X</v>
      </c>
      <c r="LA404" s="58" t="str">
        <f t="shared" ca="1" si="1727"/>
        <v>X</v>
      </c>
      <c r="LB404" s="58" t="str">
        <f t="shared" ca="1" si="1728"/>
        <v>X</v>
      </c>
      <c r="LC404" s="58" t="str">
        <f t="shared" ca="1" si="1729"/>
        <v>X</v>
      </c>
      <c r="LD404" s="58" t="str">
        <f t="shared" ca="1" si="1730"/>
        <v>X</v>
      </c>
      <c r="LE404" s="58" t="str">
        <f t="shared" ca="1" si="1731"/>
        <v>X</v>
      </c>
      <c r="LF404" s="58" t="str">
        <f t="shared" ca="1" si="1732"/>
        <v>X</v>
      </c>
      <c r="LG404" s="58" t="str">
        <f t="shared" ca="1" si="1733"/>
        <v>X</v>
      </c>
      <c r="LH404" s="58" t="str">
        <f t="shared" ca="1" si="1734"/>
        <v>X</v>
      </c>
      <c r="LI404" s="58" t="str">
        <f t="shared" ca="1" si="1735"/>
        <v>X</v>
      </c>
      <c r="LJ404" s="58" t="str">
        <f t="shared" ca="1" si="1736"/>
        <v>X</v>
      </c>
      <c r="LK404" s="58" t="str">
        <f t="shared" ca="1" si="1737"/>
        <v>X</v>
      </c>
      <c r="LL404" s="58" t="str">
        <f t="shared" ca="1" si="1738"/>
        <v>X</v>
      </c>
      <c r="LM404" s="58" t="str">
        <f t="shared" ca="1" si="1739"/>
        <v>X</v>
      </c>
      <c r="LN404" s="58" t="str">
        <f t="shared" ca="1" si="1740"/>
        <v>X</v>
      </c>
      <c r="LO404" s="58" t="str">
        <f t="shared" ca="1" si="1741"/>
        <v>X</v>
      </c>
      <c r="LP404" s="58" t="str">
        <f t="shared" ca="1" si="1742"/>
        <v>X</v>
      </c>
      <c r="LQ404" s="58" t="str">
        <f t="shared" ca="1" si="1743"/>
        <v>X</v>
      </c>
      <c r="LR404" s="58" t="str">
        <f t="shared" ca="1" si="1744"/>
        <v>X</v>
      </c>
      <c r="LS404" s="58" t="str">
        <f t="shared" ca="1" si="1745"/>
        <v>X</v>
      </c>
      <c r="LT404" s="58" t="str">
        <f t="shared" ca="1" si="1746"/>
        <v>X</v>
      </c>
      <c r="LU404" s="58" t="str">
        <f t="shared" ca="1" si="1747"/>
        <v>X</v>
      </c>
      <c r="LV404" s="58" t="str">
        <f t="shared" ca="1" si="1748"/>
        <v>X</v>
      </c>
      <c r="LW404" s="58" t="str">
        <f t="shared" ca="1" si="1749"/>
        <v>X</v>
      </c>
      <c r="LX404" s="58" t="str">
        <f t="shared" ca="1" si="1750"/>
        <v>X</v>
      </c>
      <c r="LY404" s="58" t="str">
        <f t="shared" ca="1" si="1751"/>
        <v>X</v>
      </c>
      <c r="LZ404" s="58" t="str">
        <f t="shared" ca="1" si="1752"/>
        <v>X</v>
      </c>
      <c r="MA404" s="58" t="str">
        <f t="shared" ca="1" si="1753"/>
        <v>X</v>
      </c>
      <c r="MB404" s="58" t="str">
        <f t="shared" ca="1" si="1754"/>
        <v>X</v>
      </c>
      <c r="MC404" s="58" t="str">
        <f t="shared" ca="1" si="1755"/>
        <v>X</v>
      </c>
      <c r="MD404" s="58" t="str">
        <f t="shared" ca="1" si="1756"/>
        <v>X</v>
      </c>
      <c r="ME404" s="58" t="str">
        <f t="shared" ca="1" si="1757"/>
        <v>X</v>
      </c>
      <c r="MF404" s="58" t="str">
        <f t="shared" ca="1" si="1758"/>
        <v>X</v>
      </c>
      <c r="MG404" s="58" t="str">
        <f t="shared" ca="1" si="1759"/>
        <v>X</v>
      </c>
      <c r="MH404" s="58" t="str">
        <f t="shared" ca="1" si="1760"/>
        <v>X</v>
      </c>
      <c r="MI404" s="58" t="str">
        <f t="shared" ca="1" si="1761"/>
        <v>X</v>
      </c>
      <c r="MJ404" s="58" t="str">
        <f t="shared" ca="1" si="1762"/>
        <v>X</v>
      </c>
      <c r="MK404" s="58" t="str">
        <f t="shared" ca="1" si="1763"/>
        <v>X</v>
      </c>
      <c r="ML404" s="58" t="str">
        <f t="shared" ca="1" si="1764"/>
        <v>X</v>
      </c>
      <c r="MM404" s="58" t="str">
        <f t="shared" ca="1" si="1765"/>
        <v>X</v>
      </c>
      <c r="MN404" s="58" t="str">
        <f t="shared" ca="1" si="1766"/>
        <v>X</v>
      </c>
      <c r="MO404" s="58" t="str">
        <f t="shared" ca="1" si="1767"/>
        <v>X</v>
      </c>
      <c r="MP404" s="58" t="str">
        <f t="shared" ca="1" si="1768"/>
        <v>X</v>
      </c>
      <c r="MQ404" s="58" t="str">
        <f t="shared" ca="1" si="1769"/>
        <v>X</v>
      </c>
      <c r="MR404" s="58" t="str">
        <f t="shared" ca="1" si="1770"/>
        <v>X</v>
      </c>
      <c r="MS404" s="58" t="str">
        <f t="shared" ca="1" si="1771"/>
        <v>X</v>
      </c>
      <c r="MT404" s="58" t="str">
        <f t="shared" ref="MT404:NG405" ca="1" si="1798">IF($K404=INDIRECT(CONCATENATE("$AG$"&amp;GH$392)),INDIRECT(CONCATENATE("$AG$"&amp;GH$391)),
IF($K404=INDIRECT(CONCATENATE("$AF$"&amp;GH$392)),INDIRECT(CONCATENATE("$AF$"&amp;GH$391)),
IF($K404=INDIRECT(CONCATENATE("$AE$"&amp;GH$392)),INDIRECT(CONCATENATE("$AE$"&amp;GH$391)),
IF($K404=INDIRECT(CONCATENATE("$AD$"&amp;GH$392)),INDIRECT(CONCATENATE("$AD$"&amp;GH$391)),
IF($K404=INDIRECT(CONCATENATE("$AC$"&amp;GH$392)),INDIRECT(CONCATENATE("$AC$"&amp;GH$391)),
IF($K404=INDIRECT(CONCATENATE("$AB$"&amp;GH$392)),INDIRECT(CONCATENATE("$AB$"&amp;GH$391)),
IF($K404=INDIRECT(CONCATENATE("$AA$"&amp;GH$392)),INDIRECT(CONCATENATE("$AA$"&amp;GH$391)),
IF($K404=INDIRECT(CONCATENATE("$Z$"&amp;GH$392)),INDIRECT(CONCATENATE("$Z$"&amp;GH$391)),
IF($K404=INDIRECT(CONCATENATE("$Y$"&amp;GH$392)),INDIRECT(CONCATENATE("$Y$"&amp;GH$391)),
IF($K404=INDIRECT(CONCATENATE("$X$"&amp;GH$392)),INDIRECT(CONCATENATE("$X$"&amp;GH$391)),
IF($K404=INDIRECT(CONCATENATE("$W$"&amp;GH$392)),INDIRECT(CONCATENATE("$W$"&amp;GH$391)),
IF($K404=INDIRECT(CONCATENATE("$V$"&amp;GH$392)),INDIRECT(CONCATENATE("$V$"&amp;GH$391)),
IF($K404=INDIRECT(CONCATENATE("$U$"&amp;GH$392)),INDIRECT(CONCATENATE("$U$"&amp;GH$391)),
IF($K404=INDIRECT(CONCATENATE("$T$"&amp;GH$392)),INDIRECT(CONCATENATE("$T$"&amp;GH$391)),
IF($K404=INDIRECT(CONCATENATE("$S$"&amp;GH$392)),INDIRECT(CONCATENATE("$S$"&amp;GH$391)),
IF($K404=INDIRECT(CONCATENATE("$R$"&amp;GH$392)),INDIRECT(CONCATENATE("$R$"&amp;GH$391)),
IF($K404=INDIRECT(CONCATENATE("$Q$"&amp;GH$392)),INDIRECT(CONCATENATE("$Q$"&amp;GH$391)),
IF($K404=INDIRECT(CONCATENATE("$P$"&amp;GH$392)),INDIRECT(CONCATENATE("$P$"&amp;GH$391)),
IF($K404=INDIRECT(CONCATENATE("$O$"&amp;GH$392)),INDIRECT(CONCATENATE("$O$"&amp;GH$391)),
IF($K404=INDIRECT(CONCATENATE("$N$"&amp;GH$392)),INDIRECT(CONCATENATE("$N$"&amp;GH$391)),
IF($K404=INDIRECT(CONCATENATE("$M$"&amp;GH$392)),INDIRECT(CONCATENATE("$M$"&amp;GH$391)),
IF($K404=INDIRECT(CONCATENATE("$L$"&amp;GH$392)),INDIRECT(CONCATENATE("$L$"&amp;GH$391)),
IF($K404=INDIRECT(CONCATENATE("$K$"&amp;GH$392)),INDIRECT(CONCATENATE("$K$"&amp;GH$391)),
IF($K404=INDIRECT(CONCATENATE("$J$"&amp;GH$392)),INDIRECT(CONCATENATE("$J$"&amp;GH$391)),
IF($K404=INDIRECT(CONCATENATE("$I$"&amp;GH$392)),INDIRECT(CONCATENATE("$I$"&amp;GH$391)),
IF($K404=INDIRECT(CONCATENATE("$H$"&amp;GH$392)),INDIRECT(CONCATENATE("$H$"&amp;GH$391)),
IF($K404=INDIRECT(CONCATENATE("$G$"&amp;GH$392)),INDIRECT(CONCATENATE("$G$"&amp;GH$391)),
IF($K404=INDIRECT(CONCATENATE("$F$"&amp;GH$392)),INDIRECT(CONCATENATE("$F$"&amp;GH$391)),
IF($K404=INDIRECT(CONCATENATE("$E$"&amp;GH$392)),INDIRECT(CONCATENATE("$E$"&amp;GH$391)),
IF($K404=INDIRECT(CONCATENATE("$D$"&amp;GH$392)),INDIRECT(CONCATENATE("$D$"&amp;GH$391)),
IF($K404=INDIRECT(CONCATENATE("$C$"&amp;GH$392)),INDIRECT(CONCATENATE("$C$"&amp;GH$391)),"X")))))))))))))))))))))))))))))))</f>
        <v>X</v>
      </c>
      <c r="MU404" s="58" t="str">
        <f t="shared" ca="1" si="1798"/>
        <v>X</v>
      </c>
      <c r="MV404" s="58" t="str">
        <f t="shared" ca="1" si="1798"/>
        <v>X</v>
      </c>
      <c r="MW404" s="58" t="str">
        <f t="shared" ca="1" si="1798"/>
        <v>X</v>
      </c>
      <c r="MX404" s="58" t="str">
        <f t="shared" ca="1" si="1798"/>
        <v>X</v>
      </c>
      <c r="MY404" s="58" t="str">
        <f t="shared" ca="1" si="1798"/>
        <v>X</v>
      </c>
      <c r="MZ404" s="58" t="str">
        <f t="shared" ca="1" si="1798"/>
        <v>X</v>
      </c>
      <c r="NA404" s="58" t="str">
        <f t="shared" ca="1" si="1798"/>
        <v>X</v>
      </c>
      <c r="NB404" s="58" t="str">
        <f t="shared" ca="1" si="1798"/>
        <v>X</v>
      </c>
      <c r="NC404" s="58" t="str">
        <f t="shared" ca="1" si="1798"/>
        <v>X</v>
      </c>
      <c r="ND404" s="58" t="str">
        <f t="shared" ca="1" si="1798"/>
        <v>X</v>
      </c>
      <c r="NE404" s="58" t="str">
        <f t="shared" ca="1" si="1798"/>
        <v>X</v>
      </c>
      <c r="NF404" s="58" t="str">
        <f t="shared" ca="1" si="1773"/>
        <v>X</v>
      </c>
      <c r="NG404" s="58" t="str">
        <f t="shared" ca="1" si="1774"/>
        <v>X</v>
      </c>
    </row>
    <row r="405" spans="1:371" ht="18" customHeight="1">
      <c r="A405" s="241" t="s">
        <v>98</v>
      </c>
      <c r="B405" s="304"/>
      <c r="C405" s="304"/>
      <c r="D405" s="304"/>
      <c r="E405" s="304"/>
      <c r="F405" s="304"/>
      <c r="G405" s="304"/>
      <c r="H405" s="304"/>
      <c r="I405" s="304"/>
      <c r="J405" s="303"/>
      <c r="K405" s="237" t="s">
        <v>26</v>
      </c>
      <c r="L405" s="303"/>
      <c r="M405" s="60">
        <v>15</v>
      </c>
      <c r="N405" s="225"/>
      <c r="O405" s="304"/>
      <c r="P405" s="304"/>
      <c r="Q405" s="304"/>
      <c r="R405" s="303"/>
      <c r="S405" s="226" t="s">
        <v>99</v>
      </c>
      <c r="T405" s="304"/>
      <c r="U405" s="303"/>
      <c r="V405" s="227" t="s">
        <v>96</v>
      </c>
      <c r="W405" s="303"/>
      <c r="X405" s="56">
        <f t="shared" ca="1" si="1775"/>
        <v>46048</v>
      </c>
      <c r="Y405" s="56">
        <f t="shared" ca="1" si="1776"/>
        <v>46052</v>
      </c>
      <c r="Z405" s="228" t="str">
        <f t="shared" ca="1" si="1612"/>
        <v>CONCLUÍDA</v>
      </c>
      <c r="AA405" s="304"/>
      <c r="AB405" s="303"/>
      <c r="AC405" s="224">
        <f t="shared" si="1777"/>
        <v>15</v>
      </c>
      <c r="AD405" s="303"/>
      <c r="AE405" s="229">
        <f t="shared" si="1778"/>
        <v>0</v>
      </c>
      <c r="AF405" s="303"/>
      <c r="AG405" s="57" t="str">
        <f t="shared" si="1615"/>
        <v>OK</v>
      </c>
      <c r="AH405" s="160"/>
      <c r="AI405" s="70"/>
      <c r="AJ405" s="58" t="str">
        <f t="shared" ca="1" si="1797"/>
        <v>X</v>
      </c>
      <c r="AK405" s="58" t="str">
        <f t="shared" ca="1" si="1797"/>
        <v>X</v>
      </c>
      <c r="AL405" s="58" t="str">
        <f t="shared" ca="1" si="1797"/>
        <v>X</v>
      </c>
      <c r="AM405" s="58" t="str">
        <f t="shared" ca="1" si="1797"/>
        <v>X</v>
      </c>
      <c r="AN405" s="58" t="str">
        <f t="shared" ca="1" si="1797"/>
        <v>X</v>
      </c>
      <c r="AO405" s="58" t="str">
        <f t="shared" ca="1" si="1797"/>
        <v>X</v>
      </c>
      <c r="AP405" s="58" t="str">
        <f t="shared" ca="1" si="1797"/>
        <v>X</v>
      </c>
      <c r="AQ405" s="58" t="str">
        <f t="shared" ca="1" si="1797"/>
        <v>X</v>
      </c>
      <c r="AR405" s="58" t="str">
        <f t="shared" ca="1" si="1797"/>
        <v>X</v>
      </c>
      <c r="AS405" s="58" t="str">
        <f t="shared" ca="1" si="1797"/>
        <v>X</v>
      </c>
      <c r="AT405" s="58">
        <f t="shared" ca="1" si="1797"/>
        <v>46048</v>
      </c>
      <c r="AU405" s="58">
        <f t="shared" ca="1" si="1797"/>
        <v>46048</v>
      </c>
      <c r="AV405" s="58">
        <f t="shared" ca="1" si="1797"/>
        <v>46048</v>
      </c>
      <c r="AW405" s="58" t="str">
        <f t="shared" ca="1" si="1797"/>
        <v>X</v>
      </c>
      <c r="AX405" s="58" t="str">
        <f t="shared" ca="1" si="1797"/>
        <v>X</v>
      </c>
      <c r="AY405" s="58" t="str">
        <f t="shared" ca="1" si="1797"/>
        <v>X</v>
      </c>
      <c r="AZ405" s="58" t="str">
        <f t="shared" ca="1" si="1797"/>
        <v>X</v>
      </c>
      <c r="BA405" s="58" t="str">
        <f t="shared" ca="1" si="1797"/>
        <v>X</v>
      </c>
      <c r="BB405" s="58" t="str">
        <f t="shared" ca="1" si="1797"/>
        <v>X</v>
      </c>
      <c r="BC405" s="58" t="str">
        <f t="shared" ca="1" si="1797"/>
        <v>X</v>
      </c>
      <c r="BD405" s="58" t="str">
        <f t="shared" ca="1" si="1797"/>
        <v>X</v>
      </c>
      <c r="BE405" s="58" t="str">
        <f t="shared" ca="1" si="1797"/>
        <v>X</v>
      </c>
      <c r="BF405" s="58" t="str">
        <f t="shared" ca="1" si="1797"/>
        <v>X</v>
      </c>
      <c r="BG405" s="58" t="str">
        <f t="shared" ca="1" si="1797"/>
        <v>X</v>
      </c>
      <c r="BH405" s="58" t="str">
        <f t="shared" ca="1" si="1797"/>
        <v>X</v>
      </c>
      <c r="BI405" s="58" t="str">
        <f t="shared" ca="1" si="1797"/>
        <v>X</v>
      </c>
      <c r="BJ405" s="58" t="str">
        <f t="shared" ca="1" si="1797"/>
        <v>X</v>
      </c>
      <c r="BK405" s="58" t="str">
        <f t="shared" ca="1" si="1797"/>
        <v>X</v>
      </c>
      <c r="BL405" s="58" t="str">
        <f t="shared" ca="1" si="1797"/>
        <v>X</v>
      </c>
      <c r="BM405" s="58" t="str">
        <f t="shared" ca="1" si="1797"/>
        <v>X</v>
      </c>
      <c r="BN405" s="58" t="str">
        <f t="shared" ca="1" si="1797"/>
        <v>X</v>
      </c>
      <c r="BO405" s="58" t="str">
        <f t="shared" ca="1" si="1797"/>
        <v>X</v>
      </c>
      <c r="BP405" s="58" t="str">
        <f t="shared" ca="1" si="1797"/>
        <v>X</v>
      </c>
      <c r="BQ405" s="58" t="str">
        <f t="shared" ca="1" si="1797"/>
        <v>X</v>
      </c>
      <c r="BR405" s="58" t="str">
        <f t="shared" ca="1" si="1797"/>
        <v>X</v>
      </c>
      <c r="BS405" s="58" t="str">
        <f t="shared" ca="1" si="1797"/>
        <v>X</v>
      </c>
      <c r="BT405" s="58" t="str">
        <f t="shared" ca="1" si="1797"/>
        <v>X</v>
      </c>
      <c r="BU405" s="58" t="str">
        <f t="shared" ca="1" si="1797"/>
        <v>X</v>
      </c>
      <c r="BV405" s="58" t="str">
        <f t="shared" ca="1" si="1797"/>
        <v>X</v>
      </c>
      <c r="BW405" s="58" t="str">
        <f t="shared" ca="1" si="1797"/>
        <v>X</v>
      </c>
      <c r="BX405" s="58" t="str">
        <f t="shared" ca="1" si="1797"/>
        <v>X</v>
      </c>
      <c r="BY405" s="58" t="str">
        <f t="shared" ca="1" si="1797"/>
        <v>X</v>
      </c>
      <c r="BZ405" s="58" t="str">
        <f t="shared" ca="1" si="1797"/>
        <v>X</v>
      </c>
      <c r="CA405" s="58" t="str">
        <f t="shared" ca="1" si="1797"/>
        <v>X</v>
      </c>
      <c r="CB405" s="58" t="str">
        <f t="shared" ca="1" si="1797"/>
        <v>X</v>
      </c>
      <c r="CC405" s="58" t="str">
        <f t="shared" ca="1" si="1797"/>
        <v>X</v>
      </c>
      <c r="CD405" s="58" t="str">
        <f t="shared" ca="1" si="1797"/>
        <v>X</v>
      </c>
      <c r="CE405" s="58" t="str">
        <f t="shared" ca="1" si="1797"/>
        <v>X</v>
      </c>
      <c r="CF405" s="58" t="str">
        <f t="shared" ca="1" si="1797"/>
        <v>X</v>
      </c>
      <c r="CG405" s="58" t="str">
        <f t="shared" ca="1" si="1797"/>
        <v>X</v>
      </c>
      <c r="CH405" s="58" t="str">
        <f t="shared" ca="1" si="1797"/>
        <v>X</v>
      </c>
      <c r="CI405" s="58" t="str">
        <f t="shared" ca="1" si="1797"/>
        <v>X</v>
      </c>
      <c r="CJ405" s="58" t="str">
        <f t="shared" ca="1" si="1797"/>
        <v>X</v>
      </c>
      <c r="CK405" s="58" t="str">
        <f t="shared" ca="1" si="1797"/>
        <v>X</v>
      </c>
      <c r="CL405" s="58" t="str">
        <f t="shared" ca="1" si="1797"/>
        <v>X</v>
      </c>
      <c r="CM405" s="58" t="str">
        <f t="shared" ca="1" si="1797"/>
        <v>X</v>
      </c>
      <c r="CN405" s="58" t="str">
        <f t="shared" ca="1" si="1797"/>
        <v>X</v>
      </c>
      <c r="CO405" s="58" t="str">
        <f t="shared" ca="1" si="1797"/>
        <v>X</v>
      </c>
      <c r="CP405" s="58" t="str">
        <f t="shared" ca="1" si="1797"/>
        <v>X</v>
      </c>
      <c r="CQ405" s="58" t="str">
        <f t="shared" ca="1" si="1797"/>
        <v>X</v>
      </c>
      <c r="CR405" s="58" t="str">
        <f t="shared" ca="1" si="1797"/>
        <v>X</v>
      </c>
      <c r="CS405" s="58" t="str">
        <f t="shared" ca="1" si="1797"/>
        <v>X</v>
      </c>
      <c r="CT405" s="58" t="str">
        <f t="shared" ca="1" si="1797"/>
        <v>X</v>
      </c>
      <c r="CU405" s="58" t="str">
        <f t="shared" ca="1" si="1797"/>
        <v>X</v>
      </c>
      <c r="CV405" s="58" t="str">
        <f t="shared" ca="1" si="1797"/>
        <v>X</v>
      </c>
      <c r="CW405" s="58" t="str">
        <f t="shared" ca="1" si="1797"/>
        <v>X</v>
      </c>
      <c r="CX405" s="58" t="str">
        <f t="shared" ca="1" si="1797"/>
        <v>X</v>
      </c>
      <c r="CY405" s="58" t="str">
        <f t="shared" ca="1" si="1797"/>
        <v>X</v>
      </c>
      <c r="CZ405" s="58" t="str">
        <f t="shared" ca="1" si="1797"/>
        <v>X</v>
      </c>
      <c r="DA405" s="58" t="str">
        <f t="shared" ca="1" si="1797"/>
        <v>X</v>
      </c>
      <c r="DB405" s="58" t="str">
        <f t="shared" ca="1" si="1797"/>
        <v>X</v>
      </c>
      <c r="DC405" s="58" t="str">
        <f t="shared" ca="1" si="1797"/>
        <v>X</v>
      </c>
      <c r="DD405" s="58" t="str">
        <f t="shared" ca="1" si="1797"/>
        <v>X</v>
      </c>
      <c r="DE405" s="58" t="str">
        <f t="shared" ca="1" si="1797"/>
        <v>X</v>
      </c>
      <c r="DF405" s="58" t="str">
        <f t="shared" ca="1" si="1797"/>
        <v>X</v>
      </c>
      <c r="DG405" s="58" t="str">
        <f t="shared" ca="1" si="1797"/>
        <v>X</v>
      </c>
      <c r="DH405" s="58" t="str">
        <f t="shared" ca="1" si="1797"/>
        <v>X</v>
      </c>
      <c r="DI405" s="58" t="str">
        <f t="shared" ca="1" si="1797"/>
        <v>X</v>
      </c>
      <c r="DJ405" s="58" t="str">
        <f t="shared" ca="1" si="1797"/>
        <v>X</v>
      </c>
      <c r="DK405" s="58" t="str">
        <f t="shared" ca="1" si="1797"/>
        <v>X</v>
      </c>
      <c r="DL405" s="58" t="str">
        <f t="shared" ca="1" si="1797"/>
        <v>X</v>
      </c>
      <c r="DM405" s="58" t="str">
        <f t="shared" ca="1" si="1797"/>
        <v>X</v>
      </c>
      <c r="DN405" s="58" t="str">
        <f t="shared" ca="1" si="1797"/>
        <v>X</v>
      </c>
      <c r="DO405" s="58" t="str">
        <f t="shared" ca="1" si="1797"/>
        <v>X</v>
      </c>
      <c r="DP405" s="58" t="str">
        <f t="shared" ca="1" si="1797"/>
        <v>X</v>
      </c>
      <c r="DQ405" s="58" t="str">
        <f t="shared" ca="1" si="1797"/>
        <v>X</v>
      </c>
      <c r="DR405" s="58" t="str">
        <f t="shared" ca="1" si="1797"/>
        <v>X</v>
      </c>
      <c r="DS405" s="58" t="str">
        <f t="shared" ca="1" si="1797"/>
        <v>X</v>
      </c>
      <c r="DT405" s="58" t="str">
        <f t="shared" ref="DT405:GT405" ca="1" si="1799">IF($K405=INDIRECT(CONCATENATE("$C$"&amp;DT$392)), INDIRECT(CONCATENATE("$C$"&amp;DT$391)),
IF($K405=INDIRECT(CONCATENATE("$D$"&amp;DT$392)), INDIRECT(CONCATENATE("$D$"&amp;DT$391)),
IF($K405=INDIRECT(CONCATENATE("$E$"&amp;DT$392)), INDIRECT(CONCATENATE("$E$"&amp;DT$391)),
IF($K405=INDIRECT(CONCATENATE("$F$"&amp;DT$392)), INDIRECT(CONCATENATE("$F$"&amp;DT$391)),
IF($K405=INDIRECT(CONCATENATE("$G$"&amp;DT$392)), INDIRECT(CONCATENATE("$G$"&amp;DT$391)),
IF($K405=INDIRECT(CONCATENATE("$H$"&amp;DT$392)), INDIRECT(CONCATENATE("$H$"&amp;DT$391)),
IF($K405=INDIRECT(CONCATENATE("$I$"&amp;DT$392)), INDIRECT(CONCATENATE("$I$"&amp;DT$391)),
IF($K405=INDIRECT(CONCATENATE("$J$"&amp;DT$392)), INDIRECT(CONCATENATE("$J$"&amp;DT$391)),
IF($K405=INDIRECT(CONCATENATE("$K$"&amp;DT$392)), INDIRECT(CONCATENATE("$K$"&amp;DT$391)),
IF($K405=INDIRECT(CONCATENATE("$L$"&amp;DT$392)), INDIRECT(CONCATENATE("$L$"&amp;DT$391)),
IF($K405=INDIRECT(CONCATENATE("$M$"&amp;DT$392)), INDIRECT(CONCATENATE("$M$"&amp;DT$391)),
IF($K405=INDIRECT(CONCATENATE("$N$"&amp;DT$392)), INDIRECT(CONCATENATE("$N$"&amp;DT$391)),
IF($K405=INDIRECT(CONCATENATE("$O$"&amp;DT$392)), INDIRECT(CONCATENATE("$O$"&amp;DT$391)),
IF($K405=INDIRECT(CONCATENATE("$P$"&amp;DT$392)), INDIRECT(CONCATENATE("$P$"&amp;DT$391)),
IF($K405=INDIRECT(CONCATENATE("$Q$"&amp;DT$392)), INDIRECT(CONCATENATE("$Q$"&amp;DT$391)),
IF($K405=INDIRECT(CONCATENATE("$R$"&amp;DT$392)), INDIRECT(CONCATENATE("$R$"&amp;DT$391)),
IF($K405=INDIRECT(CONCATENATE("$S$"&amp;DT$392)), INDIRECT(CONCATENATE("$S$"&amp;DT$391)),
IF($K405=INDIRECT(CONCATENATE("$T$"&amp;DT$392)), INDIRECT(CONCATENATE("$T$"&amp;DT$391)),
IF($K405=INDIRECT(CONCATENATE("$U$"&amp;DT$392)), INDIRECT(CONCATENATE("$U$"&amp;DT$391)),
IF($K405=INDIRECT(CONCATENATE("$V$"&amp;DT$392)), INDIRECT(CONCATENATE("$V$"&amp;DT$391)),
IF($K405=INDIRECT(CONCATENATE("$W$"&amp;DT$392)), INDIRECT(CONCATENATE("$W$"&amp;DT$391)),
IF($K405=INDIRECT(CONCATENATE("$X$"&amp;DT$392)), INDIRECT(CONCATENATE("$X$"&amp;DT$391)),
IF($K405=INDIRECT(CONCATENATE("$Y$"&amp;DT$392)), INDIRECT(CONCATENATE("$Y$"&amp;DT$391)),
IF($K405=INDIRECT(CONCATENATE("$Z$"&amp;DT$392)), INDIRECT(CONCATENATE("$Z$"&amp;DT$391)),
IF($K405=INDIRECT(CONCATENATE("$AA$"&amp;DT$392)), INDIRECT(CONCATENATE("$AA$"&amp;DT$391)),
IF($K405=INDIRECT(CONCATENATE("$AB$"&amp;DT$392)), INDIRECT(CONCATENATE("$AB$"&amp;DT$391)),
IF($K405=INDIRECT(CONCATENATE("$AC$"&amp;DT$392)), INDIRECT(CONCATENATE("$AC$"&amp;DT$391)),
IF($K405=INDIRECT(CONCATENATE("$AD$"&amp;DT$392)), INDIRECT(CONCATENATE("$AD$"&amp;DT$391)),
IF($K405=INDIRECT(CONCATENATE("$AE$"&amp;DT$392)), INDIRECT(CONCATENATE("$AE$"&amp;DT$391)),
IF($K405=INDIRECT(CONCATENATE("$AF$"&amp;DT$392)), INDIRECT(CONCATENATE("$AF$"&amp;DT$391)),
IF($K405=INDIRECT(CONCATENATE("$AG$"&amp;DT$392)), INDIRECT(CONCATENATE("$AG$"&amp;DT$391)),"X")))))))))))))))))))))))))))))))</f>
        <v>X</v>
      </c>
      <c r="DU405" s="58" t="str">
        <f t="shared" ca="1" si="1799"/>
        <v>X</v>
      </c>
      <c r="DV405" s="58" t="str">
        <f t="shared" ca="1" si="1799"/>
        <v>X</v>
      </c>
      <c r="DW405" s="58" t="str">
        <f t="shared" ca="1" si="1799"/>
        <v>X</v>
      </c>
      <c r="DX405" s="58" t="str">
        <f t="shared" ca="1" si="1799"/>
        <v>X</v>
      </c>
      <c r="DY405" s="58" t="str">
        <f t="shared" ca="1" si="1799"/>
        <v>X</v>
      </c>
      <c r="DZ405" s="58" t="str">
        <f t="shared" ca="1" si="1799"/>
        <v>X</v>
      </c>
      <c r="EA405" s="58" t="str">
        <f t="shared" ca="1" si="1799"/>
        <v>X</v>
      </c>
      <c r="EB405" s="58" t="str">
        <f t="shared" ca="1" si="1799"/>
        <v>X</v>
      </c>
      <c r="EC405" s="58" t="str">
        <f t="shared" ca="1" si="1799"/>
        <v>X</v>
      </c>
      <c r="ED405" s="58" t="str">
        <f t="shared" ca="1" si="1799"/>
        <v>X</v>
      </c>
      <c r="EE405" s="58" t="str">
        <f t="shared" ca="1" si="1799"/>
        <v>X</v>
      </c>
      <c r="EF405" s="58" t="str">
        <f t="shared" ca="1" si="1799"/>
        <v>X</v>
      </c>
      <c r="EG405" s="58" t="str">
        <f t="shared" ca="1" si="1799"/>
        <v>X</v>
      </c>
      <c r="EH405" s="58" t="str">
        <f t="shared" ca="1" si="1799"/>
        <v>X</v>
      </c>
      <c r="EI405" s="58" t="str">
        <f t="shared" ca="1" si="1799"/>
        <v>X</v>
      </c>
      <c r="EJ405" s="58" t="str">
        <f t="shared" ca="1" si="1799"/>
        <v>X</v>
      </c>
      <c r="EK405" s="58" t="str">
        <f t="shared" ca="1" si="1799"/>
        <v>X</v>
      </c>
      <c r="EL405" s="58" t="str">
        <f t="shared" ca="1" si="1799"/>
        <v>X</v>
      </c>
      <c r="EM405" s="58" t="str">
        <f t="shared" ca="1" si="1799"/>
        <v>X</v>
      </c>
      <c r="EN405" s="58" t="str">
        <f t="shared" ca="1" si="1799"/>
        <v>X</v>
      </c>
      <c r="EO405" s="58" t="str">
        <f t="shared" ca="1" si="1799"/>
        <v>X</v>
      </c>
      <c r="EP405" s="58" t="str">
        <f t="shared" ca="1" si="1799"/>
        <v>X</v>
      </c>
      <c r="EQ405" s="58" t="str">
        <f t="shared" ca="1" si="1799"/>
        <v>X</v>
      </c>
      <c r="ER405" s="58" t="str">
        <f t="shared" ca="1" si="1799"/>
        <v>X</v>
      </c>
      <c r="ES405" s="58" t="str">
        <f t="shared" ca="1" si="1799"/>
        <v>X</v>
      </c>
      <c r="ET405" s="58" t="str">
        <f t="shared" ca="1" si="1799"/>
        <v>X</v>
      </c>
      <c r="EU405" s="58" t="str">
        <f t="shared" ca="1" si="1799"/>
        <v>X</v>
      </c>
      <c r="EV405" s="58" t="str">
        <f t="shared" ca="1" si="1799"/>
        <v>X</v>
      </c>
      <c r="EW405" s="58" t="str">
        <f t="shared" ca="1" si="1799"/>
        <v>X</v>
      </c>
      <c r="EX405" s="58" t="str">
        <f t="shared" ca="1" si="1799"/>
        <v>X</v>
      </c>
      <c r="EY405" s="58" t="str">
        <f t="shared" ca="1" si="1799"/>
        <v>X</v>
      </c>
      <c r="EZ405" s="58" t="str">
        <f t="shared" ca="1" si="1799"/>
        <v>X</v>
      </c>
      <c r="FA405" s="58" t="str">
        <f t="shared" ca="1" si="1799"/>
        <v>X</v>
      </c>
      <c r="FB405" s="58" t="str">
        <f t="shared" ca="1" si="1799"/>
        <v>X</v>
      </c>
      <c r="FC405" s="58" t="str">
        <f t="shared" ca="1" si="1799"/>
        <v>X</v>
      </c>
      <c r="FD405" s="58" t="str">
        <f t="shared" ca="1" si="1799"/>
        <v>X</v>
      </c>
      <c r="FE405" s="58" t="str">
        <f t="shared" ca="1" si="1799"/>
        <v>X</v>
      </c>
      <c r="FF405" s="58" t="str">
        <f t="shared" ca="1" si="1799"/>
        <v>X</v>
      </c>
      <c r="FG405" s="58" t="str">
        <f t="shared" ca="1" si="1799"/>
        <v>X</v>
      </c>
      <c r="FH405" s="58" t="str">
        <f t="shared" ca="1" si="1799"/>
        <v>X</v>
      </c>
      <c r="FI405" s="58" t="str">
        <f t="shared" ca="1" si="1799"/>
        <v>X</v>
      </c>
      <c r="FJ405" s="58" t="str">
        <f t="shared" ca="1" si="1799"/>
        <v>X</v>
      </c>
      <c r="FK405" s="58" t="str">
        <f t="shared" ca="1" si="1799"/>
        <v>X</v>
      </c>
      <c r="FL405" s="58" t="str">
        <f t="shared" ca="1" si="1799"/>
        <v>X</v>
      </c>
      <c r="FM405" s="58" t="str">
        <f t="shared" ca="1" si="1799"/>
        <v>X</v>
      </c>
      <c r="FN405" s="58" t="str">
        <f t="shared" ca="1" si="1799"/>
        <v>X</v>
      </c>
      <c r="FO405" s="58" t="str">
        <f t="shared" ca="1" si="1799"/>
        <v>X</v>
      </c>
      <c r="FP405" s="58" t="str">
        <f t="shared" ca="1" si="1799"/>
        <v>X</v>
      </c>
      <c r="FQ405" s="58" t="str">
        <f t="shared" ca="1" si="1799"/>
        <v>X</v>
      </c>
      <c r="FR405" s="58" t="str">
        <f t="shared" ca="1" si="1799"/>
        <v>X</v>
      </c>
      <c r="FS405" s="58" t="str">
        <f t="shared" ca="1" si="1799"/>
        <v>X</v>
      </c>
      <c r="FT405" s="58" t="str">
        <f t="shared" ca="1" si="1799"/>
        <v>X</v>
      </c>
      <c r="FU405" s="58" t="str">
        <f t="shared" ca="1" si="1799"/>
        <v>X</v>
      </c>
      <c r="FV405" s="58" t="str">
        <f t="shared" ca="1" si="1799"/>
        <v>X</v>
      </c>
      <c r="FW405" s="58" t="str">
        <f t="shared" ca="1" si="1799"/>
        <v>X</v>
      </c>
      <c r="FX405" s="58" t="str">
        <f t="shared" ca="1" si="1799"/>
        <v>X</v>
      </c>
      <c r="FY405" s="58" t="str">
        <f t="shared" ca="1" si="1799"/>
        <v>X</v>
      </c>
      <c r="FZ405" s="58" t="str">
        <f t="shared" ca="1" si="1799"/>
        <v>X</v>
      </c>
      <c r="GA405" s="58" t="str">
        <f t="shared" ca="1" si="1799"/>
        <v>X</v>
      </c>
      <c r="GB405" s="58" t="str">
        <f t="shared" ca="1" si="1799"/>
        <v>X</v>
      </c>
      <c r="GC405" s="58" t="str">
        <f t="shared" ca="1" si="1799"/>
        <v>X</v>
      </c>
      <c r="GD405" s="58" t="str">
        <f t="shared" ca="1" si="1799"/>
        <v>X</v>
      </c>
      <c r="GE405" s="58" t="str">
        <f t="shared" ca="1" si="1799"/>
        <v>X</v>
      </c>
      <c r="GF405" s="58" t="str">
        <f t="shared" ca="1" si="1799"/>
        <v>X</v>
      </c>
      <c r="GG405" s="58" t="str">
        <f t="shared" ca="1" si="1799"/>
        <v>X</v>
      </c>
      <c r="GH405" s="58" t="str">
        <f t="shared" ca="1" si="1799"/>
        <v>X</v>
      </c>
      <c r="GI405" s="58" t="str">
        <f t="shared" ca="1" si="1799"/>
        <v>X</v>
      </c>
      <c r="GJ405" s="58" t="str">
        <f t="shared" ca="1" si="1799"/>
        <v>X</v>
      </c>
      <c r="GK405" s="58" t="str">
        <f t="shared" ca="1" si="1799"/>
        <v>X</v>
      </c>
      <c r="GL405" s="58" t="str">
        <f t="shared" ca="1" si="1799"/>
        <v>X</v>
      </c>
      <c r="GM405" s="58" t="str">
        <f t="shared" ca="1" si="1799"/>
        <v>X</v>
      </c>
      <c r="GN405" s="58" t="str">
        <f t="shared" ca="1" si="1799"/>
        <v>X</v>
      </c>
      <c r="GO405" s="58" t="str">
        <f t="shared" ca="1" si="1799"/>
        <v>X</v>
      </c>
      <c r="GP405" s="58" t="str">
        <f t="shared" ca="1" si="1799"/>
        <v>X</v>
      </c>
      <c r="GQ405" s="58" t="str">
        <f t="shared" ca="1" si="1799"/>
        <v>X</v>
      </c>
      <c r="GR405" s="58" t="str">
        <f t="shared" ca="1" si="1799"/>
        <v>X</v>
      </c>
      <c r="GS405" s="58" t="str">
        <f t="shared" ca="1" si="1799"/>
        <v>X</v>
      </c>
      <c r="GT405" s="58" t="str">
        <f t="shared" ca="1" si="1799"/>
        <v>X</v>
      </c>
      <c r="GU405" s="82" t="str">
        <f t="shared" ca="1" si="1617"/>
        <v>X</v>
      </c>
      <c r="GV405" s="58" t="str">
        <f t="shared" ca="1" si="1618"/>
        <v>X</v>
      </c>
      <c r="GW405" s="58" t="str">
        <f t="shared" ca="1" si="1618"/>
        <v>X</v>
      </c>
      <c r="GX405" s="58" t="str">
        <f t="shared" ca="1" si="1618"/>
        <v>X</v>
      </c>
      <c r="GY405" s="58" t="str">
        <f t="shared" ca="1" si="1618"/>
        <v>X</v>
      </c>
      <c r="GZ405" s="58" t="str">
        <f t="shared" ca="1" si="1618"/>
        <v>X</v>
      </c>
      <c r="HA405" s="58" t="str">
        <f t="shared" ca="1" si="1618"/>
        <v>X</v>
      </c>
      <c r="HB405" s="58" t="str">
        <f t="shared" ca="1" si="1618"/>
        <v>X</v>
      </c>
      <c r="HC405" s="58" t="str">
        <f t="shared" ca="1" si="1618"/>
        <v>X</v>
      </c>
      <c r="HD405" s="58" t="str">
        <f t="shared" ca="1" si="1618"/>
        <v>X</v>
      </c>
      <c r="HE405" s="58" t="str">
        <f t="shared" ca="1" si="1618"/>
        <v>X</v>
      </c>
      <c r="HF405" s="58">
        <f t="shared" ca="1" si="1618"/>
        <v>46052</v>
      </c>
      <c r="HG405" s="58">
        <f t="shared" ca="1" si="1618"/>
        <v>46052</v>
      </c>
      <c r="HH405" s="58">
        <f t="shared" ca="1" si="1618"/>
        <v>46052</v>
      </c>
      <c r="HI405" s="58" t="str">
        <f t="shared" ca="1" si="1618"/>
        <v>X</v>
      </c>
      <c r="HJ405" s="58" t="str">
        <f t="shared" ca="1" si="1618"/>
        <v>X</v>
      </c>
      <c r="HK405" s="58" t="str">
        <f t="shared" ca="1" si="1618"/>
        <v>X</v>
      </c>
      <c r="HL405" s="58" t="str">
        <f t="shared" ca="1" si="1634"/>
        <v>X</v>
      </c>
      <c r="HM405" s="58" t="str">
        <f t="shared" ca="1" si="1634"/>
        <v>X</v>
      </c>
      <c r="HN405" s="58" t="str">
        <f t="shared" ca="1" si="1634"/>
        <v>X</v>
      </c>
      <c r="HO405" s="58" t="str">
        <f t="shared" ca="1" si="1634"/>
        <v>X</v>
      </c>
      <c r="HP405" s="58" t="str">
        <f t="shared" ca="1" si="1634"/>
        <v>X</v>
      </c>
      <c r="HQ405" s="58" t="str">
        <f t="shared" ca="1" si="1634"/>
        <v>X</v>
      </c>
      <c r="HR405" s="58" t="str">
        <f t="shared" ca="1" si="1634"/>
        <v>X</v>
      </c>
      <c r="HS405" s="58" t="str">
        <f t="shared" ca="1" si="1634"/>
        <v>X</v>
      </c>
      <c r="HT405" s="58" t="str">
        <f t="shared" ca="1" si="1634"/>
        <v>X</v>
      </c>
      <c r="HU405" s="58" t="str">
        <f t="shared" ca="1" si="1634"/>
        <v>X</v>
      </c>
      <c r="HV405" s="58" t="str">
        <f t="shared" ca="1" si="1634"/>
        <v>X</v>
      </c>
      <c r="HW405" s="58" t="str">
        <f t="shared" ca="1" si="1634"/>
        <v>X</v>
      </c>
      <c r="HX405" s="58" t="str">
        <f t="shared" ca="1" si="1634"/>
        <v>X</v>
      </c>
      <c r="HY405" s="58" t="str">
        <f t="shared" ca="1" si="1634"/>
        <v>X</v>
      </c>
      <c r="HZ405" s="58" t="str">
        <f t="shared" ca="1" si="1634"/>
        <v>X</v>
      </c>
      <c r="IA405" s="58" t="str">
        <f t="shared" ca="1" si="1634"/>
        <v>X</v>
      </c>
      <c r="IB405" s="58" t="str">
        <f t="shared" ca="1" si="1650"/>
        <v>X</v>
      </c>
      <c r="IC405" s="58" t="str">
        <f t="shared" ca="1" si="1650"/>
        <v>X</v>
      </c>
      <c r="ID405" s="58" t="str">
        <f t="shared" ca="1" si="1650"/>
        <v>X</v>
      </c>
      <c r="IE405" s="58" t="str">
        <f t="shared" ca="1" si="1650"/>
        <v>X</v>
      </c>
      <c r="IF405" s="58" t="str">
        <f t="shared" ca="1" si="1650"/>
        <v>X</v>
      </c>
      <c r="IG405" s="58" t="str">
        <f t="shared" ca="1" si="1650"/>
        <v>X</v>
      </c>
      <c r="IH405" s="58" t="str">
        <f t="shared" ca="1" si="1650"/>
        <v>X</v>
      </c>
      <c r="II405" s="58" t="str">
        <f t="shared" ca="1" si="1650"/>
        <v>X</v>
      </c>
      <c r="IJ405" s="58" t="str">
        <f t="shared" ca="1" si="1650"/>
        <v>X</v>
      </c>
      <c r="IK405" s="58" t="str">
        <f t="shared" ca="1" si="1650"/>
        <v>X</v>
      </c>
      <c r="IL405" s="58" t="str">
        <f t="shared" ca="1" si="1650"/>
        <v>X</v>
      </c>
      <c r="IM405" s="58" t="str">
        <f t="shared" ca="1" si="1650"/>
        <v>X</v>
      </c>
      <c r="IN405" s="58" t="str">
        <f t="shared" ca="1" si="1650"/>
        <v>X</v>
      </c>
      <c r="IO405" s="58" t="str">
        <f t="shared" ca="1" si="1650"/>
        <v>X</v>
      </c>
      <c r="IP405" s="58" t="str">
        <f t="shared" ca="1" si="1650"/>
        <v>X</v>
      </c>
      <c r="IQ405" s="58" t="str">
        <f t="shared" ca="1" si="1650"/>
        <v>X</v>
      </c>
      <c r="IR405" s="58" t="str">
        <f t="shared" ca="1" si="1666"/>
        <v>X</v>
      </c>
      <c r="IS405" s="58" t="str">
        <f t="shared" ca="1" si="1666"/>
        <v>X</v>
      </c>
      <c r="IT405" s="58" t="str">
        <f t="shared" ca="1" si="1666"/>
        <v>X</v>
      </c>
      <c r="IU405" s="58" t="str">
        <f t="shared" ca="1" si="1666"/>
        <v>X</v>
      </c>
      <c r="IV405" s="58" t="str">
        <f t="shared" ca="1" si="1666"/>
        <v>X</v>
      </c>
      <c r="IW405" s="58" t="str">
        <f t="shared" ca="1" si="1666"/>
        <v>X</v>
      </c>
      <c r="IX405" s="58" t="str">
        <f t="shared" ca="1" si="1666"/>
        <v>X</v>
      </c>
      <c r="IY405" s="58" t="str">
        <f t="shared" ca="1" si="1666"/>
        <v>X</v>
      </c>
      <c r="IZ405" s="58" t="str">
        <f t="shared" ca="1" si="1666"/>
        <v>X</v>
      </c>
      <c r="JA405" s="58" t="str">
        <f t="shared" ca="1" si="1666"/>
        <v>X</v>
      </c>
      <c r="JB405" s="58" t="str">
        <f t="shared" ca="1" si="1666"/>
        <v>X</v>
      </c>
      <c r="JC405" s="58" t="str">
        <f t="shared" ca="1" si="1666"/>
        <v>X</v>
      </c>
      <c r="JD405" s="58" t="str">
        <f t="shared" ca="1" si="1666"/>
        <v>X</v>
      </c>
      <c r="JE405" s="58" t="str">
        <f t="shared" ca="1" si="1666"/>
        <v>X</v>
      </c>
      <c r="JF405" s="58" t="str">
        <f t="shared" ca="1" si="1666"/>
        <v>X</v>
      </c>
      <c r="JG405" s="58" t="str">
        <f t="shared" ca="1" si="1666"/>
        <v>X</v>
      </c>
      <c r="JH405" s="58" t="str">
        <f t="shared" ca="1" si="1682"/>
        <v>X</v>
      </c>
      <c r="JI405" s="58" t="str">
        <f t="shared" ca="1" si="1682"/>
        <v>X</v>
      </c>
      <c r="JJ405" s="58" t="str">
        <f t="shared" ca="1" si="1682"/>
        <v>X</v>
      </c>
      <c r="JK405" s="58" t="str">
        <f t="shared" ca="1" si="1682"/>
        <v>X</v>
      </c>
      <c r="JL405" s="58" t="str">
        <f t="shared" ca="1" si="1682"/>
        <v>X</v>
      </c>
      <c r="JM405" s="58" t="str">
        <f t="shared" ca="1" si="1682"/>
        <v>X</v>
      </c>
      <c r="JN405" s="58" t="str">
        <f t="shared" ca="1" si="1682"/>
        <v>X</v>
      </c>
      <c r="JO405" s="58" t="str">
        <f t="shared" ca="1" si="1682"/>
        <v>X</v>
      </c>
      <c r="JP405" s="58" t="str">
        <f t="shared" ca="1" si="1682"/>
        <v>X</v>
      </c>
      <c r="JQ405" s="58" t="str">
        <f t="shared" ca="1" si="1682"/>
        <v>X</v>
      </c>
      <c r="JR405" s="58" t="str">
        <f t="shared" ca="1" si="1682"/>
        <v>X</v>
      </c>
      <c r="JS405" s="58" t="str">
        <f t="shared" ca="1" si="1682"/>
        <v>X</v>
      </c>
      <c r="JT405" s="58" t="str">
        <f t="shared" ca="1" si="1682"/>
        <v>X</v>
      </c>
      <c r="JU405" s="58" t="str">
        <f t="shared" ca="1" si="1682"/>
        <v>X</v>
      </c>
      <c r="JV405" s="58" t="str">
        <f t="shared" ca="1" si="1682"/>
        <v>X</v>
      </c>
      <c r="JW405" s="58" t="str">
        <f t="shared" ca="1" si="1682"/>
        <v>X</v>
      </c>
      <c r="JX405" s="58" t="str">
        <f t="shared" ca="1" si="1698"/>
        <v>X</v>
      </c>
      <c r="JY405" s="58" t="str">
        <f t="shared" ca="1" si="1698"/>
        <v>X</v>
      </c>
      <c r="JZ405" s="58" t="str">
        <f t="shared" ca="1" si="1698"/>
        <v>X</v>
      </c>
      <c r="KA405" s="58" t="str">
        <f t="shared" ca="1" si="1698"/>
        <v>X</v>
      </c>
      <c r="KB405" s="58" t="str">
        <f t="shared" ca="1" si="1698"/>
        <v>X</v>
      </c>
      <c r="KC405" s="58" t="str">
        <f t="shared" ca="1" si="1698"/>
        <v>X</v>
      </c>
      <c r="KD405" s="58" t="str">
        <f t="shared" ca="1" si="1698"/>
        <v>X</v>
      </c>
      <c r="KE405" s="58" t="str">
        <f t="shared" ca="1" si="1698"/>
        <v>X</v>
      </c>
      <c r="KF405" s="58" t="str">
        <f t="shared" ca="1" si="1698"/>
        <v>X</v>
      </c>
      <c r="KG405" s="58" t="str">
        <f t="shared" ca="1" si="1698"/>
        <v>X</v>
      </c>
      <c r="KH405" s="58" t="str">
        <f t="shared" ca="1" si="1698"/>
        <v>X</v>
      </c>
      <c r="KI405" s="58" t="str">
        <f t="shared" ca="1" si="1698"/>
        <v>X</v>
      </c>
      <c r="KJ405" s="58" t="str">
        <f t="shared" ca="1" si="1698"/>
        <v>X</v>
      </c>
      <c r="KK405" s="58" t="str">
        <f t="shared" ca="1" si="1698"/>
        <v>X</v>
      </c>
      <c r="KL405" s="58" t="str">
        <f t="shared" ca="1" si="1698"/>
        <v>X</v>
      </c>
      <c r="KM405" s="58" t="str">
        <f t="shared" ca="1" si="1698"/>
        <v>X</v>
      </c>
      <c r="KN405" s="58" t="str">
        <f t="shared" ca="1" si="1714"/>
        <v>X</v>
      </c>
      <c r="KO405" s="58" t="str">
        <f t="shared" ca="1" si="1714"/>
        <v>X</v>
      </c>
      <c r="KP405" s="58" t="str">
        <f t="shared" ca="1" si="1714"/>
        <v>X</v>
      </c>
      <c r="KQ405" s="58" t="str">
        <f t="shared" ca="1" si="1714"/>
        <v>X</v>
      </c>
      <c r="KR405" s="58" t="str">
        <f t="shared" ca="1" si="1714"/>
        <v>X</v>
      </c>
      <c r="KS405" s="58" t="str">
        <f t="shared" ca="1" si="1714"/>
        <v>X</v>
      </c>
      <c r="KT405" s="58" t="str">
        <f t="shared" ca="1" si="1714"/>
        <v>X</v>
      </c>
      <c r="KU405" s="58" t="str">
        <f t="shared" ca="1" si="1714"/>
        <v>X</v>
      </c>
      <c r="KV405" s="58" t="str">
        <f t="shared" ca="1" si="1714"/>
        <v>X</v>
      </c>
      <c r="KW405" s="58" t="str">
        <f t="shared" ca="1" si="1714"/>
        <v>X</v>
      </c>
      <c r="KX405" s="58" t="str">
        <f t="shared" ca="1" si="1714"/>
        <v>X</v>
      </c>
      <c r="KY405" s="58" t="str">
        <f t="shared" ca="1" si="1714"/>
        <v>X</v>
      </c>
      <c r="KZ405" s="58" t="str">
        <f t="shared" ca="1" si="1714"/>
        <v>X</v>
      </c>
      <c r="LA405" s="58" t="str">
        <f t="shared" ca="1" si="1714"/>
        <v>X</v>
      </c>
      <c r="LB405" s="58" t="str">
        <f t="shared" ca="1" si="1714"/>
        <v>X</v>
      </c>
      <c r="LC405" s="58" t="str">
        <f t="shared" ca="1" si="1714"/>
        <v>X</v>
      </c>
      <c r="LD405" s="58" t="str">
        <f t="shared" ca="1" si="1730"/>
        <v>X</v>
      </c>
      <c r="LE405" s="58" t="str">
        <f t="shared" ca="1" si="1730"/>
        <v>X</v>
      </c>
      <c r="LF405" s="58" t="str">
        <f t="shared" ca="1" si="1730"/>
        <v>X</v>
      </c>
      <c r="LG405" s="58" t="str">
        <f t="shared" ca="1" si="1730"/>
        <v>X</v>
      </c>
      <c r="LH405" s="58" t="str">
        <f t="shared" ca="1" si="1730"/>
        <v>X</v>
      </c>
      <c r="LI405" s="58" t="str">
        <f t="shared" ca="1" si="1730"/>
        <v>X</v>
      </c>
      <c r="LJ405" s="58" t="str">
        <f t="shared" ca="1" si="1730"/>
        <v>X</v>
      </c>
      <c r="LK405" s="58" t="str">
        <f t="shared" ca="1" si="1730"/>
        <v>X</v>
      </c>
      <c r="LL405" s="58" t="str">
        <f t="shared" ca="1" si="1730"/>
        <v>X</v>
      </c>
      <c r="LM405" s="58" t="str">
        <f t="shared" ca="1" si="1730"/>
        <v>X</v>
      </c>
      <c r="LN405" s="58" t="str">
        <f t="shared" ca="1" si="1730"/>
        <v>X</v>
      </c>
      <c r="LO405" s="58" t="str">
        <f t="shared" ca="1" si="1730"/>
        <v>X</v>
      </c>
      <c r="LP405" s="58" t="str">
        <f t="shared" ca="1" si="1730"/>
        <v>X</v>
      </c>
      <c r="LQ405" s="58" t="str">
        <f t="shared" ca="1" si="1730"/>
        <v>X</v>
      </c>
      <c r="LR405" s="58" t="str">
        <f t="shared" ca="1" si="1730"/>
        <v>X</v>
      </c>
      <c r="LS405" s="58" t="str">
        <f t="shared" ca="1" si="1730"/>
        <v>X</v>
      </c>
      <c r="LT405" s="58" t="str">
        <f t="shared" ca="1" si="1746"/>
        <v>X</v>
      </c>
      <c r="LU405" s="58" t="str">
        <f t="shared" ca="1" si="1746"/>
        <v>X</v>
      </c>
      <c r="LV405" s="58" t="str">
        <f t="shared" ca="1" si="1746"/>
        <v>X</v>
      </c>
      <c r="LW405" s="58" t="str">
        <f t="shared" ca="1" si="1746"/>
        <v>X</v>
      </c>
      <c r="LX405" s="58" t="str">
        <f t="shared" ca="1" si="1746"/>
        <v>X</v>
      </c>
      <c r="LY405" s="58" t="str">
        <f t="shared" ca="1" si="1746"/>
        <v>X</v>
      </c>
      <c r="LZ405" s="58" t="str">
        <f t="shared" ca="1" si="1746"/>
        <v>X</v>
      </c>
      <c r="MA405" s="58" t="str">
        <f t="shared" ca="1" si="1746"/>
        <v>X</v>
      </c>
      <c r="MB405" s="58" t="str">
        <f t="shared" ca="1" si="1746"/>
        <v>X</v>
      </c>
      <c r="MC405" s="58" t="str">
        <f t="shared" ca="1" si="1746"/>
        <v>X</v>
      </c>
      <c r="MD405" s="58" t="str">
        <f t="shared" ca="1" si="1746"/>
        <v>X</v>
      </c>
      <c r="ME405" s="58" t="str">
        <f t="shared" ca="1" si="1746"/>
        <v>X</v>
      </c>
      <c r="MF405" s="58" t="str">
        <f t="shared" ca="1" si="1746"/>
        <v>X</v>
      </c>
      <c r="MG405" s="58" t="str">
        <f t="shared" ca="1" si="1746"/>
        <v>X</v>
      </c>
      <c r="MH405" s="58" t="str">
        <f t="shared" ca="1" si="1746"/>
        <v>X</v>
      </c>
      <c r="MI405" s="58" t="str">
        <f t="shared" ca="1" si="1746"/>
        <v>X</v>
      </c>
      <c r="MJ405" s="58" t="str">
        <f t="shared" ca="1" si="1762"/>
        <v>X</v>
      </c>
      <c r="MK405" s="58" t="str">
        <f t="shared" ca="1" si="1762"/>
        <v>X</v>
      </c>
      <c r="ML405" s="58" t="str">
        <f t="shared" ca="1" si="1762"/>
        <v>X</v>
      </c>
      <c r="MM405" s="58" t="str">
        <f t="shared" ca="1" si="1762"/>
        <v>X</v>
      </c>
      <c r="MN405" s="58" t="str">
        <f t="shared" ca="1" si="1762"/>
        <v>X</v>
      </c>
      <c r="MO405" s="58" t="str">
        <f t="shared" ca="1" si="1762"/>
        <v>X</v>
      </c>
      <c r="MP405" s="58" t="str">
        <f t="shared" ca="1" si="1762"/>
        <v>X</v>
      </c>
      <c r="MQ405" s="58" t="str">
        <f t="shared" ca="1" si="1762"/>
        <v>X</v>
      </c>
      <c r="MR405" s="58" t="str">
        <f t="shared" ca="1" si="1762"/>
        <v>X</v>
      </c>
      <c r="MS405" s="58" t="str">
        <f t="shared" ca="1" si="1762"/>
        <v>X</v>
      </c>
      <c r="MT405" s="58" t="str">
        <f t="shared" ca="1" si="1762"/>
        <v>X</v>
      </c>
      <c r="MU405" s="58" t="str">
        <f t="shared" ca="1" si="1762"/>
        <v>X</v>
      </c>
      <c r="MV405" s="58" t="str">
        <f t="shared" ca="1" si="1762"/>
        <v>X</v>
      </c>
      <c r="MW405" s="58" t="str">
        <f t="shared" ca="1" si="1762"/>
        <v>X</v>
      </c>
      <c r="MX405" s="58" t="str">
        <f t="shared" ca="1" si="1762"/>
        <v>X</v>
      </c>
      <c r="MY405" s="58" t="str">
        <f t="shared" ca="1" si="1762"/>
        <v>X</v>
      </c>
      <c r="MZ405" s="58" t="str">
        <f t="shared" ca="1" si="1798"/>
        <v>X</v>
      </c>
      <c r="NA405" s="58" t="str">
        <f t="shared" ca="1" si="1798"/>
        <v>X</v>
      </c>
      <c r="NB405" s="58" t="str">
        <f t="shared" ca="1" si="1798"/>
        <v>X</v>
      </c>
      <c r="NC405" s="58" t="str">
        <f t="shared" ca="1" si="1798"/>
        <v>X</v>
      </c>
      <c r="ND405" s="58" t="str">
        <f t="shared" ca="1" si="1798"/>
        <v>X</v>
      </c>
      <c r="NE405" s="58" t="str">
        <f t="shared" ca="1" si="1798"/>
        <v>X</v>
      </c>
      <c r="NF405" s="58" t="str">
        <f t="shared" ca="1" si="1798"/>
        <v>X</v>
      </c>
      <c r="NG405" s="58" t="str">
        <f t="shared" ca="1" si="1798"/>
        <v>X</v>
      </c>
    </row>
    <row r="406" spans="1:371" ht="18" customHeight="1">
      <c r="A406" s="241" t="s">
        <v>100</v>
      </c>
      <c r="B406" s="304"/>
      <c r="C406" s="304"/>
      <c r="D406" s="304"/>
      <c r="E406" s="304"/>
      <c r="F406" s="304"/>
      <c r="G406" s="304"/>
      <c r="H406" s="304"/>
      <c r="I406" s="304"/>
      <c r="J406" s="303"/>
      <c r="K406" s="237" t="s">
        <v>34</v>
      </c>
      <c r="L406" s="303"/>
      <c r="M406" s="60">
        <v>4</v>
      </c>
      <c r="N406" s="225" t="s">
        <v>91</v>
      </c>
      <c r="O406" s="304"/>
      <c r="P406" s="304"/>
      <c r="Q406" s="304"/>
      <c r="R406" s="303"/>
      <c r="S406" s="226">
        <v>93745</v>
      </c>
      <c r="T406" s="304"/>
      <c r="U406" s="303"/>
      <c r="V406" s="227" t="s">
        <v>89</v>
      </c>
      <c r="W406" s="303"/>
      <c r="X406" s="56">
        <v>46097</v>
      </c>
      <c r="Y406" s="56">
        <v>46097</v>
      </c>
      <c r="Z406" s="228" t="str">
        <f t="shared" ca="1" si="1612"/>
        <v>CONCLUÍDA</v>
      </c>
      <c r="AA406" s="304"/>
      <c r="AB406" s="303"/>
      <c r="AC406" s="224">
        <f t="shared" si="1777"/>
        <v>4</v>
      </c>
      <c r="AD406" s="303"/>
      <c r="AE406" s="229">
        <f t="shared" si="1778"/>
        <v>0</v>
      </c>
      <c r="AF406" s="303"/>
      <c r="AG406" s="57" t="str">
        <f t="shared" si="1615"/>
        <v>OK</v>
      </c>
      <c r="AH406" s="21"/>
      <c r="AI406" s="70"/>
      <c r="AJ406" s="58" t="str">
        <f t="shared" ref="AJ406:GT406" ca="1" si="1800">IF($K406=INDIRECT(CONCATENATE("$C$"&amp;AJ$392)), INDIRECT(CONCATENATE("$C$"&amp;AJ$391)),
IF($K406=INDIRECT(CONCATENATE("$D$"&amp;AJ$392)), INDIRECT(CONCATENATE("$D$"&amp;AJ$391)),
IF($K406=INDIRECT(CONCATENATE("$E$"&amp;AJ$392)), INDIRECT(CONCATENATE("$E$"&amp;AJ$391)),
IF($K406=INDIRECT(CONCATENATE("$F$"&amp;AJ$392)), INDIRECT(CONCATENATE("$F$"&amp;AJ$391)),
IF($K406=INDIRECT(CONCATENATE("$G$"&amp;AJ$392)), INDIRECT(CONCATENATE("$G$"&amp;AJ$391)),
IF($K406=INDIRECT(CONCATENATE("$H$"&amp;AJ$392)), INDIRECT(CONCATENATE("$H$"&amp;AJ$391)),
IF($K406=INDIRECT(CONCATENATE("$I$"&amp;AJ$392)), INDIRECT(CONCATENATE("$I$"&amp;AJ$391)),
IF($K406=INDIRECT(CONCATENATE("$J$"&amp;AJ$392)), INDIRECT(CONCATENATE("$J$"&amp;AJ$391)),
IF($K406=INDIRECT(CONCATENATE("$K$"&amp;AJ$392)), INDIRECT(CONCATENATE("$K$"&amp;AJ$391)),
IF($K406=INDIRECT(CONCATENATE("$L$"&amp;AJ$392)), INDIRECT(CONCATENATE("$L$"&amp;AJ$391)),
IF($K406=INDIRECT(CONCATENATE("$M$"&amp;AJ$392)), INDIRECT(CONCATENATE("$M$"&amp;AJ$391)),
IF($K406=INDIRECT(CONCATENATE("$N$"&amp;AJ$392)), INDIRECT(CONCATENATE("$N$"&amp;AJ$391)),
IF($K406=INDIRECT(CONCATENATE("$O$"&amp;AJ$392)), INDIRECT(CONCATENATE("$O$"&amp;AJ$391)),
IF($K406=INDIRECT(CONCATENATE("$P$"&amp;AJ$392)), INDIRECT(CONCATENATE("$P$"&amp;AJ$391)),
IF($K406=INDIRECT(CONCATENATE("$Q$"&amp;AJ$392)), INDIRECT(CONCATENATE("$Q$"&amp;AJ$391)),
IF($K406=INDIRECT(CONCATENATE("$R$"&amp;AJ$392)), INDIRECT(CONCATENATE("$R$"&amp;AJ$391)),
IF($K406=INDIRECT(CONCATENATE("$S$"&amp;AJ$392)), INDIRECT(CONCATENATE("$S$"&amp;AJ$391)),
IF($K406=INDIRECT(CONCATENATE("$T$"&amp;AJ$392)), INDIRECT(CONCATENATE("$T$"&amp;AJ$391)),
IF($K406=INDIRECT(CONCATENATE("$U$"&amp;AJ$392)), INDIRECT(CONCATENATE("$U$"&amp;AJ$391)),
IF($K406=INDIRECT(CONCATENATE("$V$"&amp;AJ$392)), INDIRECT(CONCATENATE("$V$"&amp;AJ$391)),
IF($K406=INDIRECT(CONCATENATE("$W$"&amp;AJ$392)), INDIRECT(CONCATENATE("$W$"&amp;AJ$391)),
IF($K406=INDIRECT(CONCATENATE("$X$"&amp;AJ$392)), INDIRECT(CONCATENATE("$X$"&amp;AJ$391)),
IF($K406=INDIRECT(CONCATENATE("$Y$"&amp;AJ$392)), INDIRECT(CONCATENATE("$Y$"&amp;AJ$391)),
IF($K406=INDIRECT(CONCATENATE("$Z$"&amp;AJ$392)), INDIRECT(CONCATENATE("$Z$"&amp;AJ$391)),
IF($K406=INDIRECT(CONCATENATE("$AA$"&amp;AJ$392)), INDIRECT(CONCATENATE("$AA$"&amp;AJ$391)),
IF($K406=INDIRECT(CONCATENATE("$AB$"&amp;AJ$392)), INDIRECT(CONCATENATE("$AB$"&amp;AJ$391)),
IF($K406=INDIRECT(CONCATENATE("$AC$"&amp;AJ$392)), INDIRECT(CONCATENATE("$AC$"&amp;AJ$391)),
IF($K406=INDIRECT(CONCATENATE("$AD$"&amp;AJ$392)), INDIRECT(CONCATENATE("$AD$"&amp;AJ$391)),
IF($K406=INDIRECT(CONCATENATE("$AE$"&amp;AJ$392)), INDIRECT(CONCATENATE("$AE$"&amp;AJ$391)),
IF($K406=INDIRECT(CONCATENATE("$AF$"&amp;AJ$392)), INDIRECT(CONCATENATE("$AF$"&amp;AJ$391)),
IF($K406=INDIRECT(CONCATENATE("$AG$"&amp;AJ$392)), INDIRECT(CONCATENATE("$AG$"&amp;AJ$391)),"X")))))))))))))))))))))))))))))))</f>
        <v>X</v>
      </c>
      <c r="AK406" s="58" t="str">
        <f t="shared" ca="1" si="1800"/>
        <v>X</v>
      </c>
      <c r="AL406" s="58" t="str">
        <f t="shared" ca="1" si="1800"/>
        <v>X</v>
      </c>
      <c r="AM406" s="58" t="str">
        <f t="shared" ca="1" si="1800"/>
        <v>X</v>
      </c>
      <c r="AN406" s="58" t="str">
        <f t="shared" ca="1" si="1800"/>
        <v>X</v>
      </c>
      <c r="AO406" s="58" t="str">
        <f t="shared" ca="1" si="1800"/>
        <v>X</v>
      </c>
      <c r="AP406" s="58" t="str">
        <f t="shared" ca="1" si="1800"/>
        <v>X</v>
      </c>
      <c r="AQ406" s="58" t="str">
        <f t="shared" ca="1" si="1800"/>
        <v>X</v>
      </c>
      <c r="AR406" s="58" t="str">
        <f t="shared" ca="1" si="1800"/>
        <v>X</v>
      </c>
      <c r="AS406" s="58" t="str">
        <f t="shared" ca="1" si="1800"/>
        <v>X</v>
      </c>
      <c r="AT406" s="58" t="str">
        <f t="shared" ca="1" si="1800"/>
        <v>X</v>
      </c>
      <c r="AU406" s="58" t="str">
        <f t="shared" ca="1" si="1800"/>
        <v>X</v>
      </c>
      <c r="AV406" s="58" t="str">
        <f t="shared" ca="1" si="1800"/>
        <v>X</v>
      </c>
      <c r="AW406" s="58" t="str">
        <f t="shared" ca="1" si="1800"/>
        <v>X</v>
      </c>
      <c r="AX406" s="58" t="str">
        <f t="shared" ca="1" si="1800"/>
        <v>X</v>
      </c>
      <c r="AY406" s="58" t="str">
        <f t="shared" ca="1" si="1800"/>
        <v>X</v>
      </c>
      <c r="AZ406" s="58" t="str">
        <f t="shared" ca="1" si="1800"/>
        <v>X</v>
      </c>
      <c r="BA406" s="58" t="str">
        <f t="shared" ca="1" si="1800"/>
        <v>X</v>
      </c>
      <c r="BB406" s="58" t="str">
        <f t="shared" ca="1" si="1800"/>
        <v>X</v>
      </c>
      <c r="BC406" s="58" t="str">
        <f t="shared" ca="1" si="1800"/>
        <v>X</v>
      </c>
      <c r="BD406" s="58" t="str">
        <f t="shared" ca="1" si="1800"/>
        <v>X</v>
      </c>
      <c r="BE406" s="58" t="str">
        <f t="shared" ca="1" si="1800"/>
        <v>X</v>
      </c>
      <c r="BF406" s="58" t="str">
        <f t="shared" ca="1" si="1800"/>
        <v>X</v>
      </c>
      <c r="BG406" s="58" t="str">
        <f t="shared" ca="1" si="1800"/>
        <v>X</v>
      </c>
      <c r="BH406" s="58" t="str">
        <f t="shared" ca="1" si="1800"/>
        <v>X</v>
      </c>
      <c r="BI406" s="58" t="str">
        <f t="shared" ca="1" si="1800"/>
        <v>X</v>
      </c>
      <c r="BJ406" s="58" t="str">
        <f t="shared" ca="1" si="1800"/>
        <v>X</v>
      </c>
      <c r="BK406" s="58" t="str">
        <f t="shared" ca="1" si="1800"/>
        <v>X</v>
      </c>
      <c r="BL406" s="58">
        <f t="shared" ca="1" si="1800"/>
        <v>46097</v>
      </c>
      <c r="BM406" s="58">
        <f t="shared" ca="1" si="1800"/>
        <v>46097</v>
      </c>
      <c r="BN406" s="58">
        <f t="shared" ca="1" si="1800"/>
        <v>46097</v>
      </c>
      <c r="BO406" s="58">
        <f t="shared" ca="1" si="1800"/>
        <v>46097</v>
      </c>
      <c r="BP406" s="58" t="str">
        <f t="shared" ca="1" si="1800"/>
        <v>X</v>
      </c>
      <c r="BQ406" s="58" t="str">
        <f t="shared" ca="1" si="1800"/>
        <v>X</v>
      </c>
      <c r="BR406" s="58" t="str">
        <f t="shared" ca="1" si="1800"/>
        <v>X</v>
      </c>
      <c r="BS406" s="58" t="str">
        <f t="shared" ca="1" si="1800"/>
        <v>X</v>
      </c>
      <c r="BT406" s="58" t="str">
        <f t="shared" ca="1" si="1800"/>
        <v>X</v>
      </c>
      <c r="BU406" s="58" t="str">
        <f t="shared" ca="1" si="1800"/>
        <v>X</v>
      </c>
      <c r="BV406" s="58" t="str">
        <f t="shared" ca="1" si="1800"/>
        <v>X</v>
      </c>
      <c r="BW406" s="58" t="str">
        <f t="shared" ca="1" si="1800"/>
        <v>X</v>
      </c>
      <c r="BX406" s="58" t="str">
        <f t="shared" ca="1" si="1800"/>
        <v>X</v>
      </c>
      <c r="BY406" s="58" t="str">
        <f t="shared" ca="1" si="1800"/>
        <v>X</v>
      </c>
      <c r="BZ406" s="58" t="str">
        <f t="shared" ca="1" si="1800"/>
        <v>X</v>
      </c>
      <c r="CA406" s="58" t="str">
        <f t="shared" ca="1" si="1800"/>
        <v>X</v>
      </c>
      <c r="CB406" s="58" t="str">
        <f t="shared" ca="1" si="1800"/>
        <v>X</v>
      </c>
      <c r="CC406" s="58" t="str">
        <f t="shared" ca="1" si="1800"/>
        <v>X</v>
      </c>
      <c r="CD406" s="58" t="str">
        <f t="shared" ca="1" si="1800"/>
        <v>X</v>
      </c>
      <c r="CE406" s="58" t="str">
        <f t="shared" ca="1" si="1800"/>
        <v>X</v>
      </c>
      <c r="CF406" s="58" t="str">
        <f t="shared" ca="1" si="1800"/>
        <v>X</v>
      </c>
      <c r="CG406" s="58" t="str">
        <f t="shared" ca="1" si="1800"/>
        <v>X</v>
      </c>
      <c r="CH406" s="58" t="str">
        <f t="shared" ca="1" si="1800"/>
        <v>X</v>
      </c>
      <c r="CI406" s="58" t="str">
        <f t="shared" ca="1" si="1800"/>
        <v>X</v>
      </c>
      <c r="CJ406" s="58" t="str">
        <f t="shared" ca="1" si="1800"/>
        <v>X</v>
      </c>
      <c r="CK406" s="58" t="str">
        <f t="shared" ca="1" si="1800"/>
        <v>X</v>
      </c>
      <c r="CL406" s="58" t="str">
        <f t="shared" ca="1" si="1800"/>
        <v>X</v>
      </c>
      <c r="CM406" s="58" t="str">
        <f t="shared" ca="1" si="1800"/>
        <v>X</v>
      </c>
      <c r="CN406" s="58" t="str">
        <f t="shared" ca="1" si="1800"/>
        <v>X</v>
      </c>
      <c r="CO406" s="58" t="str">
        <f t="shared" ca="1" si="1800"/>
        <v>X</v>
      </c>
      <c r="CP406" s="58" t="str">
        <f t="shared" ca="1" si="1800"/>
        <v>X</v>
      </c>
      <c r="CQ406" s="58" t="str">
        <f t="shared" ca="1" si="1800"/>
        <v>X</v>
      </c>
      <c r="CR406" s="58" t="str">
        <f t="shared" ca="1" si="1800"/>
        <v>X</v>
      </c>
      <c r="CS406" s="58" t="str">
        <f t="shared" ca="1" si="1800"/>
        <v>X</v>
      </c>
      <c r="CT406" s="58" t="str">
        <f t="shared" ca="1" si="1800"/>
        <v>X</v>
      </c>
      <c r="CU406" s="58" t="str">
        <f t="shared" ca="1" si="1800"/>
        <v>X</v>
      </c>
      <c r="CV406" s="58" t="str">
        <f t="shared" ca="1" si="1800"/>
        <v>X</v>
      </c>
      <c r="CW406" s="58" t="str">
        <f t="shared" ca="1" si="1800"/>
        <v>X</v>
      </c>
      <c r="CX406" s="58" t="str">
        <f t="shared" ca="1" si="1800"/>
        <v>X</v>
      </c>
      <c r="CY406" s="58" t="str">
        <f t="shared" ca="1" si="1800"/>
        <v>X</v>
      </c>
      <c r="CZ406" s="58" t="str">
        <f t="shared" ca="1" si="1800"/>
        <v>X</v>
      </c>
      <c r="DA406" s="58" t="str">
        <f t="shared" ca="1" si="1800"/>
        <v>X</v>
      </c>
      <c r="DB406" s="58" t="str">
        <f t="shared" ca="1" si="1800"/>
        <v>X</v>
      </c>
      <c r="DC406" s="58" t="str">
        <f t="shared" ca="1" si="1800"/>
        <v>X</v>
      </c>
      <c r="DD406" s="58" t="str">
        <f t="shared" ca="1" si="1800"/>
        <v>X</v>
      </c>
      <c r="DE406" s="58" t="str">
        <f t="shared" ca="1" si="1800"/>
        <v>X</v>
      </c>
      <c r="DF406" s="58" t="str">
        <f t="shared" ca="1" si="1800"/>
        <v>X</v>
      </c>
      <c r="DG406" s="58" t="str">
        <f t="shared" ca="1" si="1800"/>
        <v>X</v>
      </c>
      <c r="DH406" s="58" t="str">
        <f t="shared" ca="1" si="1800"/>
        <v>X</v>
      </c>
      <c r="DI406" s="58" t="str">
        <f t="shared" ca="1" si="1800"/>
        <v>X</v>
      </c>
      <c r="DJ406" s="58" t="str">
        <f t="shared" ca="1" si="1800"/>
        <v>X</v>
      </c>
      <c r="DK406" s="58" t="str">
        <f t="shared" ca="1" si="1800"/>
        <v>X</v>
      </c>
      <c r="DL406" s="58" t="str">
        <f t="shared" ca="1" si="1800"/>
        <v>X</v>
      </c>
      <c r="DM406" s="58" t="str">
        <f t="shared" ca="1" si="1800"/>
        <v>X</v>
      </c>
      <c r="DN406" s="58" t="str">
        <f t="shared" ca="1" si="1800"/>
        <v>X</v>
      </c>
      <c r="DO406" s="58" t="str">
        <f t="shared" ca="1" si="1800"/>
        <v>X</v>
      </c>
      <c r="DP406" s="58" t="str">
        <f t="shared" ca="1" si="1800"/>
        <v>X</v>
      </c>
      <c r="DQ406" s="58" t="str">
        <f t="shared" ca="1" si="1800"/>
        <v>X</v>
      </c>
      <c r="DR406" s="58" t="str">
        <f t="shared" ca="1" si="1800"/>
        <v>X</v>
      </c>
      <c r="DS406" s="58" t="str">
        <f t="shared" ca="1" si="1800"/>
        <v>X</v>
      </c>
      <c r="DT406" s="58" t="str">
        <f t="shared" ca="1" si="1800"/>
        <v>X</v>
      </c>
      <c r="DU406" s="58" t="str">
        <f t="shared" ca="1" si="1800"/>
        <v>X</v>
      </c>
      <c r="DV406" s="58" t="str">
        <f t="shared" ca="1" si="1800"/>
        <v>X</v>
      </c>
      <c r="DW406" s="58" t="str">
        <f t="shared" ca="1" si="1800"/>
        <v>X</v>
      </c>
      <c r="DX406" s="58" t="str">
        <f t="shared" ca="1" si="1800"/>
        <v>X</v>
      </c>
      <c r="DY406" s="58" t="str">
        <f t="shared" ca="1" si="1800"/>
        <v>X</v>
      </c>
      <c r="DZ406" s="58" t="str">
        <f t="shared" ca="1" si="1800"/>
        <v>X</v>
      </c>
      <c r="EA406" s="58" t="str">
        <f t="shared" ca="1" si="1800"/>
        <v>X</v>
      </c>
      <c r="EB406" s="58" t="str">
        <f t="shared" ca="1" si="1800"/>
        <v>X</v>
      </c>
      <c r="EC406" s="58" t="str">
        <f t="shared" ca="1" si="1800"/>
        <v>X</v>
      </c>
      <c r="ED406" s="58" t="str">
        <f t="shared" ca="1" si="1800"/>
        <v>X</v>
      </c>
      <c r="EE406" s="58" t="str">
        <f t="shared" ca="1" si="1800"/>
        <v>X</v>
      </c>
      <c r="EF406" s="58" t="str">
        <f t="shared" ca="1" si="1800"/>
        <v>X</v>
      </c>
      <c r="EG406" s="58" t="str">
        <f t="shared" ca="1" si="1800"/>
        <v>X</v>
      </c>
      <c r="EH406" s="58" t="str">
        <f t="shared" ca="1" si="1800"/>
        <v>X</v>
      </c>
      <c r="EI406" s="58" t="str">
        <f t="shared" ca="1" si="1800"/>
        <v>X</v>
      </c>
      <c r="EJ406" s="58" t="str">
        <f t="shared" ca="1" si="1800"/>
        <v>X</v>
      </c>
      <c r="EK406" s="58" t="str">
        <f t="shared" ca="1" si="1800"/>
        <v>X</v>
      </c>
      <c r="EL406" s="58" t="str">
        <f t="shared" ca="1" si="1800"/>
        <v>X</v>
      </c>
      <c r="EM406" s="58" t="str">
        <f t="shared" ca="1" si="1800"/>
        <v>X</v>
      </c>
      <c r="EN406" s="58" t="str">
        <f t="shared" ca="1" si="1800"/>
        <v>X</v>
      </c>
      <c r="EO406" s="58" t="str">
        <f t="shared" ca="1" si="1800"/>
        <v>X</v>
      </c>
      <c r="EP406" s="58" t="str">
        <f t="shared" ca="1" si="1800"/>
        <v>X</v>
      </c>
      <c r="EQ406" s="58" t="str">
        <f t="shared" ca="1" si="1800"/>
        <v>X</v>
      </c>
      <c r="ER406" s="58" t="str">
        <f t="shared" ca="1" si="1800"/>
        <v>X</v>
      </c>
      <c r="ES406" s="58" t="str">
        <f t="shared" ca="1" si="1800"/>
        <v>X</v>
      </c>
      <c r="ET406" s="58" t="str">
        <f t="shared" ca="1" si="1800"/>
        <v>X</v>
      </c>
      <c r="EU406" s="58" t="str">
        <f t="shared" ca="1" si="1800"/>
        <v>X</v>
      </c>
      <c r="EV406" s="58" t="str">
        <f t="shared" ca="1" si="1800"/>
        <v>X</v>
      </c>
      <c r="EW406" s="58" t="str">
        <f t="shared" ca="1" si="1800"/>
        <v>X</v>
      </c>
      <c r="EX406" s="58" t="str">
        <f t="shared" ca="1" si="1800"/>
        <v>X</v>
      </c>
      <c r="EY406" s="58" t="str">
        <f t="shared" ca="1" si="1800"/>
        <v>X</v>
      </c>
      <c r="EZ406" s="58" t="str">
        <f t="shared" ca="1" si="1800"/>
        <v>X</v>
      </c>
      <c r="FA406" s="58" t="str">
        <f t="shared" ca="1" si="1800"/>
        <v>X</v>
      </c>
      <c r="FB406" s="58" t="str">
        <f t="shared" ca="1" si="1800"/>
        <v>X</v>
      </c>
      <c r="FC406" s="58" t="str">
        <f t="shared" ca="1" si="1800"/>
        <v>X</v>
      </c>
      <c r="FD406" s="58" t="str">
        <f t="shared" ca="1" si="1800"/>
        <v>X</v>
      </c>
      <c r="FE406" s="58" t="str">
        <f t="shared" ca="1" si="1800"/>
        <v>X</v>
      </c>
      <c r="FF406" s="58" t="str">
        <f t="shared" ca="1" si="1800"/>
        <v>X</v>
      </c>
      <c r="FG406" s="58" t="str">
        <f t="shared" ca="1" si="1800"/>
        <v>X</v>
      </c>
      <c r="FH406" s="58" t="str">
        <f t="shared" ca="1" si="1800"/>
        <v>X</v>
      </c>
      <c r="FI406" s="58" t="str">
        <f t="shared" ca="1" si="1800"/>
        <v>X</v>
      </c>
      <c r="FJ406" s="58" t="str">
        <f t="shared" ca="1" si="1800"/>
        <v>X</v>
      </c>
      <c r="FK406" s="58" t="str">
        <f t="shared" ca="1" si="1800"/>
        <v>X</v>
      </c>
      <c r="FL406" s="58" t="str">
        <f t="shared" ca="1" si="1800"/>
        <v>X</v>
      </c>
      <c r="FM406" s="58" t="str">
        <f t="shared" ca="1" si="1800"/>
        <v>X</v>
      </c>
      <c r="FN406" s="58" t="str">
        <f t="shared" ca="1" si="1800"/>
        <v>X</v>
      </c>
      <c r="FO406" s="58" t="str">
        <f t="shared" ca="1" si="1800"/>
        <v>X</v>
      </c>
      <c r="FP406" s="58" t="str">
        <f t="shared" ca="1" si="1800"/>
        <v>X</v>
      </c>
      <c r="FQ406" s="58" t="str">
        <f t="shared" ca="1" si="1800"/>
        <v>X</v>
      </c>
      <c r="FR406" s="58" t="str">
        <f t="shared" ca="1" si="1800"/>
        <v>X</v>
      </c>
      <c r="FS406" s="58" t="str">
        <f t="shared" ca="1" si="1800"/>
        <v>X</v>
      </c>
      <c r="FT406" s="58" t="str">
        <f t="shared" ca="1" si="1800"/>
        <v>X</v>
      </c>
      <c r="FU406" s="58" t="str">
        <f t="shared" ca="1" si="1800"/>
        <v>X</v>
      </c>
      <c r="FV406" s="58" t="str">
        <f t="shared" ca="1" si="1800"/>
        <v>X</v>
      </c>
      <c r="FW406" s="58" t="str">
        <f t="shared" ca="1" si="1800"/>
        <v>X</v>
      </c>
      <c r="FX406" s="58" t="str">
        <f t="shared" ca="1" si="1800"/>
        <v>X</v>
      </c>
      <c r="FY406" s="58" t="str">
        <f t="shared" ca="1" si="1800"/>
        <v>X</v>
      </c>
      <c r="FZ406" s="58" t="str">
        <f t="shared" ca="1" si="1800"/>
        <v>X</v>
      </c>
      <c r="GA406" s="58" t="str">
        <f t="shared" ca="1" si="1800"/>
        <v>X</v>
      </c>
      <c r="GB406" s="58" t="str">
        <f t="shared" ca="1" si="1800"/>
        <v>X</v>
      </c>
      <c r="GC406" s="58" t="str">
        <f t="shared" ca="1" si="1800"/>
        <v>X</v>
      </c>
      <c r="GD406" s="58" t="str">
        <f t="shared" ca="1" si="1800"/>
        <v>X</v>
      </c>
      <c r="GE406" s="58" t="str">
        <f t="shared" ca="1" si="1800"/>
        <v>X</v>
      </c>
      <c r="GF406" s="58" t="str">
        <f t="shared" ca="1" si="1800"/>
        <v>X</v>
      </c>
      <c r="GG406" s="58" t="str">
        <f t="shared" ca="1" si="1800"/>
        <v>X</v>
      </c>
      <c r="GH406" s="58" t="str">
        <f t="shared" ca="1" si="1800"/>
        <v>X</v>
      </c>
      <c r="GI406" s="58" t="str">
        <f t="shared" ca="1" si="1800"/>
        <v>X</v>
      </c>
      <c r="GJ406" s="58" t="str">
        <f t="shared" ca="1" si="1800"/>
        <v>X</v>
      </c>
      <c r="GK406" s="58" t="str">
        <f t="shared" ca="1" si="1800"/>
        <v>X</v>
      </c>
      <c r="GL406" s="58" t="str">
        <f t="shared" ca="1" si="1800"/>
        <v>X</v>
      </c>
      <c r="GM406" s="58" t="str">
        <f t="shared" ca="1" si="1800"/>
        <v>X</v>
      </c>
      <c r="GN406" s="58" t="str">
        <f t="shared" ca="1" si="1800"/>
        <v>X</v>
      </c>
      <c r="GO406" s="58" t="str">
        <f t="shared" ca="1" si="1800"/>
        <v>X</v>
      </c>
      <c r="GP406" s="58" t="str">
        <f t="shared" ca="1" si="1800"/>
        <v>X</v>
      </c>
      <c r="GQ406" s="58" t="str">
        <f t="shared" ca="1" si="1800"/>
        <v>X</v>
      </c>
      <c r="GR406" s="58" t="str">
        <f t="shared" ca="1" si="1800"/>
        <v>X</v>
      </c>
      <c r="GS406" s="80" t="str">
        <f t="shared" ca="1" si="1800"/>
        <v>X</v>
      </c>
      <c r="GT406" s="58" t="str">
        <f t="shared" ca="1" si="1800"/>
        <v>X</v>
      </c>
      <c r="GU406" s="82" t="str">
        <f t="shared" ca="1" si="1617"/>
        <v>X</v>
      </c>
      <c r="GV406" s="58" t="str">
        <f t="shared" ca="1" si="1618"/>
        <v>X</v>
      </c>
      <c r="GW406" s="58" t="str">
        <f t="shared" ca="1" si="1619"/>
        <v>X</v>
      </c>
      <c r="GX406" s="58" t="str">
        <f t="shared" ca="1" si="1620"/>
        <v>X</v>
      </c>
      <c r="GY406" s="58" t="str">
        <f t="shared" ca="1" si="1621"/>
        <v>X</v>
      </c>
      <c r="GZ406" s="58" t="str">
        <f t="shared" ca="1" si="1622"/>
        <v>X</v>
      </c>
      <c r="HA406" s="58" t="str">
        <f t="shared" ca="1" si="1623"/>
        <v>X</v>
      </c>
      <c r="HB406" s="58" t="str">
        <f t="shared" ca="1" si="1624"/>
        <v>X</v>
      </c>
      <c r="HC406" s="58" t="str">
        <f t="shared" ca="1" si="1625"/>
        <v>X</v>
      </c>
      <c r="HD406" s="58" t="str">
        <f t="shared" ca="1" si="1626"/>
        <v>X</v>
      </c>
      <c r="HE406" s="58" t="str">
        <f t="shared" ca="1" si="1627"/>
        <v>X</v>
      </c>
      <c r="HF406" s="58" t="str">
        <f t="shared" ca="1" si="1628"/>
        <v>X</v>
      </c>
      <c r="HG406" s="58" t="str">
        <f t="shared" ca="1" si="1629"/>
        <v>X</v>
      </c>
      <c r="HH406" s="58" t="str">
        <f t="shared" ca="1" si="1630"/>
        <v>X</v>
      </c>
      <c r="HI406" s="58" t="str">
        <f t="shared" ca="1" si="1631"/>
        <v>X</v>
      </c>
      <c r="HJ406" s="58" t="str">
        <f t="shared" ca="1" si="1632"/>
        <v>X</v>
      </c>
      <c r="HK406" s="58" t="str">
        <f t="shared" ca="1" si="1633"/>
        <v>X</v>
      </c>
      <c r="HL406" s="58" t="str">
        <f t="shared" ca="1" si="1634"/>
        <v>X</v>
      </c>
      <c r="HM406" s="58" t="str">
        <f t="shared" ca="1" si="1635"/>
        <v>X</v>
      </c>
      <c r="HN406" s="58" t="str">
        <f t="shared" ca="1" si="1636"/>
        <v>X</v>
      </c>
      <c r="HO406" s="58" t="str">
        <f t="shared" ca="1" si="1637"/>
        <v>X</v>
      </c>
      <c r="HP406" s="58" t="str">
        <f t="shared" ca="1" si="1638"/>
        <v>X</v>
      </c>
      <c r="HQ406" s="58" t="str">
        <f t="shared" ca="1" si="1639"/>
        <v>X</v>
      </c>
      <c r="HR406" s="58" t="str">
        <f t="shared" ca="1" si="1640"/>
        <v>X</v>
      </c>
      <c r="HS406" s="58" t="str">
        <f t="shared" ca="1" si="1641"/>
        <v>X</v>
      </c>
      <c r="HT406" s="58" t="str">
        <f t="shared" ca="1" si="1642"/>
        <v>X</v>
      </c>
      <c r="HU406" s="58" t="str">
        <f t="shared" ca="1" si="1643"/>
        <v>X</v>
      </c>
      <c r="HV406" s="58" t="str">
        <f t="shared" ca="1" si="1644"/>
        <v>X</v>
      </c>
      <c r="HW406" s="58" t="str">
        <f t="shared" ca="1" si="1645"/>
        <v>X</v>
      </c>
      <c r="HX406" s="58">
        <f t="shared" ca="1" si="1646"/>
        <v>46097</v>
      </c>
      <c r="HY406" s="58">
        <f t="shared" ca="1" si="1647"/>
        <v>46097</v>
      </c>
      <c r="HZ406" s="58">
        <f t="shared" ca="1" si="1648"/>
        <v>46097</v>
      </c>
      <c r="IA406" s="58">
        <f t="shared" ca="1" si="1649"/>
        <v>46097</v>
      </c>
      <c r="IB406" s="58" t="str">
        <f t="shared" ca="1" si="1650"/>
        <v>X</v>
      </c>
      <c r="IC406" s="58" t="str">
        <f t="shared" ca="1" si="1651"/>
        <v>X</v>
      </c>
      <c r="ID406" s="58" t="str">
        <f t="shared" ca="1" si="1652"/>
        <v>X</v>
      </c>
      <c r="IE406" s="58" t="str">
        <f t="shared" ca="1" si="1653"/>
        <v>X</v>
      </c>
      <c r="IF406" s="58" t="str">
        <f t="shared" ca="1" si="1654"/>
        <v>X</v>
      </c>
      <c r="IG406" s="58" t="str">
        <f t="shared" ca="1" si="1655"/>
        <v>X</v>
      </c>
      <c r="IH406" s="58" t="str">
        <f t="shared" ca="1" si="1656"/>
        <v>X</v>
      </c>
      <c r="II406" s="58" t="str">
        <f t="shared" ca="1" si="1657"/>
        <v>X</v>
      </c>
      <c r="IJ406" s="58" t="str">
        <f t="shared" ca="1" si="1658"/>
        <v>X</v>
      </c>
      <c r="IK406" s="58" t="str">
        <f t="shared" ca="1" si="1659"/>
        <v>X</v>
      </c>
      <c r="IL406" s="58" t="str">
        <f t="shared" ca="1" si="1660"/>
        <v>X</v>
      </c>
      <c r="IM406" s="58" t="str">
        <f t="shared" ca="1" si="1661"/>
        <v>X</v>
      </c>
      <c r="IN406" s="58" t="str">
        <f t="shared" ca="1" si="1662"/>
        <v>X</v>
      </c>
      <c r="IO406" s="58" t="str">
        <f t="shared" ca="1" si="1663"/>
        <v>X</v>
      </c>
      <c r="IP406" s="58" t="str">
        <f t="shared" ca="1" si="1664"/>
        <v>X</v>
      </c>
      <c r="IQ406" s="58" t="str">
        <f t="shared" ca="1" si="1665"/>
        <v>X</v>
      </c>
      <c r="IR406" s="58" t="str">
        <f t="shared" ca="1" si="1666"/>
        <v>X</v>
      </c>
      <c r="IS406" s="58" t="str">
        <f t="shared" ca="1" si="1667"/>
        <v>X</v>
      </c>
      <c r="IT406" s="58" t="str">
        <f t="shared" ca="1" si="1668"/>
        <v>X</v>
      </c>
      <c r="IU406" s="58" t="str">
        <f t="shared" ca="1" si="1669"/>
        <v>X</v>
      </c>
      <c r="IV406" s="58" t="str">
        <f t="shared" ca="1" si="1670"/>
        <v>X</v>
      </c>
      <c r="IW406" s="58" t="str">
        <f t="shared" ca="1" si="1671"/>
        <v>X</v>
      </c>
      <c r="IX406" s="58" t="str">
        <f t="shared" ca="1" si="1672"/>
        <v>X</v>
      </c>
      <c r="IY406" s="58" t="str">
        <f t="shared" ca="1" si="1673"/>
        <v>X</v>
      </c>
      <c r="IZ406" s="58" t="str">
        <f t="shared" ca="1" si="1674"/>
        <v>X</v>
      </c>
      <c r="JA406" s="58" t="str">
        <f t="shared" ca="1" si="1675"/>
        <v>X</v>
      </c>
      <c r="JB406" s="58" t="str">
        <f t="shared" ca="1" si="1676"/>
        <v>X</v>
      </c>
      <c r="JC406" s="58" t="str">
        <f t="shared" ca="1" si="1677"/>
        <v>X</v>
      </c>
      <c r="JD406" s="58" t="str">
        <f t="shared" ca="1" si="1678"/>
        <v>X</v>
      </c>
      <c r="JE406" s="58" t="str">
        <f t="shared" ca="1" si="1679"/>
        <v>X</v>
      </c>
      <c r="JF406" s="58" t="str">
        <f t="shared" ca="1" si="1680"/>
        <v>X</v>
      </c>
      <c r="JG406" s="58" t="str">
        <f t="shared" ca="1" si="1681"/>
        <v>X</v>
      </c>
      <c r="JH406" s="58" t="str">
        <f t="shared" ca="1" si="1682"/>
        <v>X</v>
      </c>
      <c r="JI406" s="58" t="str">
        <f t="shared" ca="1" si="1683"/>
        <v>X</v>
      </c>
      <c r="JJ406" s="58" t="str">
        <f t="shared" ca="1" si="1684"/>
        <v>X</v>
      </c>
      <c r="JK406" s="58" t="str">
        <f t="shared" ca="1" si="1685"/>
        <v>X</v>
      </c>
      <c r="JL406" s="58" t="str">
        <f t="shared" ca="1" si="1686"/>
        <v>X</v>
      </c>
      <c r="JM406" s="58" t="str">
        <f t="shared" ca="1" si="1687"/>
        <v>X</v>
      </c>
      <c r="JN406" s="58" t="str">
        <f t="shared" ca="1" si="1688"/>
        <v>X</v>
      </c>
      <c r="JO406" s="58" t="str">
        <f t="shared" ca="1" si="1689"/>
        <v>X</v>
      </c>
      <c r="JP406" s="58" t="str">
        <f t="shared" ca="1" si="1690"/>
        <v>X</v>
      </c>
      <c r="JQ406" s="58" t="str">
        <f t="shared" ca="1" si="1691"/>
        <v>X</v>
      </c>
      <c r="JR406" s="58" t="str">
        <f t="shared" ca="1" si="1692"/>
        <v>X</v>
      </c>
      <c r="JS406" s="58" t="str">
        <f t="shared" ca="1" si="1693"/>
        <v>X</v>
      </c>
      <c r="JT406" s="58" t="str">
        <f t="shared" ca="1" si="1694"/>
        <v>X</v>
      </c>
      <c r="JU406" s="58" t="str">
        <f t="shared" ca="1" si="1695"/>
        <v>X</v>
      </c>
      <c r="JV406" s="58" t="str">
        <f t="shared" ca="1" si="1696"/>
        <v>X</v>
      </c>
      <c r="JW406" s="58" t="str">
        <f t="shared" ca="1" si="1697"/>
        <v>X</v>
      </c>
      <c r="JX406" s="58" t="str">
        <f t="shared" ca="1" si="1698"/>
        <v>X</v>
      </c>
      <c r="JY406" s="58" t="str">
        <f t="shared" ca="1" si="1699"/>
        <v>X</v>
      </c>
      <c r="JZ406" s="58" t="str">
        <f t="shared" ca="1" si="1700"/>
        <v>X</v>
      </c>
      <c r="KA406" s="58" t="str">
        <f t="shared" ca="1" si="1701"/>
        <v>X</v>
      </c>
      <c r="KB406" s="58" t="str">
        <f t="shared" ca="1" si="1702"/>
        <v>X</v>
      </c>
      <c r="KC406" s="58" t="str">
        <f t="shared" ca="1" si="1703"/>
        <v>X</v>
      </c>
      <c r="KD406" s="58" t="str">
        <f t="shared" ca="1" si="1704"/>
        <v>X</v>
      </c>
      <c r="KE406" s="58" t="str">
        <f t="shared" ca="1" si="1705"/>
        <v>X</v>
      </c>
      <c r="KF406" s="58" t="str">
        <f t="shared" ca="1" si="1706"/>
        <v>X</v>
      </c>
      <c r="KG406" s="58" t="str">
        <f t="shared" ca="1" si="1707"/>
        <v>X</v>
      </c>
      <c r="KH406" s="58" t="str">
        <f t="shared" ca="1" si="1708"/>
        <v>X</v>
      </c>
      <c r="KI406" s="58" t="str">
        <f t="shared" ca="1" si="1709"/>
        <v>X</v>
      </c>
      <c r="KJ406" s="58" t="str">
        <f t="shared" ca="1" si="1710"/>
        <v>X</v>
      </c>
      <c r="KK406" s="58" t="str">
        <f t="shared" ca="1" si="1711"/>
        <v>X</v>
      </c>
      <c r="KL406" s="58" t="str">
        <f t="shared" ca="1" si="1712"/>
        <v>X</v>
      </c>
      <c r="KM406" s="58" t="str">
        <f t="shared" ca="1" si="1713"/>
        <v>X</v>
      </c>
      <c r="KN406" s="58" t="str">
        <f t="shared" ca="1" si="1714"/>
        <v>X</v>
      </c>
      <c r="KO406" s="58" t="str">
        <f t="shared" ca="1" si="1715"/>
        <v>X</v>
      </c>
      <c r="KP406" s="58" t="str">
        <f t="shared" ca="1" si="1716"/>
        <v>X</v>
      </c>
      <c r="KQ406" s="58" t="str">
        <f t="shared" ca="1" si="1717"/>
        <v>X</v>
      </c>
      <c r="KR406" s="58" t="str">
        <f t="shared" ca="1" si="1718"/>
        <v>X</v>
      </c>
      <c r="KS406" s="58" t="str">
        <f t="shared" ca="1" si="1719"/>
        <v>X</v>
      </c>
      <c r="KT406" s="58" t="str">
        <f t="shared" ca="1" si="1720"/>
        <v>X</v>
      </c>
      <c r="KU406" s="58" t="str">
        <f t="shared" ca="1" si="1721"/>
        <v>X</v>
      </c>
      <c r="KV406" s="58" t="str">
        <f t="shared" ca="1" si="1722"/>
        <v>X</v>
      </c>
      <c r="KW406" s="58" t="str">
        <f t="shared" ca="1" si="1723"/>
        <v>X</v>
      </c>
      <c r="KX406" s="58" t="str">
        <f t="shared" ca="1" si="1724"/>
        <v>X</v>
      </c>
      <c r="KY406" s="58" t="str">
        <f t="shared" ca="1" si="1725"/>
        <v>X</v>
      </c>
      <c r="KZ406" s="58" t="str">
        <f t="shared" ca="1" si="1726"/>
        <v>X</v>
      </c>
      <c r="LA406" s="58" t="str">
        <f t="shared" ca="1" si="1727"/>
        <v>X</v>
      </c>
      <c r="LB406" s="58" t="str">
        <f t="shared" ca="1" si="1728"/>
        <v>X</v>
      </c>
      <c r="LC406" s="58" t="str">
        <f t="shared" ca="1" si="1729"/>
        <v>X</v>
      </c>
      <c r="LD406" s="58" t="str">
        <f t="shared" ca="1" si="1730"/>
        <v>X</v>
      </c>
      <c r="LE406" s="58" t="str">
        <f t="shared" ca="1" si="1731"/>
        <v>X</v>
      </c>
      <c r="LF406" s="58" t="str">
        <f t="shared" ca="1" si="1732"/>
        <v>X</v>
      </c>
      <c r="LG406" s="58" t="str">
        <f t="shared" ca="1" si="1733"/>
        <v>X</v>
      </c>
      <c r="LH406" s="58" t="str">
        <f t="shared" ca="1" si="1734"/>
        <v>X</v>
      </c>
      <c r="LI406" s="58" t="str">
        <f t="shared" ca="1" si="1735"/>
        <v>X</v>
      </c>
      <c r="LJ406" s="58" t="str">
        <f t="shared" ca="1" si="1736"/>
        <v>X</v>
      </c>
      <c r="LK406" s="58" t="str">
        <f t="shared" ca="1" si="1737"/>
        <v>X</v>
      </c>
      <c r="LL406" s="58" t="str">
        <f t="shared" ca="1" si="1738"/>
        <v>X</v>
      </c>
      <c r="LM406" s="58" t="str">
        <f t="shared" ca="1" si="1739"/>
        <v>X</v>
      </c>
      <c r="LN406" s="58" t="str">
        <f t="shared" ca="1" si="1740"/>
        <v>X</v>
      </c>
      <c r="LO406" s="58" t="str">
        <f t="shared" ca="1" si="1741"/>
        <v>X</v>
      </c>
      <c r="LP406" s="58" t="str">
        <f t="shared" ca="1" si="1742"/>
        <v>X</v>
      </c>
      <c r="LQ406" s="58" t="str">
        <f t="shared" ca="1" si="1743"/>
        <v>X</v>
      </c>
      <c r="LR406" s="58" t="str">
        <f t="shared" ca="1" si="1744"/>
        <v>X</v>
      </c>
      <c r="LS406" s="58" t="str">
        <f t="shared" ca="1" si="1745"/>
        <v>X</v>
      </c>
      <c r="LT406" s="58" t="str">
        <f t="shared" ca="1" si="1746"/>
        <v>X</v>
      </c>
      <c r="LU406" s="58" t="str">
        <f t="shared" ca="1" si="1747"/>
        <v>X</v>
      </c>
      <c r="LV406" s="58" t="str">
        <f t="shared" ca="1" si="1748"/>
        <v>X</v>
      </c>
      <c r="LW406" s="58" t="str">
        <f t="shared" ca="1" si="1749"/>
        <v>X</v>
      </c>
      <c r="LX406" s="58" t="str">
        <f t="shared" ca="1" si="1750"/>
        <v>X</v>
      </c>
      <c r="LY406" s="58" t="str">
        <f t="shared" ca="1" si="1751"/>
        <v>X</v>
      </c>
      <c r="LZ406" s="58" t="str">
        <f t="shared" ca="1" si="1752"/>
        <v>X</v>
      </c>
      <c r="MA406" s="58" t="str">
        <f t="shared" ca="1" si="1753"/>
        <v>X</v>
      </c>
      <c r="MB406" s="58" t="str">
        <f t="shared" ca="1" si="1754"/>
        <v>X</v>
      </c>
      <c r="MC406" s="58" t="str">
        <f t="shared" ca="1" si="1755"/>
        <v>X</v>
      </c>
      <c r="MD406" s="58" t="str">
        <f t="shared" ca="1" si="1756"/>
        <v>X</v>
      </c>
      <c r="ME406" s="58" t="str">
        <f t="shared" ca="1" si="1757"/>
        <v>X</v>
      </c>
      <c r="MF406" s="58" t="str">
        <f t="shared" ca="1" si="1758"/>
        <v>X</v>
      </c>
      <c r="MG406" s="58" t="str">
        <f t="shared" ca="1" si="1759"/>
        <v>X</v>
      </c>
      <c r="MH406" s="58" t="str">
        <f t="shared" ca="1" si="1760"/>
        <v>X</v>
      </c>
      <c r="MI406" s="58" t="str">
        <f t="shared" ca="1" si="1761"/>
        <v>X</v>
      </c>
      <c r="MJ406" s="58" t="str">
        <f t="shared" ca="1" si="1762"/>
        <v>X</v>
      </c>
      <c r="MK406" s="58" t="str">
        <f t="shared" ca="1" si="1763"/>
        <v>X</v>
      </c>
      <c r="ML406" s="58" t="str">
        <f t="shared" ca="1" si="1764"/>
        <v>X</v>
      </c>
      <c r="MM406" s="58" t="str">
        <f t="shared" ca="1" si="1765"/>
        <v>X</v>
      </c>
      <c r="MN406" s="58" t="str">
        <f t="shared" ca="1" si="1766"/>
        <v>X</v>
      </c>
      <c r="MO406" s="58" t="str">
        <f t="shared" ca="1" si="1767"/>
        <v>X</v>
      </c>
      <c r="MP406" s="58" t="str">
        <f t="shared" ca="1" si="1768"/>
        <v>X</v>
      </c>
      <c r="MQ406" s="58" t="str">
        <f t="shared" ca="1" si="1769"/>
        <v>X</v>
      </c>
      <c r="MR406" s="58" t="str">
        <f t="shared" ca="1" si="1770"/>
        <v>X</v>
      </c>
      <c r="MS406" s="58" t="str">
        <f t="shared" ca="1" si="1771"/>
        <v>X</v>
      </c>
      <c r="MT406" s="58" t="str">
        <f t="shared" ref="MT406:NE406" ca="1" si="1801">IF($K406=INDIRECT(CONCATENATE("$AG$"&amp;GH$392)),INDIRECT(CONCATENATE("$AG$"&amp;GH$391)),
IF($K406=INDIRECT(CONCATENATE("$AF$"&amp;GH$392)),INDIRECT(CONCATENATE("$AF$"&amp;GH$391)),
IF($K406=INDIRECT(CONCATENATE("$AE$"&amp;GH$392)),INDIRECT(CONCATENATE("$AE$"&amp;GH$391)),
IF($K406=INDIRECT(CONCATENATE("$AD$"&amp;GH$392)),INDIRECT(CONCATENATE("$AD$"&amp;GH$391)),
IF($K406=INDIRECT(CONCATENATE("$AC$"&amp;GH$392)),INDIRECT(CONCATENATE("$AC$"&amp;GH$391)),
IF($K406=INDIRECT(CONCATENATE("$AB$"&amp;GH$392)),INDIRECT(CONCATENATE("$AB$"&amp;GH$391)),
IF($K406=INDIRECT(CONCATENATE("$AA$"&amp;GH$392)),INDIRECT(CONCATENATE("$AA$"&amp;GH$391)),
IF($K406=INDIRECT(CONCATENATE("$Z$"&amp;GH$392)),INDIRECT(CONCATENATE("$Z$"&amp;GH$391)),
IF($K406=INDIRECT(CONCATENATE("$Y$"&amp;GH$392)),INDIRECT(CONCATENATE("$Y$"&amp;GH$391)),
IF($K406=INDIRECT(CONCATENATE("$X$"&amp;GH$392)),INDIRECT(CONCATENATE("$X$"&amp;GH$391)),
IF($K406=INDIRECT(CONCATENATE("$W$"&amp;GH$392)),INDIRECT(CONCATENATE("$W$"&amp;GH$391)),
IF($K406=INDIRECT(CONCATENATE("$V$"&amp;GH$392)),INDIRECT(CONCATENATE("$V$"&amp;GH$391)),
IF($K406=INDIRECT(CONCATENATE("$U$"&amp;GH$392)),INDIRECT(CONCATENATE("$U$"&amp;GH$391)),
IF($K406=INDIRECT(CONCATENATE("$T$"&amp;GH$392)),INDIRECT(CONCATENATE("$T$"&amp;GH$391)),
IF($K406=INDIRECT(CONCATENATE("$S$"&amp;GH$392)),INDIRECT(CONCATENATE("$S$"&amp;GH$391)),
IF($K406=INDIRECT(CONCATENATE("$R$"&amp;GH$392)),INDIRECT(CONCATENATE("$R$"&amp;GH$391)),
IF($K406=INDIRECT(CONCATENATE("$Q$"&amp;GH$392)),INDIRECT(CONCATENATE("$Q$"&amp;GH$391)),
IF($K406=INDIRECT(CONCATENATE("$P$"&amp;GH$392)),INDIRECT(CONCATENATE("$P$"&amp;GH$391)),
IF($K406=INDIRECT(CONCATENATE("$O$"&amp;GH$392)),INDIRECT(CONCATENATE("$O$"&amp;GH$391)),
IF($K406=INDIRECT(CONCATENATE("$N$"&amp;GH$392)),INDIRECT(CONCATENATE("$N$"&amp;GH$391)),
IF($K406=INDIRECT(CONCATENATE("$M$"&amp;GH$392)),INDIRECT(CONCATENATE("$M$"&amp;GH$391)),
IF($K406=INDIRECT(CONCATENATE("$L$"&amp;GH$392)),INDIRECT(CONCATENATE("$L$"&amp;GH$391)),
IF($K406=INDIRECT(CONCATENATE("$K$"&amp;GH$392)),INDIRECT(CONCATENATE("$K$"&amp;GH$391)),
IF($K406=INDIRECT(CONCATENATE("$J$"&amp;GH$392)),INDIRECT(CONCATENATE("$J$"&amp;GH$391)),
IF($K406=INDIRECT(CONCATENATE("$I$"&amp;GH$392)),INDIRECT(CONCATENATE("$I$"&amp;GH$391)),
IF($K406=INDIRECT(CONCATENATE("$H$"&amp;GH$392)),INDIRECT(CONCATENATE("$H$"&amp;GH$391)),
IF($K406=INDIRECT(CONCATENATE("$G$"&amp;GH$392)),INDIRECT(CONCATENATE("$G$"&amp;GH$391)),
IF($K406=INDIRECT(CONCATENATE("$F$"&amp;GH$392)),INDIRECT(CONCATENATE("$F$"&amp;GH$391)),
IF($K406=INDIRECT(CONCATENATE("$E$"&amp;GH$392)),INDIRECT(CONCATENATE("$E$"&amp;GH$391)),
IF($K406=INDIRECT(CONCATENATE("$D$"&amp;GH$392)),INDIRECT(CONCATENATE("$D$"&amp;GH$391)),
IF($K406=INDIRECT(CONCATENATE("$C$"&amp;GH$392)),INDIRECT(CONCATENATE("$C$"&amp;GH$391)),"X")))))))))))))))))))))))))))))))</f>
        <v>X</v>
      </c>
      <c r="MU406" s="58" t="str">
        <f t="shared" ca="1" si="1801"/>
        <v>X</v>
      </c>
      <c r="MV406" s="58" t="str">
        <f t="shared" ca="1" si="1801"/>
        <v>X</v>
      </c>
      <c r="MW406" s="58" t="str">
        <f t="shared" ca="1" si="1801"/>
        <v>X</v>
      </c>
      <c r="MX406" s="58" t="str">
        <f t="shared" ca="1" si="1801"/>
        <v>X</v>
      </c>
      <c r="MY406" s="58" t="str">
        <f t="shared" ca="1" si="1801"/>
        <v>X</v>
      </c>
      <c r="MZ406" s="58" t="str">
        <f t="shared" ca="1" si="1801"/>
        <v>X</v>
      </c>
      <c r="NA406" s="58" t="str">
        <f t="shared" ca="1" si="1801"/>
        <v>X</v>
      </c>
      <c r="NB406" s="58" t="str">
        <f t="shared" ca="1" si="1801"/>
        <v>X</v>
      </c>
      <c r="NC406" s="58" t="str">
        <f t="shared" ca="1" si="1801"/>
        <v>X</v>
      </c>
      <c r="ND406" s="58" t="str">
        <f t="shared" ca="1" si="1801"/>
        <v>X</v>
      </c>
      <c r="NE406" s="58" t="str">
        <f t="shared" ca="1" si="1801"/>
        <v>X</v>
      </c>
      <c r="NF406" s="58" t="str">
        <f t="shared" ca="1" si="1773"/>
        <v>X</v>
      </c>
      <c r="NG406" s="58" t="str">
        <f t="shared" ca="1" si="1774"/>
        <v>X</v>
      </c>
    </row>
    <row r="407" spans="1:371" ht="18" customHeight="1">
      <c r="A407" s="241" t="s">
        <v>101</v>
      </c>
      <c r="B407" s="304"/>
      <c r="C407" s="304"/>
      <c r="D407" s="304"/>
      <c r="E407" s="304"/>
      <c r="F407" s="304"/>
      <c r="G407" s="304"/>
      <c r="H407" s="304"/>
      <c r="I407" s="304"/>
      <c r="J407" s="303"/>
      <c r="K407" s="237" t="s">
        <v>38</v>
      </c>
      <c r="L407" s="303"/>
      <c r="M407" s="60">
        <v>20</v>
      </c>
      <c r="N407" s="225" t="s">
        <v>102</v>
      </c>
      <c r="O407" s="304"/>
      <c r="P407" s="304"/>
      <c r="Q407" s="304"/>
      <c r="R407" s="303"/>
      <c r="S407" s="226">
        <v>105342</v>
      </c>
      <c r="T407" s="304"/>
      <c r="U407" s="303"/>
      <c r="V407" s="227" t="s">
        <v>89</v>
      </c>
      <c r="W407" s="303"/>
      <c r="X407" s="56">
        <v>46154</v>
      </c>
      <c r="Y407" s="56">
        <v>46168</v>
      </c>
      <c r="Z407" s="228" t="str">
        <f t="shared" ca="1" si="1612"/>
        <v>CONCLUÍDA</v>
      </c>
      <c r="AA407" s="304"/>
      <c r="AB407" s="303"/>
      <c r="AC407" s="224">
        <f t="shared" si="1777"/>
        <v>20</v>
      </c>
      <c r="AD407" s="303"/>
      <c r="AE407" s="229">
        <f t="shared" si="1778"/>
        <v>0</v>
      </c>
      <c r="AF407" s="303"/>
      <c r="AG407" s="57" t="str">
        <f t="shared" si="1615"/>
        <v>OK</v>
      </c>
      <c r="AH407" s="21"/>
      <c r="AI407" s="70"/>
      <c r="AJ407" s="58" t="str">
        <f t="shared" ref="AJ407:GT407" ca="1" si="1802">IF($K407=INDIRECT(CONCATENATE("$C$"&amp;AJ$392)), INDIRECT(CONCATENATE("$C$"&amp;AJ$391)),
IF($K407=INDIRECT(CONCATENATE("$D$"&amp;AJ$392)), INDIRECT(CONCATENATE("$D$"&amp;AJ$391)),
IF($K407=INDIRECT(CONCATENATE("$E$"&amp;AJ$392)), INDIRECT(CONCATENATE("$E$"&amp;AJ$391)),
IF($K407=INDIRECT(CONCATENATE("$F$"&amp;AJ$392)), INDIRECT(CONCATENATE("$F$"&amp;AJ$391)),
IF($K407=INDIRECT(CONCATENATE("$G$"&amp;AJ$392)), INDIRECT(CONCATENATE("$G$"&amp;AJ$391)),
IF($K407=INDIRECT(CONCATENATE("$H$"&amp;AJ$392)), INDIRECT(CONCATENATE("$H$"&amp;AJ$391)),
IF($K407=INDIRECT(CONCATENATE("$I$"&amp;AJ$392)), INDIRECT(CONCATENATE("$I$"&amp;AJ$391)),
IF($K407=INDIRECT(CONCATENATE("$J$"&amp;AJ$392)), INDIRECT(CONCATENATE("$J$"&amp;AJ$391)),
IF($K407=INDIRECT(CONCATENATE("$K$"&amp;AJ$392)), INDIRECT(CONCATENATE("$K$"&amp;AJ$391)),
IF($K407=INDIRECT(CONCATENATE("$L$"&amp;AJ$392)), INDIRECT(CONCATENATE("$L$"&amp;AJ$391)),
IF($K407=INDIRECT(CONCATENATE("$M$"&amp;AJ$392)), INDIRECT(CONCATENATE("$M$"&amp;AJ$391)),
IF($K407=INDIRECT(CONCATENATE("$N$"&amp;AJ$392)), INDIRECT(CONCATENATE("$N$"&amp;AJ$391)),
IF($K407=INDIRECT(CONCATENATE("$O$"&amp;AJ$392)), INDIRECT(CONCATENATE("$O$"&amp;AJ$391)),
IF($K407=INDIRECT(CONCATENATE("$P$"&amp;AJ$392)), INDIRECT(CONCATENATE("$P$"&amp;AJ$391)),
IF($K407=INDIRECT(CONCATENATE("$Q$"&amp;AJ$392)), INDIRECT(CONCATENATE("$Q$"&amp;AJ$391)),
IF($K407=INDIRECT(CONCATENATE("$R$"&amp;AJ$392)), INDIRECT(CONCATENATE("$R$"&amp;AJ$391)),
IF($K407=INDIRECT(CONCATENATE("$S$"&amp;AJ$392)), INDIRECT(CONCATENATE("$S$"&amp;AJ$391)),
IF($K407=INDIRECT(CONCATENATE("$T$"&amp;AJ$392)), INDIRECT(CONCATENATE("$T$"&amp;AJ$391)),
IF($K407=INDIRECT(CONCATENATE("$U$"&amp;AJ$392)), INDIRECT(CONCATENATE("$U$"&amp;AJ$391)),
IF($K407=INDIRECT(CONCATENATE("$V$"&amp;AJ$392)), INDIRECT(CONCATENATE("$V$"&amp;AJ$391)),
IF($K407=INDIRECT(CONCATENATE("$W$"&amp;AJ$392)), INDIRECT(CONCATENATE("$W$"&amp;AJ$391)),
IF($K407=INDIRECT(CONCATENATE("$X$"&amp;AJ$392)), INDIRECT(CONCATENATE("$X$"&amp;AJ$391)),
IF($K407=INDIRECT(CONCATENATE("$Y$"&amp;AJ$392)), INDIRECT(CONCATENATE("$Y$"&amp;AJ$391)),
IF($K407=INDIRECT(CONCATENATE("$Z$"&amp;AJ$392)), INDIRECT(CONCATENATE("$Z$"&amp;AJ$391)),
IF($K407=INDIRECT(CONCATENATE("$AA$"&amp;AJ$392)), INDIRECT(CONCATENATE("$AA$"&amp;AJ$391)),
IF($K407=INDIRECT(CONCATENATE("$AB$"&amp;AJ$392)), INDIRECT(CONCATENATE("$AB$"&amp;AJ$391)),
IF($K407=INDIRECT(CONCATENATE("$AC$"&amp;AJ$392)), INDIRECT(CONCATENATE("$AC$"&amp;AJ$391)),
IF($K407=INDIRECT(CONCATENATE("$AD$"&amp;AJ$392)), INDIRECT(CONCATENATE("$AD$"&amp;AJ$391)),
IF($K407=INDIRECT(CONCATENATE("$AE$"&amp;AJ$392)), INDIRECT(CONCATENATE("$AE$"&amp;AJ$391)),
IF($K407=INDIRECT(CONCATENATE("$AF$"&amp;AJ$392)), INDIRECT(CONCATENATE("$AF$"&amp;AJ$391)),
IF($K407=INDIRECT(CONCATENATE("$AG$"&amp;AJ$392)), INDIRECT(CONCATENATE("$AG$"&amp;AJ$391)),"X")))))))))))))))))))))))))))))))</f>
        <v>X</v>
      </c>
      <c r="AK407" s="58" t="str">
        <f t="shared" ca="1" si="1802"/>
        <v>X</v>
      </c>
      <c r="AL407" s="58" t="str">
        <f t="shared" ca="1" si="1802"/>
        <v>X</v>
      </c>
      <c r="AM407" s="58" t="str">
        <f t="shared" ca="1" si="1802"/>
        <v>X</v>
      </c>
      <c r="AN407" s="58" t="str">
        <f t="shared" ca="1" si="1802"/>
        <v>X</v>
      </c>
      <c r="AO407" s="58" t="str">
        <f t="shared" ca="1" si="1802"/>
        <v>X</v>
      </c>
      <c r="AP407" s="58" t="str">
        <f t="shared" ca="1" si="1802"/>
        <v>X</v>
      </c>
      <c r="AQ407" s="58" t="str">
        <f t="shared" ca="1" si="1802"/>
        <v>X</v>
      </c>
      <c r="AR407" s="58" t="str">
        <f t="shared" ca="1" si="1802"/>
        <v>X</v>
      </c>
      <c r="AS407" s="58" t="str">
        <f t="shared" ca="1" si="1802"/>
        <v>X</v>
      </c>
      <c r="AT407" s="58" t="str">
        <f t="shared" ca="1" si="1802"/>
        <v>X</v>
      </c>
      <c r="AU407" s="58" t="str">
        <f t="shared" ca="1" si="1802"/>
        <v>X</v>
      </c>
      <c r="AV407" s="58" t="str">
        <f t="shared" ca="1" si="1802"/>
        <v>X</v>
      </c>
      <c r="AW407" s="58" t="str">
        <f t="shared" ca="1" si="1802"/>
        <v>X</v>
      </c>
      <c r="AX407" s="58" t="str">
        <f t="shared" ca="1" si="1802"/>
        <v>X</v>
      </c>
      <c r="AY407" s="58" t="str">
        <f t="shared" ca="1" si="1802"/>
        <v>X</v>
      </c>
      <c r="AZ407" s="58" t="str">
        <f t="shared" ca="1" si="1802"/>
        <v>X</v>
      </c>
      <c r="BA407" s="58" t="str">
        <f t="shared" ca="1" si="1802"/>
        <v>X</v>
      </c>
      <c r="BB407" s="58" t="str">
        <f t="shared" ca="1" si="1802"/>
        <v>X</v>
      </c>
      <c r="BC407" s="58" t="str">
        <f t="shared" ca="1" si="1802"/>
        <v>X</v>
      </c>
      <c r="BD407" s="58" t="str">
        <f t="shared" ca="1" si="1802"/>
        <v>X</v>
      </c>
      <c r="BE407" s="58" t="str">
        <f t="shared" ca="1" si="1802"/>
        <v>X</v>
      </c>
      <c r="BF407" s="58" t="str">
        <f t="shared" ca="1" si="1802"/>
        <v>X</v>
      </c>
      <c r="BG407" s="58" t="str">
        <f t="shared" ca="1" si="1802"/>
        <v>X</v>
      </c>
      <c r="BH407" s="58" t="str">
        <f t="shared" ca="1" si="1802"/>
        <v>X</v>
      </c>
      <c r="BI407" s="58" t="str">
        <f t="shared" ca="1" si="1802"/>
        <v>X</v>
      </c>
      <c r="BJ407" s="58" t="str">
        <f t="shared" ca="1" si="1802"/>
        <v>X</v>
      </c>
      <c r="BK407" s="58" t="str">
        <f t="shared" ca="1" si="1802"/>
        <v>X</v>
      </c>
      <c r="BL407" s="58" t="str">
        <f t="shared" ca="1" si="1802"/>
        <v>X</v>
      </c>
      <c r="BM407" s="58" t="str">
        <f t="shared" ca="1" si="1802"/>
        <v>X</v>
      </c>
      <c r="BN407" s="58" t="str">
        <f t="shared" ca="1" si="1802"/>
        <v>X</v>
      </c>
      <c r="BO407" s="58" t="str">
        <f t="shared" ca="1" si="1802"/>
        <v>X</v>
      </c>
      <c r="BP407" s="58" t="str">
        <f t="shared" ca="1" si="1802"/>
        <v>X</v>
      </c>
      <c r="BQ407" s="58" t="str">
        <f t="shared" ca="1" si="1802"/>
        <v>X</v>
      </c>
      <c r="BR407" s="58" t="str">
        <f t="shared" ca="1" si="1802"/>
        <v>X</v>
      </c>
      <c r="BS407" s="58" t="str">
        <f t="shared" ca="1" si="1802"/>
        <v>X</v>
      </c>
      <c r="BT407" s="58" t="str">
        <f t="shared" ca="1" si="1802"/>
        <v>X</v>
      </c>
      <c r="BU407" s="58" t="str">
        <f t="shared" ca="1" si="1802"/>
        <v>X</v>
      </c>
      <c r="BV407" s="58" t="str">
        <f t="shared" ca="1" si="1802"/>
        <v>X</v>
      </c>
      <c r="BW407" s="58" t="str">
        <f t="shared" ca="1" si="1802"/>
        <v>X</v>
      </c>
      <c r="BX407" s="58" t="str">
        <f t="shared" ca="1" si="1802"/>
        <v>X</v>
      </c>
      <c r="BY407" s="58" t="str">
        <f t="shared" ca="1" si="1802"/>
        <v>X</v>
      </c>
      <c r="BZ407" s="58" t="str">
        <f t="shared" ca="1" si="1802"/>
        <v>X</v>
      </c>
      <c r="CA407" s="58" t="str">
        <f t="shared" ca="1" si="1802"/>
        <v>X</v>
      </c>
      <c r="CB407" s="58" t="str">
        <f t="shared" ca="1" si="1802"/>
        <v>X</v>
      </c>
      <c r="CC407" s="58" t="str">
        <f t="shared" ca="1" si="1802"/>
        <v>X</v>
      </c>
      <c r="CD407" s="58" t="str">
        <f t="shared" ca="1" si="1802"/>
        <v>X</v>
      </c>
      <c r="CE407" s="58" t="str">
        <f t="shared" ca="1" si="1802"/>
        <v>X</v>
      </c>
      <c r="CF407" s="58" t="str">
        <f t="shared" ca="1" si="1802"/>
        <v>X</v>
      </c>
      <c r="CG407" s="58" t="str">
        <f t="shared" ca="1" si="1802"/>
        <v>X</v>
      </c>
      <c r="CH407" s="58" t="str">
        <f t="shared" ca="1" si="1802"/>
        <v>X</v>
      </c>
      <c r="CI407" s="58" t="str">
        <f t="shared" ca="1" si="1802"/>
        <v>X</v>
      </c>
      <c r="CJ407" s="58" t="str">
        <f t="shared" ca="1" si="1802"/>
        <v>X</v>
      </c>
      <c r="CK407" s="58" t="str">
        <f t="shared" ca="1" si="1802"/>
        <v>X</v>
      </c>
      <c r="CL407" s="58" t="str">
        <f t="shared" ca="1" si="1802"/>
        <v>X</v>
      </c>
      <c r="CM407" s="58" t="str">
        <f t="shared" ca="1" si="1802"/>
        <v>X</v>
      </c>
      <c r="CN407" s="58">
        <f t="shared" ca="1" si="1802"/>
        <v>46168</v>
      </c>
      <c r="CO407" s="58">
        <f t="shared" ca="1" si="1802"/>
        <v>46168</v>
      </c>
      <c r="CP407" s="58">
        <f t="shared" ca="1" si="1802"/>
        <v>46168</v>
      </c>
      <c r="CQ407" s="58">
        <f t="shared" ca="1" si="1802"/>
        <v>46168</v>
      </c>
      <c r="CR407" s="58" t="str">
        <f t="shared" ca="1" si="1802"/>
        <v>X</v>
      </c>
      <c r="CS407" s="58" t="str">
        <f t="shared" ca="1" si="1802"/>
        <v>X</v>
      </c>
      <c r="CT407" s="58" t="str">
        <f t="shared" ca="1" si="1802"/>
        <v>X</v>
      </c>
      <c r="CU407" s="58" t="str">
        <f t="shared" ca="1" si="1802"/>
        <v>X</v>
      </c>
      <c r="CV407" s="58" t="str">
        <f t="shared" ca="1" si="1802"/>
        <v>X</v>
      </c>
      <c r="CW407" s="58" t="str">
        <f t="shared" ca="1" si="1802"/>
        <v>X</v>
      </c>
      <c r="CX407" s="58" t="str">
        <f t="shared" ca="1" si="1802"/>
        <v>X</v>
      </c>
      <c r="CY407" s="58" t="str">
        <f t="shared" ca="1" si="1802"/>
        <v>X</v>
      </c>
      <c r="CZ407" s="58" t="str">
        <f t="shared" ca="1" si="1802"/>
        <v>X</v>
      </c>
      <c r="DA407" s="58" t="str">
        <f t="shared" ca="1" si="1802"/>
        <v>X</v>
      </c>
      <c r="DB407" s="58">
        <f t="shared" ca="1" si="1802"/>
        <v>46175</v>
      </c>
      <c r="DC407" s="58">
        <f t="shared" ca="1" si="1802"/>
        <v>46175</v>
      </c>
      <c r="DD407" s="58">
        <f t="shared" ca="1" si="1802"/>
        <v>46175</v>
      </c>
      <c r="DE407" s="58">
        <f t="shared" ca="1" si="1802"/>
        <v>46175</v>
      </c>
      <c r="DF407" s="58" t="str">
        <f t="shared" ca="1" si="1802"/>
        <v>X</v>
      </c>
      <c r="DG407" s="58" t="str">
        <f t="shared" ca="1" si="1802"/>
        <v>X</v>
      </c>
      <c r="DH407" s="58" t="str">
        <f t="shared" ca="1" si="1802"/>
        <v>X</v>
      </c>
      <c r="DI407" s="58" t="str">
        <f t="shared" ca="1" si="1802"/>
        <v>X</v>
      </c>
      <c r="DJ407" s="58" t="str">
        <f t="shared" ca="1" si="1802"/>
        <v>X</v>
      </c>
      <c r="DK407" s="58" t="str">
        <f t="shared" ca="1" si="1802"/>
        <v>X</v>
      </c>
      <c r="DL407" s="58" t="str">
        <f t="shared" ca="1" si="1802"/>
        <v>X</v>
      </c>
      <c r="DM407" s="58" t="str">
        <f t="shared" ca="1" si="1802"/>
        <v>X</v>
      </c>
      <c r="DN407" s="58" t="str">
        <f t="shared" ca="1" si="1802"/>
        <v>X</v>
      </c>
      <c r="DO407" s="58" t="str">
        <f t="shared" ca="1" si="1802"/>
        <v>X</v>
      </c>
      <c r="DP407" s="58" t="str">
        <f t="shared" ca="1" si="1802"/>
        <v>X</v>
      </c>
      <c r="DQ407" s="58" t="str">
        <f t="shared" ca="1" si="1802"/>
        <v>X</v>
      </c>
      <c r="DR407" s="58" t="str">
        <f t="shared" ca="1" si="1802"/>
        <v>X</v>
      </c>
      <c r="DS407" s="58" t="str">
        <f t="shared" ca="1" si="1802"/>
        <v>X</v>
      </c>
      <c r="DT407" s="58" t="str">
        <f t="shared" ca="1" si="1802"/>
        <v>X</v>
      </c>
      <c r="DU407" s="58" t="str">
        <f t="shared" ca="1" si="1802"/>
        <v>X</v>
      </c>
      <c r="DV407" s="58" t="str">
        <f t="shared" ca="1" si="1802"/>
        <v>X</v>
      </c>
      <c r="DW407" s="58" t="str">
        <f t="shared" ca="1" si="1802"/>
        <v>X</v>
      </c>
      <c r="DX407" s="58" t="str">
        <f t="shared" ca="1" si="1802"/>
        <v>X</v>
      </c>
      <c r="DY407" s="58" t="str">
        <f t="shared" ca="1" si="1802"/>
        <v>X</v>
      </c>
      <c r="DZ407" s="58" t="str">
        <f t="shared" ca="1" si="1802"/>
        <v>X</v>
      </c>
      <c r="EA407" s="58" t="str">
        <f t="shared" ca="1" si="1802"/>
        <v>X</v>
      </c>
      <c r="EB407" s="58" t="str">
        <f t="shared" ca="1" si="1802"/>
        <v>X</v>
      </c>
      <c r="EC407" s="58" t="str">
        <f t="shared" ca="1" si="1802"/>
        <v>X</v>
      </c>
      <c r="ED407" s="58" t="str">
        <f t="shared" ca="1" si="1802"/>
        <v>X</v>
      </c>
      <c r="EE407" s="58" t="str">
        <f t="shared" ca="1" si="1802"/>
        <v>X</v>
      </c>
      <c r="EF407" s="58" t="str">
        <f t="shared" ca="1" si="1802"/>
        <v>X</v>
      </c>
      <c r="EG407" s="58" t="str">
        <f t="shared" ca="1" si="1802"/>
        <v>X</v>
      </c>
      <c r="EH407" s="58" t="str">
        <f t="shared" ca="1" si="1802"/>
        <v>X</v>
      </c>
      <c r="EI407" s="58" t="str">
        <f t="shared" ca="1" si="1802"/>
        <v>X</v>
      </c>
      <c r="EJ407" s="58" t="str">
        <f t="shared" ca="1" si="1802"/>
        <v>X</v>
      </c>
      <c r="EK407" s="58" t="str">
        <f t="shared" ca="1" si="1802"/>
        <v>X</v>
      </c>
      <c r="EL407" s="58" t="str">
        <f t="shared" ca="1" si="1802"/>
        <v>X</v>
      </c>
      <c r="EM407" s="58" t="str">
        <f t="shared" ca="1" si="1802"/>
        <v>X</v>
      </c>
      <c r="EN407" s="58" t="str">
        <f t="shared" ca="1" si="1802"/>
        <v>X</v>
      </c>
      <c r="EO407" s="58" t="str">
        <f t="shared" ca="1" si="1802"/>
        <v>X</v>
      </c>
      <c r="EP407" s="58" t="str">
        <f t="shared" ca="1" si="1802"/>
        <v>X</v>
      </c>
      <c r="EQ407" s="58" t="str">
        <f t="shared" ca="1" si="1802"/>
        <v>X</v>
      </c>
      <c r="ER407" s="58" t="str">
        <f t="shared" ca="1" si="1802"/>
        <v>X</v>
      </c>
      <c r="ES407" s="58" t="str">
        <f t="shared" ca="1" si="1802"/>
        <v>X</v>
      </c>
      <c r="ET407" s="58" t="str">
        <f t="shared" ca="1" si="1802"/>
        <v>X</v>
      </c>
      <c r="EU407" s="58" t="str">
        <f t="shared" ca="1" si="1802"/>
        <v>X</v>
      </c>
      <c r="EV407" s="58" t="str">
        <f t="shared" ca="1" si="1802"/>
        <v>X</v>
      </c>
      <c r="EW407" s="58" t="str">
        <f t="shared" ca="1" si="1802"/>
        <v>X</v>
      </c>
      <c r="EX407" s="58" t="str">
        <f t="shared" ca="1" si="1802"/>
        <v>X</v>
      </c>
      <c r="EY407" s="58" t="str">
        <f t="shared" ca="1" si="1802"/>
        <v>X</v>
      </c>
      <c r="EZ407" s="58" t="str">
        <f t="shared" ca="1" si="1802"/>
        <v>X</v>
      </c>
      <c r="FA407" s="58" t="str">
        <f t="shared" ca="1" si="1802"/>
        <v>X</v>
      </c>
      <c r="FB407" s="58" t="str">
        <f t="shared" ca="1" si="1802"/>
        <v>X</v>
      </c>
      <c r="FC407" s="58" t="str">
        <f t="shared" ca="1" si="1802"/>
        <v>X</v>
      </c>
      <c r="FD407" s="58" t="str">
        <f t="shared" ca="1" si="1802"/>
        <v>X</v>
      </c>
      <c r="FE407" s="58" t="str">
        <f t="shared" ca="1" si="1802"/>
        <v>X</v>
      </c>
      <c r="FF407" s="58" t="str">
        <f t="shared" ca="1" si="1802"/>
        <v>X</v>
      </c>
      <c r="FG407" s="58" t="str">
        <f t="shared" ca="1" si="1802"/>
        <v>X</v>
      </c>
      <c r="FH407" s="58" t="str">
        <f t="shared" ca="1" si="1802"/>
        <v>X</v>
      </c>
      <c r="FI407" s="58" t="str">
        <f t="shared" ca="1" si="1802"/>
        <v>X</v>
      </c>
      <c r="FJ407" s="58" t="str">
        <f t="shared" ca="1" si="1802"/>
        <v>X</v>
      </c>
      <c r="FK407" s="58" t="str">
        <f t="shared" ca="1" si="1802"/>
        <v>X</v>
      </c>
      <c r="FL407" s="58" t="str">
        <f t="shared" ca="1" si="1802"/>
        <v>X</v>
      </c>
      <c r="FM407" s="58" t="str">
        <f t="shared" ca="1" si="1802"/>
        <v>X</v>
      </c>
      <c r="FN407" s="58" t="str">
        <f t="shared" ca="1" si="1802"/>
        <v>X</v>
      </c>
      <c r="FO407" s="58" t="str">
        <f t="shared" ca="1" si="1802"/>
        <v>X</v>
      </c>
      <c r="FP407" s="58" t="str">
        <f t="shared" ca="1" si="1802"/>
        <v>X</v>
      </c>
      <c r="FQ407" s="58" t="str">
        <f t="shared" ca="1" si="1802"/>
        <v>X</v>
      </c>
      <c r="FR407" s="58" t="str">
        <f t="shared" ca="1" si="1802"/>
        <v>X</v>
      </c>
      <c r="FS407" s="58" t="str">
        <f t="shared" ca="1" si="1802"/>
        <v>X</v>
      </c>
      <c r="FT407" s="58" t="str">
        <f t="shared" ca="1" si="1802"/>
        <v>X</v>
      </c>
      <c r="FU407" s="58" t="str">
        <f t="shared" ca="1" si="1802"/>
        <v>X</v>
      </c>
      <c r="FV407" s="58" t="str">
        <f t="shared" ca="1" si="1802"/>
        <v>X</v>
      </c>
      <c r="FW407" s="58" t="str">
        <f t="shared" ca="1" si="1802"/>
        <v>X</v>
      </c>
      <c r="FX407" s="58" t="str">
        <f t="shared" ca="1" si="1802"/>
        <v>X</v>
      </c>
      <c r="FY407" s="58" t="str">
        <f t="shared" ca="1" si="1802"/>
        <v>X</v>
      </c>
      <c r="FZ407" s="58" t="str">
        <f t="shared" ca="1" si="1802"/>
        <v>X</v>
      </c>
      <c r="GA407" s="58" t="str">
        <f t="shared" ca="1" si="1802"/>
        <v>X</v>
      </c>
      <c r="GB407" s="58" t="str">
        <f t="shared" ca="1" si="1802"/>
        <v>X</v>
      </c>
      <c r="GC407" s="58" t="str">
        <f t="shared" ca="1" si="1802"/>
        <v>X</v>
      </c>
      <c r="GD407" s="58" t="str">
        <f t="shared" ca="1" si="1802"/>
        <v>X</v>
      </c>
      <c r="GE407" s="58" t="str">
        <f t="shared" ca="1" si="1802"/>
        <v>X</v>
      </c>
      <c r="GF407" s="58" t="str">
        <f t="shared" ca="1" si="1802"/>
        <v>X</v>
      </c>
      <c r="GG407" s="58" t="str">
        <f t="shared" ca="1" si="1802"/>
        <v>X</v>
      </c>
      <c r="GH407" s="58" t="str">
        <f t="shared" ca="1" si="1802"/>
        <v>X</v>
      </c>
      <c r="GI407" s="58" t="str">
        <f t="shared" ca="1" si="1802"/>
        <v>X</v>
      </c>
      <c r="GJ407" s="58" t="str">
        <f t="shared" ca="1" si="1802"/>
        <v>X</v>
      </c>
      <c r="GK407" s="58" t="str">
        <f t="shared" ca="1" si="1802"/>
        <v>X</v>
      </c>
      <c r="GL407" s="58" t="str">
        <f t="shared" ca="1" si="1802"/>
        <v>X</v>
      </c>
      <c r="GM407" s="58" t="str">
        <f t="shared" ca="1" si="1802"/>
        <v>X</v>
      </c>
      <c r="GN407" s="58" t="str">
        <f t="shared" ca="1" si="1802"/>
        <v>X</v>
      </c>
      <c r="GO407" s="58" t="str">
        <f t="shared" ca="1" si="1802"/>
        <v>X</v>
      </c>
      <c r="GP407" s="58" t="str">
        <f t="shared" ca="1" si="1802"/>
        <v>X</v>
      </c>
      <c r="GQ407" s="58" t="str">
        <f t="shared" ca="1" si="1802"/>
        <v>X</v>
      </c>
      <c r="GR407" s="58" t="str">
        <f t="shared" ca="1" si="1802"/>
        <v>X</v>
      </c>
      <c r="GS407" s="80" t="str">
        <f t="shared" ca="1" si="1802"/>
        <v>X</v>
      </c>
      <c r="GT407" s="58" t="str">
        <f t="shared" ca="1" si="1802"/>
        <v>X</v>
      </c>
      <c r="GU407" s="82" t="str">
        <f t="shared" ca="1" si="1617"/>
        <v>X</v>
      </c>
      <c r="GV407" s="58" t="str">
        <f t="shared" ca="1" si="1618"/>
        <v>X</v>
      </c>
      <c r="GW407" s="58" t="str">
        <f t="shared" ca="1" si="1619"/>
        <v>X</v>
      </c>
      <c r="GX407" s="58" t="str">
        <f t="shared" ca="1" si="1620"/>
        <v>X</v>
      </c>
      <c r="GY407" s="58" t="str">
        <f t="shared" ca="1" si="1621"/>
        <v>X</v>
      </c>
      <c r="GZ407" s="58" t="str">
        <f t="shared" ca="1" si="1622"/>
        <v>X</v>
      </c>
      <c r="HA407" s="58" t="str">
        <f t="shared" ca="1" si="1623"/>
        <v>X</v>
      </c>
      <c r="HB407" s="58" t="str">
        <f t="shared" ca="1" si="1624"/>
        <v>X</v>
      </c>
      <c r="HC407" s="58" t="str">
        <f t="shared" ca="1" si="1625"/>
        <v>X</v>
      </c>
      <c r="HD407" s="58" t="str">
        <f t="shared" ca="1" si="1626"/>
        <v>X</v>
      </c>
      <c r="HE407" s="58" t="str">
        <f t="shared" ca="1" si="1627"/>
        <v>X</v>
      </c>
      <c r="HF407" s="58" t="str">
        <f t="shared" ca="1" si="1628"/>
        <v>X</v>
      </c>
      <c r="HG407" s="58" t="str">
        <f t="shared" ca="1" si="1629"/>
        <v>X</v>
      </c>
      <c r="HH407" s="58" t="str">
        <f t="shared" ca="1" si="1630"/>
        <v>X</v>
      </c>
      <c r="HI407" s="58" t="str">
        <f t="shared" ca="1" si="1631"/>
        <v>X</v>
      </c>
      <c r="HJ407" s="58" t="str">
        <f t="shared" ca="1" si="1632"/>
        <v>X</v>
      </c>
      <c r="HK407" s="58" t="str">
        <f t="shared" ca="1" si="1633"/>
        <v>X</v>
      </c>
      <c r="HL407" s="58" t="str">
        <f t="shared" ca="1" si="1634"/>
        <v>X</v>
      </c>
      <c r="HM407" s="58" t="str">
        <f t="shared" ca="1" si="1635"/>
        <v>X</v>
      </c>
      <c r="HN407" s="58" t="str">
        <f t="shared" ca="1" si="1636"/>
        <v>X</v>
      </c>
      <c r="HO407" s="58" t="str">
        <f t="shared" ca="1" si="1637"/>
        <v>X</v>
      </c>
      <c r="HP407" s="58" t="str">
        <f t="shared" ca="1" si="1638"/>
        <v>X</v>
      </c>
      <c r="HQ407" s="58" t="str">
        <f t="shared" ca="1" si="1639"/>
        <v>X</v>
      </c>
      <c r="HR407" s="58" t="str">
        <f t="shared" ca="1" si="1640"/>
        <v>X</v>
      </c>
      <c r="HS407" s="58" t="str">
        <f t="shared" ca="1" si="1641"/>
        <v>X</v>
      </c>
      <c r="HT407" s="58" t="str">
        <f t="shared" ca="1" si="1642"/>
        <v>X</v>
      </c>
      <c r="HU407" s="58" t="str">
        <f t="shared" ca="1" si="1643"/>
        <v>X</v>
      </c>
      <c r="HV407" s="58" t="str">
        <f t="shared" ca="1" si="1644"/>
        <v>X</v>
      </c>
      <c r="HW407" s="58" t="str">
        <f t="shared" ca="1" si="1645"/>
        <v>X</v>
      </c>
      <c r="HX407" s="58" t="str">
        <f t="shared" ca="1" si="1646"/>
        <v>X</v>
      </c>
      <c r="HY407" s="58" t="str">
        <f t="shared" ca="1" si="1647"/>
        <v>X</v>
      </c>
      <c r="HZ407" s="58" t="str">
        <f t="shared" ca="1" si="1648"/>
        <v>X</v>
      </c>
      <c r="IA407" s="58" t="str">
        <f t="shared" ca="1" si="1649"/>
        <v>X</v>
      </c>
      <c r="IB407" s="58" t="str">
        <f t="shared" ca="1" si="1650"/>
        <v>X</v>
      </c>
      <c r="IC407" s="58" t="str">
        <f t="shared" ca="1" si="1651"/>
        <v>X</v>
      </c>
      <c r="ID407" s="58" t="str">
        <f t="shared" ca="1" si="1652"/>
        <v>X</v>
      </c>
      <c r="IE407" s="58" t="str">
        <f t="shared" ca="1" si="1653"/>
        <v>X</v>
      </c>
      <c r="IF407" s="58" t="str">
        <f t="shared" ca="1" si="1654"/>
        <v>X</v>
      </c>
      <c r="IG407" s="58" t="str">
        <f t="shared" ca="1" si="1655"/>
        <v>X</v>
      </c>
      <c r="IH407" s="58" t="str">
        <f t="shared" ca="1" si="1656"/>
        <v>X</v>
      </c>
      <c r="II407" s="58" t="str">
        <f t="shared" ca="1" si="1657"/>
        <v>X</v>
      </c>
      <c r="IJ407" s="58" t="str">
        <f t="shared" ca="1" si="1658"/>
        <v>X</v>
      </c>
      <c r="IK407" s="58" t="str">
        <f t="shared" ca="1" si="1659"/>
        <v>X</v>
      </c>
      <c r="IL407" s="58" t="str">
        <f t="shared" ca="1" si="1660"/>
        <v>X</v>
      </c>
      <c r="IM407" s="58" t="str">
        <f t="shared" ca="1" si="1661"/>
        <v>X</v>
      </c>
      <c r="IN407" s="58" t="str">
        <f t="shared" ca="1" si="1662"/>
        <v>X</v>
      </c>
      <c r="IO407" s="58" t="str">
        <f t="shared" ca="1" si="1663"/>
        <v>X</v>
      </c>
      <c r="IP407" s="58" t="str">
        <f t="shared" ca="1" si="1664"/>
        <v>X</v>
      </c>
      <c r="IQ407" s="58" t="str">
        <f t="shared" ca="1" si="1665"/>
        <v>X</v>
      </c>
      <c r="IR407" s="58" t="str">
        <f t="shared" ca="1" si="1666"/>
        <v>X</v>
      </c>
      <c r="IS407" s="58" t="str">
        <f t="shared" ca="1" si="1667"/>
        <v>X</v>
      </c>
      <c r="IT407" s="58" t="str">
        <f t="shared" ca="1" si="1668"/>
        <v>X</v>
      </c>
      <c r="IU407" s="58" t="str">
        <f t="shared" ca="1" si="1669"/>
        <v>X</v>
      </c>
      <c r="IV407" s="58" t="str">
        <f t="shared" ca="1" si="1670"/>
        <v>X</v>
      </c>
      <c r="IW407" s="58" t="str">
        <f t="shared" ca="1" si="1671"/>
        <v>X</v>
      </c>
      <c r="IX407" s="58" t="str">
        <f t="shared" ca="1" si="1672"/>
        <v>X</v>
      </c>
      <c r="IY407" s="58" t="str">
        <f t="shared" ca="1" si="1673"/>
        <v>X</v>
      </c>
      <c r="IZ407" s="58">
        <f t="shared" ca="1" si="1674"/>
        <v>46170</v>
      </c>
      <c r="JA407" s="58">
        <f t="shared" ca="1" si="1675"/>
        <v>46170</v>
      </c>
      <c r="JB407" s="58">
        <f t="shared" ca="1" si="1676"/>
        <v>46170</v>
      </c>
      <c r="JC407" s="58">
        <f t="shared" ca="1" si="1677"/>
        <v>46170</v>
      </c>
      <c r="JD407" s="58" t="str">
        <f t="shared" ca="1" si="1678"/>
        <v>X</v>
      </c>
      <c r="JE407" s="58" t="str">
        <f t="shared" ca="1" si="1679"/>
        <v>X</v>
      </c>
      <c r="JF407" s="58" t="str">
        <f t="shared" ca="1" si="1680"/>
        <v>X</v>
      </c>
      <c r="JG407" s="58" t="str">
        <f t="shared" ca="1" si="1681"/>
        <v>X</v>
      </c>
      <c r="JH407" s="58" t="str">
        <f t="shared" ca="1" si="1682"/>
        <v>X</v>
      </c>
      <c r="JI407" s="58" t="str">
        <f t="shared" ca="1" si="1683"/>
        <v>X</v>
      </c>
      <c r="JJ407" s="58" t="str">
        <f t="shared" ca="1" si="1684"/>
        <v>X</v>
      </c>
      <c r="JK407" s="58" t="str">
        <f t="shared" ca="1" si="1685"/>
        <v>X</v>
      </c>
      <c r="JL407" s="58" t="str">
        <f t="shared" ca="1" si="1686"/>
        <v>X</v>
      </c>
      <c r="JM407" s="58" t="str">
        <f t="shared" ca="1" si="1687"/>
        <v>X</v>
      </c>
      <c r="JN407" s="58">
        <f t="shared" ca="1" si="1688"/>
        <v>46199</v>
      </c>
      <c r="JO407" s="58">
        <f t="shared" ca="1" si="1689"/>
        <v>46199</v>
      </c>
      <c r="JP407" s="58">
        <f t="shared" ca="1" si="1690"/>
        <v>46199</v>
      </c>
      <c r="JQ407" s="58">
        <f t="shared" ca="1" si="1691"/>
        <v>46199</v>
      </c>
      <c r="JR407" s="58" t="str">
        <f t="shared" ca="1" si="1692"/>
        <v>X</v>
      </c>
      <c r="JS407" s="58" t="str">
        <f t="shared" ca="1" si="1693"/>
        <v>X</v>
      </c>
      <c r="JT407" s="58" t="str">
        <f t="shared" ca="1" si="1694"/>
        <v>X</v>
      </c>
      <c r="JU407" s="58" t="str">
        <f t="shared" ca="1" si="1695"/>
        <v>X</v>
      </c>
      <c r="JV407" s="58" t="str">
        <f t="shared" ca="1" si="1696"/>
        <v>X</v>
      </c>
      <c r="JW407" s="58" t="str">
        <f t="shared" ca="1" si="1697"/>
        <v>X</v>
      </c>
      <c r="JX407" s="58" t="str">
        <f t="shared" ca="1" si="1698"/>
        <v>X</v>
      </c>
      <c r="JY407" s="58" t="str">
        <f t="shared" ca="1" si="1699"/>
        <v>X</v>
      </c>
      <c r="JZ407" s="58" t="str">
        <f t="shared" ca="1" si="1700"/>
        <v>X</v>
      </c>
      <c r="KA407" s="58" t="str">
        <f t="shared" ca="1" si="1701"/>
        <v>X</v>
      </c>
      <c r="KB407" s="58" t="str">
        <f t="shared" ca="1" si="1702"/>
        <v>X</v>
      </c>
      <c r="KC407" s="58" t="str">
        <f t="shared" ca="1" si="1703"/>
        <v>X</v>
      </c>
      <c r="KD407" s="58" t="str">
        <f t="shared" ca="1" si="1704"/>
        <v>X</v>
      </c>
      <c r="KE407" s="58" t="str">
        <f t="shared" ca="1" si="1705"/>
        <v>X</v>
      </c>
      <c r="KF407" s="58" t="str">
        <f t="shared" ca="1" si="1706"/>
        <v>X</v>
      </c>
      <c r="KG407" s="58" t="str">
        <f t="shared" ca="1" si="1707"/>
        <v>X</v>
      </c>
      <c r="KH407" s="58" t="str">
        <f t="shared" ca="1" si="1708"/>
        <v>X</v>
      </c>
      <c r="KI407" s="58" t="str">
        <f t="shared" ca="1" si="1709"/>
        <v>X</v>
      </c>
      <c r="KJ407" s="58" t="str">
        <f t="shared" ca="1" si="1710"/>
        <v>X</v>
      </c>
      <c r="KK407" s="58" t="str">
        <f t="shared" ca="1" si="1711"/>
        <v>X</v>
      </c>
      <c r="KL407" s="58" t="str">
        <f t="shared" ca="1" si="1712"/>
        <v>X</v>
      </c>
      <c r="KM407" s="58" t="str">
        <f t="shared" ca="1" si="1713"/>
        <v>X</v>
      </c>
      <c r="KN407" s="58" t="str">
        <f t="shared" ca="1" si="1714"/>
        <v>X</v>
      </c>
      <c r="KO407" s="58" t="str">
        <f t="shared" ca="1" si="1715"/>
        <v>X</v>
      </c>
      <c r="KP407" s="58" t="str">
        <f t="shared" ca="1" si="1716"/>
        <v>X</v>
      </c>
      <c r="KQ407" s="58" t="str">
        <f t="shared" ca="1" si="1717"/>
        <v>X</v>
      </c>
      <c r="KR407" s="58" t="str">
        <f t="shared" ca="1" si="1718"/>
        <v>X</v>
      </c>
      <c r="KS407" s="58" t="str">
        <f t="shared" ca="1" si="1719"/>
        <v>X</v>
      </c>
      <c r="KT407" s="58" t="str">
        <f t="shared" ca="1" si="1720"/>
        <v>X</v>
      </c>
      <c r="KU407" s="58" t="str">
        <f t="shared" ca="1" si="1721"/>
        <v>X</v>
      </c>
      <c r="KV407" s="58" t="str">
        <f t="shared" ca="1" si="1722"/>
        <v>X</v>
      </c>
      <c r="KW407" s="58" t="str">
        <f t="shared" ca="1" si="1723"/>
        <v>X</v>
      </c>
      <c r="KX407" s="58" t="str">
        <f t="shared" ca="1" si="1724"/>
        <v>X</v>
      </c>
      <c r="KY407" s="58" t="str">
        <f t="shared" ca="1" si="1725"/>
        <v>X</v>
      </c>
      <c r="KZ407" s="58" t="str">
        <f t="shared" ca="1" si="1726"/>
        <v>X</v>
      </c>
      <c r="LA407" s="58" t="str">
        <f t="shared" ca="1" si="1727"/>
        <v>X</v>
      </c>
      <c r="LB407" s="58" t="str">
        <f t="shared" ca="1" si="1728"/>
        <v>X</v>
      </c>
      <c r="LC407" s="58" t="str">
        <f t="shared" ca="1" si="1729"/>
        <v>X</v>
      </c>
      <c r="LD407" s="58" t="str">
        <f t="shared" ca="1" si="1730"/>
        <v>X</v>
      </c>
      <c r="LE407" s="58" t="str">
        <f t="shared" ca="1" si="1731"/>
        <v>X</v>
      </c>
      <c r="LF407" s="58" t="str">
        <f t="shared" ca="1" si="1732"/>
        <v>X</v>
      </c>
      <c r="LG407" s="58" t="str">
        <f t="shared" ca="1" si="1733"/>
        <v>X</v>
      </c>
      <c r="LH407" s="58" t="str">
        <f t="shared" ca="1" si="1734"/>
        <v>X</v>
      </c>
      <c r="LI407" s="58" t="str">
        <f t="shared" ca="1" si="1735"/>
        <v>X</v>
      </c>
      <c r="LJ407" s="58" t="str">
        <f t="shared" ca="1" si="1736"/>
        <v>X</v>
      </c>
      <c r="LK407" s="58" t="str">
        <f t="shared" ca="1" si="1737"/>
        <v>X</v>
      </c>
      <c r="LL407" s="58" t="str">
        <f t="shared" ca="1" si="1738"/>
        <v>X</v>
      </c>
      <c r="LM407" s="58" t="str">
        <f t="shared" ca="1" si="1739"/>
        <v>X</v>
      </c>
      <c r="LN407" s="58" t="str">
        <f t="shared" ca="1" si="1740"/>
        <v>X</v>
      </c>
      <c r="LO407" s="58" t="str">
        <f t="shared" ca="1" si="1741"/>
        <v>X</v>
      </c>
      <c r="LP407" s="58" t="str">
        <f t="shared" ca="1" si="1742"/>
        <v>X</v>
      </c>
      <c r="LQ407" s="58" t="str">
        <f t="shared" ca="1" si="1743"/>
        <v>X</v>
      </c>
      <c r="LR407" s="58" t="str">
        <f t="shared" ca="1" si="1744"/>
        <v>X</v>
      </c>
      <c r="LS407" s="58" t="str">
        <f t="shared" ca="1" si="1745"/>
        <v>X</v>
      </c>
      <c r="LT407" s="58" t="str">
        <f t="shared" ca="1" si="1746"/>
        <v>X</v>
      </c>
      <c r="LU407" s="58" t="str">
        <f t="shared" ca="1" si="1747"/>
        <v>X</v>
      </c>
      <c r="LV407" s="58" t="str">
        <f t="shared" ca="1" si="1748"/>
        <v>X</v>
      </c>
      <c r="LW407" s="58" t="str">
        <f t="shared" ca="1" si="1749"/>
        <v>X</v>
      </c>
      <c r="LX407" s="58" t="str">
        <f t="shared" ca="1" si="1750"/>
        <v>X</v>
      </c>
      <c r="LY407" s="58" t="str">
        <f t="shared" ca="1" si="1751"/>
        <v>X</v>
      </c>
      <c r="LZ407" s="58" t="str">
        <f t="shared" ca="1" si="1752"/>
        <v>X</v>
      </c>
      <c r="MA407" s="58" t="str">
        <f t="shared" ca="1" si="1753"/>
        <v>X</v>
      </c>
      <c r="MB407" s="58" t="str">
        <f t="shared" ca="1" si="1754"/>
        <v>X</v>
      </c>
      <c r="MC407" s="58" t="str">
        <f t="shared" ca="1" si="1755"/>
        <v>X</v>
      </c>
      <c r="MD407" s="58" t="str">
        <f t="shared" ca="1" si="1756"/>
        <v>X</v>
      </c>
      <c r="ME407" s="58" t="str">
        <f t="shared" ca="1" si="1757"/>
        <v>X</v>
      </c>
      <c r="MF407" s="58" t="str">
        <f t="shared" ca="1" si="1758"/>
        <v>X</v>
      </c>
      <c r="MG407" s="58" t="str">
        <f t="shared" ca="1" si="1759"/>
        <v>X</v>
      </c>
      <c r="MH407" s="58" t="str">
        <f t="shared" ca="1" si="1760"/>
        <v>X</v>
      </c>
      <c r="MI407" s="58" t="str">
        <f t="shared" ca="1" si="1761"/>
        <v>X</v>
      </c>
      <c r="MJ407" s="58" t="str">
        <f t="shared" ca="1" si="1762"/>
        <v>X</v>
      </c>
      <c r="MK407" s="58" t="str">
        <f t="shared" ca="1" si="1763"/>
        <v>X</v>
      </c>
      <c r="ML407" s="58" t="str">
        <f t="shared" ca="1" si="1764"/>
        <v>X</v>
      </c>
      <c r="MM407" s="58" t="str">
        <f t="shared" ca="1" si="1765"/>
        <v>X</v>
      </c>
      <c r="MN407" s="58" t="str">
        <f t="shared" ca="1" si="1766"/>
        <v>X</v>
      </c>
      <c r="MO407" s="58" t="str">
        <f t="shared" ca="1" si="1767"/>
        <v>X</v>
      </c>
      <c r="MP407" s="58" t="str">
        <f t="shared" ca="1" si="1768"/>
        <v>X</v>
      </c>
      <c r="MQ407" s="58" t="str">
        <f t="shared" ca="1" si="1769"/>
        <v>X</v>
      </c>
      <c r="MR407" s="58" t="str">
        <f t="shared" ca="1" si="1770"/>
        <v>X</v>
      </c>
      <c r="MS407" s="58" t="str">
        <f t="shared" ca="1" si="1771"/>
        <v>X</v>
      </c>
      <c r="MT407" s="58" t="str">
        <f t="shared" ref="MT407:NE407" ca="1" si="1803">IF($K407=INDIRECT(CONCATENATE("$AG$"&amp;GH$392)),INDIRECT(CONCATENATE("$AG$"&amp;GH$391)),
IF($K407=INDIRECT(CONCATENATE("$AF$"&amp;GH$392)),INDIRECT(CONCATENATE("$AF$"&amp;GH$391)),
IF($K407=INDIRECT(CONCATENATE("$AE$"&amp;GH$392)),INDIRECT(CONCATENATE("$AE$"&amp;GH$391)),
IF($K407=INDIRECT(CONCATENATE("$AD$"&amp;GH$392)),INDIRECT(CONCATENATE("$AD$"&amp;GH$391)),
IF($K407=INDIRECT(CONCATENATE("$AC$"&amp;GH$392)),INDIRECT(CONCATENATE("$AC$"&amp;GH$391)),
IF($K407=INDIRECT(CONCATENATE("$AB$"&amp;GH$392)),INDIRECT(CONCATENATE("$AB$"&amp;GH$391)),
IF($K407=INDIRECT(CONCATENATE("$AA$"&amp;GH$392)),INDIRECT(CONCATENATE("$AA$"&amp;GH$391)),
IF($K407=INDIRECT(CONCATENATE("$Z$"&amp;GH$392)),INDIRECT(CONCATENATE("$Z$"&amp;GH$391)),
IF($K407=INDIRECT(CONCATENATE("$Y$"&amp;GH$392)),INDIRECT(CONCATENATE("$Y$"&amp;GH$391)),
IF($K407=INDIRECT(CONCATENATE("$X$"&amp;GH$392)),INDIRECT(CONCATENATE("$X$"&amp;GH$391)),
IF($K407=INDIRECT(CONCATENATE("$W$"&amp;GH$392)),INDIRECT(CONCATENATE("$W$"&amp;GH$391)),
IF($K407=INDIRECT(CONCATENATE("$V$"&amp;GH$392)),INDIRECT(CONCATENATE("$V$"&amp;GH$391)),
IF($K407=INDIRECT(CONCATENATE("$U$"&amp;GH$392)),INDIRECT(CONCATENATE("$U$"&amp;GH$391)),
IF($K407=INDIRECT(CONCATENATE("$T$"&amp;GH$392)),INDIRECT(CONCATENATE("$T$"&amp;GH$391)),
IF($K407=INDIRECT(CONCATENATE("$S$"&amp;GH$392)),INDIRECT(CONCATENATE("$S$"&amp;GH$391)),
IF($K407=INDIRECT(CONCATENATE("$R$"&amp;GH$392)),INDIRECT(CONCATENATE("$R$"&amp;GH$391)),
IF($K407=INDIRECT(CONCATENATE("$Q$"&amp;GH$392)),INDIRECT(CONCATENATE("$Q$"&amp;GH$391)),
IF($K407=INDIRECT(CONCATENATE("$P$"&amp;GH$392)),INDIRECT(CONCATENATE("$P$"&amp;GH$391)),
IF($K407=INDIRECT(CONCATENATE("$O$"&amp;GH$392)),INDIRECT(CONCATENATE("$O$"&amp;GH$391)),
IF($K407=INDIRECT(CONCATENATE("$N$"&amp;GH$392)),INDIRECT(CONCATENATE("$N$"&amp;GH$391)),
IF($K407=INDIRECT(CONCATENATE("$M$"&amp;GH$392)),INDIRECT(CONCATENATE("$M$"&amp;GH$391)),
IF($K407=INDIRECT(CONCATENATE("$L$"&amp;GH$392)),INDIRECT(CONCATENATE("$L$"&amp;GH$391)),
IF($K407=INDIRECT(CONCATENATE("$K$"&amp;GH$392)),INDIRECT(CONCATENATE("$K$"&amp;GH$391)),
IF($K407=INDIRECT(CONCATENATE("$J$"&amp;GH$392)),INDIRECT(CONCATENATE("$J$"&amp;GH$391)),
IF($K407=INDIRECT(CONCATENATE("$I$"&amp;GH$392)),INDIRECT(CONCATENATE("$I$"&amp;GH$391)),
IF($K407=INDIRECT(CONCATENATE("$H$"&amp;GH$392)),INDIRECT(CONCATENATE("$H$"&amp;GH$391)),
IF($K407=INDIRECT(CONCATENATE("$G$"&amp;GH$392)),INDIRECT(CONCATENATE("$G$"&amp;GH$391)),
IF($K407=INDIRECT(CONCATENATE("$F$"&amp;GH$392)),INDIRECT(CONCATENATE("$F$"&amp;GH$391)),
IF($K407=INDIRECT(CONCATENATE("$E$"&amp;GH$392)),INDIRECT(CONCATENATE("$E$"&amp;GH$391)),
IF($K407=INDIRECT(CONCATENATE("$D$"&amp;GH$392)),INDIRECT(CONCATENATE("$D$"&amp;GH$391)),
IF($K407=INDIRECT(CONCATENATE("$C$"&amp;GH$392)),INDIRECT(CONCATENATE("$C$"&amp;GH$391)),"X")))))))))))))))))))))))))))))))</f>
        <v>X</v>
      </c>
      <c r="MU407" s="58" t="str">
        <f t="shared" ca="1" si="1803"/>
        <v>X</v>
      </c>
      <c r="MV407" s="58" t="str">
        <f t="shared" ca="1" si="1803"/>
        <v>X</v>
      </c>
      <c r="MW407" s="58" t="str">
        <f t="shared" ca="1" si="1803"/>
        <v>X</v>
      </c>
      <c r="MX407" s="58" t="str">
        <f t="shared" ca="1" si="1803"/>
        <v>X</v>
      </c>
      <c r="MY407" s="58" t="str">
        <f t="shared" ca="1" si="1803"/>
        <v>X</v>
      </c>
      <c r="MZ407" s="58" t="str">
        <f t="shared" ca="1" si="1803"/>
        <v>X</v>
      </c>
      <c r="NA407" s="58" t="str">
        <f t="shared" ca="1" si="1803"/>
        <v>X</v>
      </c>
      <c r="NB407" s="58" t="str">
        <f t="shared" ca="1" si="1803"/>
        <v>X</v>
      </c>
      <c r="NC407" s="58" t="str">
        <f t="shared" ca="1" si="1803"/>
        <v>X</v>
      </c>
      <c r="ND407" s="58" t="str">
        <f t="shared" ca="1" si="1803"/>
        <v>X</v>
      </c>
      <c r="NE407" s="58" t="str">
        <f t="shared" ca="1" si="1803"/>
        <v>X</v>
      </c>
      <c r="NF407" s="58" t="str">
        <f t="shared" ca="1" si="1773"/>
        <v>X</v>
      </c>
      <c r="NG407" s="58" t="str">
        <f t="shared" ca="1" si="1774"/>
        <v>X</v>
      </c>
    </row>
    <row r="408" spans="1:371" ht="18" customHeight="1">
      <c r="A408" s="241" t="s">
        <v>103</v>
      </c>
      <c r="B408" s="304"/>
      <c r="C408" s="304"/>
      <c r="D408" s="304"/>
      <c r="E408" s="304"/>
      <c r="F408" s="304"/>
      <c r="G408" s="304"/>
      <c r="H408" s="304"/>
      <c r="I408" s="304"/>
      <c r="J408" s="303"/>
      <c r="K408" s="237" t="s">
        <v>104</v>
      </c>
      <c r="L408" s="303"/>
      <c r="M408" s="60">
        <v>40</v>
      </c>
      <c r="N408" s="225" t="s">
        <v>102</v>
      </c>
      <c r="O408" s="304"/>
      <c r="P408" s="304"/>
      <c r="Q408" s="304"/>
      <c r="R408" s="303"/>
      <c r="S408" s="226">
        <v>105342</v>
      </c>
      <c r="T408" s="304"/>
      <c r="U408" s="303"/>
      <c r="V408" s="227" t="s">
        <v>89</v>
      </c>
      <c r="W408" s="303"/>
      <c r="X408" s="56">
        <v>46170</v>
      </c>
      <c r="Y408" s="56">
        <v>46179</v>
      </c>
      <c r="Z408" s="228" t="str">
        <f t="shared" ca="1" si="1612"/>
        <v>CONCLUÍDA</v>
      </c>
      <c r="AA408" s="304"/>
      <c r="AB408" s="303"/>
      <c r="AC408" s="224">
        <f t="shared" si="1777"/>
        <v>0</v>
      </c>
      <c r="AD408" s="303"/>
      <c r="AE408" s="229">
        <f t="shared" si="1778"/>
        <v>40</v>
      </c>
      <c r="AF408" s="303"/>
      <c r="AG408" s="57" t="str">
        <f t="shared" si="1615"/>
        <v/>
      </c>
      <c r="AH408" s="21"/>
      <c r="AI408" s="70"/>
      <c r="AJ408" s="58" t="str">
        <f t="shared" ref="AJ408:GT408" ca="1" si="1804">IF($K408=INDIRECT(CONCATENATE("$C$"&amp;AJ$392)), INDIRECT(CONCATENATE("$C$"&amp;AJ$391)),
IF($K408=INDIRECT(CONCATENATE("$D$"&amp;AJ$392)), INDIRECT(CONCATENATE("$D$"&amp;AJ$391)),
IF($K408=INDIRECT(CONCATENATE("$E$"&amp;AJ$392)), INDIRECT(CONCATENATE("$E$"&amp;AJ$391)),
IF($K408=INDIRECT(CONCATENATE("$F$"&amp;AJ$392)), INDIRECT(CONCATENATE("$F$"&amp;AJ$391)),
IF($K408=INDIRECT(CONCATENATE("$G$"&amp;AJ$392)), INDIRECT(CONCATENATE("$G$"&amp;AJ$391)),
IF($K408=INDIRECT(CONCATENATE("$H$"&amp;AJ$392)), INDIRECT(CONCATENATE("$H$"&amp;AJ$391)),
IF($K408=INDIRECT(CONCATENATE("$I$"&amp;AJ$392)), INDIRECT(CONCATENATE("$I$"&amp;AJ$391)),
IF($K408=INDIRECT(CONCATENATE("$J$"&amp;AJ$392)), INDIRECT(CONCATENATE("$J$"&amp;AJ$391)),
IF($K408=INDIRECT(CONCATENATE("$K$"&amp;AJ$392)), INDIRECT(CONCATENATE("$K$"&amp;AJ$391)),
IF($K408=INDIRECT(CONCATENATE("$L$"&amp;AJ$392)), INDIRECT(CONCATENATE("$L$"&amp;AJ$391)),
IF($K408=INDIRECT(CONCATENATE("$M$"&amp;AJ$392)), INDIRECT(CONCATENATE("$M$"&amp;AJ$391)),
IF($K408=INDIRECT(CONCATENATE("$N$"&amp;AJ$392)), INDIRECT(CONCATENATE("$N$"&amp;AJ$391)),
IF($K408=INDIRECT(CONCATENATE("$O$"&amp;AJ$392)), INDIRECT(CONCATENATE("$O$"&amp;AJ$391)),
IF($K408=INDIRECT(CONCATENATE("$P$"&amp;AJ$392)), INDIRECT(CONCATENATE("$P$"&amp;AJ$391)),
IF($K408=INDIRECT(CONCATENATE("$Q$"&amp;AJ$392)), INDIRECT(CONCATENATE("$Q$"&amp;AJ$391)),
IF($K408=INDIRECT(CONCATENATE("$R$"&amp;AJ$392)), INDIRECT(CONCATENATE("$R$"&amp;AJ$391)),
IF($K408=INDIRECT(CONCATENATE("$S$"&amp;AJ$392)), INDIRECT(CONCATENATE("$S$"&amp;AJ$391)),
IF($K408=INDIRECT(CONCATENATE("$T$"&amp;AJ$392)), INDIRECT(CONCATENATE("$T$"&amp;AJ$391)),
IF($K408=INDIRECT(CONCATENATE("$U$"&amp;AJ$392)), INDIRECT(CONCATENATE("$U$"&amp;AJ$391)),
IF($K408=INDIRECT(CONCATENATE("$V$"&amp;AJ$392)), INDIRECT(CONCATENATE("$V$"&amp;AJ$391)),
IF($K408=INDIRECT(CONCATENATE("$W$"&amp;AJ$392)), INDIRECT(CONCATENATE("$W$"&amp;AJ$391)),
IF($K408=INDIRECT(CONCATENATE("$X$"&amp;AJ$392)), INDIRECT(CONCATENATE("$X$"&amp;AJ$391)),
IF($K408=INDIRECT(CONCATENATE("$Y$"&amp;AJ$392)), INDIRECT(CONCATENATE("$Y$"&amp;AJ$391)),
IF($K408=INDIRECT(CONCATENATE("$Z$"&amp;AJ$392)), INDIRECT(CONCATENATE("$Z$"&amp;AJ$391)),
IF($K408=INDIRECT(CONCATENATE("$AA$"&amp;AJ$392)), INDIRECT(CONCATENATE("$AA$"&amp;AJ$391)),
IF($K408=INDIRECT(CONCATENATE("$AB$"&amp;AJ$392)), INDIRECT(CONCATENATE("$AB$"&amp;AJ$391)),
IF($K408=INDIRECT(CONCATENATE("$AC$"&amp;AJ$392)), INDIRECT(CONCATENATE("$AC$"&amp;AJ$391)),
IF($K408=INDIRECT(CONCATENATE("$AD$"&amp;AJ$392)), INDIRECT(CONCATENATE("$AD$"&amp;AJ$391)),
IF($K408=INDIRECT(CONCATENATE("$AE$"&amp;AJ$392)), INDIRECT(CONCATENATE("$AE$"&amp;AJ$391)),
IF($K408=INDIRECT(CONCATENATE("$AF$"&amp;AJ$392)), INDIRECT(CONCATENATE("$AF$"&amp;AJ$391)),
IF($K408=INDIRECT(CONCATENATE("$AG$"&amp;AJ$392)), INDIRECT(CONCATENATE("$AG$"&amp;AJ$391)),"X")))))))))))))))))))))))))))))))</f>
        <v>X</v>
      </c>
      <c r="AK408" s="58" t="str">
        <f t="shared" ca="1" si="1804"/>
        <v>X</v>
      </c>
      <c r="AL408" s="58" t="str">
        <f t="shared" ca="1" si="1804"/>
        <v>X</v>
      </c>
      <c r="AM408" s="58" t="str">
        <f t="shared" ca="1" si="1804"/>
        <v>X</v>
      </c>
      <c r="AN408" s="58" t="str">
        <f t="shared" ca="1" si="1804"/>
        <v>X</v>
      </c>
      <c r="AO408" s="58" t="str">
        <f t="shared" ca="1" si="1804"/>
        <v>X</v>
      </c>
      <c r="AP408" s="58" t="str">
        <f t="shared" ca="1" si="1804"/>
        <v>X</v>
      </c>
      <c r="AQ408" s="58" t="str">
        <f t="shared" ca="1" si="1804"/>
        <v>X</v>
      </c>
      <c r="AR408" s="58" t="str">
        <f t="shared" ca="1" si="1804"/>
        <v>X</v>
      </c>
      <c r="AS408" s="58" t="str">
        <f t="shared" ca="1" si="1804"/>
        <v>X</v>
      </c>
      <c r="AT408" s="58" t="str">
        <f t="shared" ca="1" si="1804"/>
        <v>X</v>
      </c>
      <c r="AU408" s="58" t="str">
        <f t="shared" ca="1" si="1804"/>
        <v>X</v>
      </c>
      <c r="AV408" s="58" t="str">
        <f t="shared" ca="1" si="1804"/>
        <v>X</v>
      </c>
      <c r="AW408" s="58" t="str">
        <f t="shared" ca="1" si="1804"/>
        <v>X</v>
      </c>
      <c r="AX408" s="58" t="str">
        <f t="shared" ca="1" si="1804"/>
        <v>X</v>
      </c>
      <c r="AY408" s="58" t="str">
        <f t="shared" ca="1" si="1804"/>
        <v>X</v>
      </c>
      <c r="AZ408" s="58" t="str">
        <f t="shared" ca="1" si="1804"/>
        <v>X</v>
      </c>
      <c r="BA408" s="58" t="str">
        <f t="shared" ca="1" si="1804"/>
        <v>X</v>
      </c>
      <c r="BB408" s="58" t="str">
        <f t="shared" ca="1" si="1804"/>
        <v>X</v>
      </c>
      <c r="BC408" s="58" t="str">
        <f t="shared" ca="1" si="1804"/>
        <v>X</v>
      </c>
      <c r="BD408" s="58" t="str">
        <f t="shared" ca="1" si="1804"/>
        <v>X</v>
      </c>
      <c r="BE408" s="58" t="str">
        <f t="shared" ca="1" si="1804"/>
        <v>X</v>
      </c>
      <c r="BF408" s="58" t="str">
        <f t="shared" ca="1" si="1804"/>
        <v>X</v>
      </c>
      <c r="BG408" s="58" t="str">
        <f t="shared" ca="1" si="1804"/>
        <v>X</v>
      </c>
      <c r="BH408" s="58" t="str">
        <f t="shared" ca="1" si="1804"/>
        <v>X</v>
      </c>
      <c r="BI408" s="58" t="str">
        <f t="shared" ca="1" si="1804"/>
        <v>X</v>
      </c>
      <c r="BJ408" s="58" t="str">
        <f t="shared" ca="1" si="1804"/>
        <v>X</v>
      </c>
      <c r="BK408" s="58" t="str">
        <f t="shared" ca="1" si="1804"/>
        <v>X</v>
      </c>
      <c r="BL408" s="58" t="str">
        <f t="shared" ca="1" si="1804"/>
        <v>X</v>
      </c>
      <c r="BM408" s="58" t="str">
        <f t="shared" ca="1" si="1804"/>
        <v>X</v>
      </c>
      <c r="BN408" s="58" t="str">
        <f t="shared" ca="1" si="1804"/>
        <v>X</v>
      </c>
      <c r="BO408" s="58" t="str">
        <f t="shared" ca="1" si="1804"/>
        <v>X</v>
      </c>
      <c r="BP408" s="58" t="str">
        <f t="shared" ca="1" si="1804"/>
        <v>X</v>
      </c>
      <c r="BQ408" s="58" t="str">
        <f t="shared" ca="1" si="1804"/>
        <v>X</v>
      </c>
      <c r="BR408" s="58" t="str">
        <f t="shared" ca="1" si="1804"/>
        <v>X</v>
      </c>
      <c r="BS408" s="58" t="str">
        <f t="shared" ca="1" si="1804"/>
        <v>X</v>
      </c>
      <c r="BT408" s="58" t="str">
        <f t="shared" ca="1" si="1804"/>
        <v>X</v>
      </c>
      <c r="BU408" s="58" t="str">
        <f t="shared" ca="1" si="1804"/>
        <v>X</v>
      </c>
      <c r="BV408" s="58" t="str">
        <f t="shared" ca="1" si="1804"/>
        <v>X</v>
      </c>
      <c r="BW408" s="58" t="str">
        <f t="shared" ca="1" si="1804"/>
        <v>X</v>
      </c>
      <c r="BX408" s="58" t="str">
        <f t="shared" ca="1" si="1804"/>
        <v>X</v>
      </c>
      <c r="BY408" s="58" t="str">
        <f t="shared" ca="1" si="1804"/>
        <v>X</v>
      </c>
      <c r="BZ408" s="58" t="str">
        <f t="shared" ca="1" si="1804"/>
        <v>X</v>
      </c>
      <c r="CA408" s="58" t="str">
        <f t="shared" ca="1" si="1804"/>
        <v>X</v>
      </c>
      <c r="CB408" s="58" t="str">
        <f t="shared" ca="1" si="1804"/>
        <v>X</v>
      </c>
      <c r="CC408" s="58" t="str">
        <f t="shared" ca="1" si="1804"/>
        <v>X</v>
      </c>
      <c r="CD408" s="58" t="str">
        <f t="shared" ca="1" si="1804"/>
        <v>X</v>
      </c>
      <c r="CE408" s="58" t="str">
        <f t="shared" ca="1" si="1804"/>
        <v>X</v>
      </c>
      <c r="CF408" s="58" t="str">
        <f t="shared" ca="1" si="1804"/>
        <v>X</v>
      </c>
      <c r="CG408" s="58" t="str">
        <f t="shared" ca="1" si="1804"/>
        <v>X</v>
      </c>
      <c r="CH408" s="58" t="str">
        <f t="shared" ca="1" si="1804"/>
        <v>X</v>
      </c>
      <c r="CI408" s="58" t="str">
        <f t="shared" ca="1" si="1804"/>
        <v>X</v>
      </c>
      <c r="CJ408" s="58" t="str">
        <f t="shared" ca="1" si="1804"/>
        <v>X</v>
      </c>
      <c r="CK408" s="58" t="str">
        <f t="shared" ca="1" si="1804"/>
        <v>X</v>
      </c>
      <c r="CL408" s="58" t="str">
        <f t="shared" ca="1" si="1804"/>
        <v>X</v>
      </c>
      <c r="CM408" s="58" t="str">
        <f t="shared" ca="1" si="1804"/>
        <v>X</v>
      </c>
      <c r="CN408" s="58" t="str">
        <f t="shared" ca="1" si="1804"/>
        <v>X</v>
      </c>
      <c r="CO408" s="58" t="str">
        <f t="shared" ca="1" si="1804"/>
        <v>X</v>
      </c>
      <c r="CP408" s="58" t="str">
        <f t="shared" ca="1" si="1804"/>
        <v>X</v>
      </c>
      <c r="CQ408" s="58" t="str">
        <f t="shared" ca="1" si="1804"/>
        <v>X</v>
      </c>
      <c r="CR408" s="58" t="str">
        <f t="shared" ca="1" si="1804"/>
        <v>X</v>
      </c>
      <c r="CS408" s="58" t="str">
        <f t="shared" ca="1" si="1804"/>
        <v>X</v>
      </c>
      <c r="CT408" s="58" t="str">
        <f t="shared" ca="1" si="1804"/>
        <v>X</v>
      </c>
      <c r="CU408" s="58" t="str">
        <f t="shared" ca="1" si="1804"/>
        <v>X</v>
      </c>
      <c r="CV408" s="58" t="str">
        <f t="shared" ca="1" si="1804"/>
        <v>X</v>
      </c>
      <c r="CW408" s="58" t="str">
        <f t="shared" ca="1" si="1804"/>
        <v>X</v>
      </c>
      <c r="CX408" s="58" t="str">
        <f t="shared" ca="1" si="1804"/>
        <v>X</v>
      </c>
      <c r="CY408" s="58" t="str">
        <f t="shared" ca="1" si="1804"/>
        <v>X</v>
      </c>
      <c r="CZ408" s="58" t="str">
        <f t="shared" ca="1" si="1804"/>
        <v>X</v>
      </c>
      <c r="DA408" s="58" t="str">
        <f t="shared" ca="1" si="1804"/>
        <v>X</v>
      </c>
      <c r="DB408" s="58" t="str">
        <f t="shared" ca="1" si="1804"/>
        <v>X</v>
      </c>
      <c r="DC408" s="58" t="str">
        <f t="shared" ca="1" si="1804"/>
        <v>X</v>
      </c>
      <c r="DD408" s="58" t="str">
        <f t="shared" ca="1" si="1804"/>
        <v>X</v>
      </c>
      <c r="DE408" s="58" t="str">
        <f t="shared" ca="1" si="1804"/>
        <v>X</v>
      </c>
      <c r="DF408" s="58" t="str">
        <f t="shared" ca="1" si="1804"/>
        <v>X</v>
      </c>
      <c r="DG408" s="58" t="str">
        <f t="shared" ca="1" si="1804"/>
        <v>X</v>
      </c>
      <c r="DH408" s="58" t="str">
        <f t="shared" ca="1" si="1804"/>
        <v>X</v>
      </c>
      <c r="DI408" s="58" t="str">
        <f t="shared" ca="1" si="1804"/>
        <v>X</v>
      </c>
      <c r="DJ408" s="58" t="str">
        <f t="shared" ca="1" si="1804"/>
        <v>X</v>
      </c>
      <c r="DK408" s="58" t="str">
        <f t="shared" ca="1" si="1804"/>
        <v>X</v>
      </c>
      <c r="DL408" s="58" t="str">
        <f t="shared" ca="1" si="1804"/>
        <v>X</v>
      </c>
      <c r="DM408" s="58" t="str">
        <f t="shared" ca="1" si="1804"/>
        <v>X</v>
      </c>
      <c r="DN408" s="58" t="str">
        <f t="shared" ca="1" si="1804"/>
        <v>X</v>
      </c>
      <c r="DO408" s="58" t="str">
        <f t="shared" ca="1" si="1804"/>
        <v>X</v>
      </c>
      <c r="DP408" s="58" t="str">
        <f t="shared" ca="1" si="1804"/>
        <v>X</v>
      </c>
      <c r="DQ408" s="58" t="str">
        <f t="shared" ca="1" si="1804"/>
        <v>X</v>
      </c>
      <c r="DR408" s="58" t="str">
        <f t="shared" ca="1" si="1804"/>
        <v>X</v>
      </c>
      <c r="DS408" s="58" t="str">
        <f t="shared" ca="1" si="1804"/>
        <v>X</v>
      </c>
      <c r="DT408" s="58" t="str">
        <f t="shared" ca="1" si="1804"/>
        <v>X</v>
      </c>
      <c r="DU408" s="58" t="str">
        <f t="shared" ca="1" si="1804"/>
        <v>X</v>
      </c>
      <c r="DV408" s="58" t="str">
        <f t="shared" ca="1" si="1804"/>
        <v>X</v>
      </c>
      <c r="DW408" s="58" t="str">
        <f t="shared" ca="1" si="1804"/>
        <v>X</v>
      </c>
      <c r="DX408" s="58" t="str">
        <f t="shared" ca="1" si="1804"/>
        <v>X</v>
      </c>
      <c r="DY408" s="58" t="str">
        <f t="shared" ca="1" si="1804"/>
        <v>X</v>
      </c>
      <c r="DZ408" s="58" t="str">
        <f t="shared" ca="1" si="1804"/>
        <v>X</v>
      </c>
      <c r="EA408" s="58" t="str">
        <f t="shared" ca="1" si="1804"/>
        <v>X</v>
      </c>
      <c r="EB408" s="58" t="str">
        <f t="shared" ca="1" si="1804"/>
        <v>X</v>
      </c>
      <c r="EC408" s="58" t="str">
        <f t="shared" ca="1" si="1804"/>
        <v>X</v>
      </c>
      <c r="ED408" s="58" t="str">
        <f t="shared" ca="1" si="1804"/>
        <v>X</v>
      </c>
      <c r="EE408" s="58" t="str">
        <f t="shared" ca="1" si="1804"/>
        <v>X</v>
      </c>
      <c r="EF408" s="58" t="str">
        <f t="shared" ca="1" si="1804"/>
        <v>X</v>
      </c>
      <c r="EG408" s="58" t="str">
        <f t="shared" ca="1" si="1804"/>
        <v>X</v>
      </c>
      <c r="EH408" s="58" t="str">
        <f t="shared" ca="1" si="1804"/>
        <v>X</v>
      </c>
      <c r="EI408" s="58" t="str">
        <f t="shared" ca="1" si="1804"/>
        <v>X</v>
      </c>
      <c r="EJ408" s="58" t="str">
        <f t="shared" ca="1" si="1804"/>
        <v>X</v>
      </c>
      <c r="EK408" s="58" t="str">
        <f t="shared" ca="1" si="1804"/>
        <v>X</v>
      </c>
      <c r="EL408" s="58" t="str">
        <f t="shared" ca="1" si="1804"/>
        <v>X</v>
      </c>
      <c r="EM408" s="58" t="str">
        <f t="shared" ca="1" si="1804"/>
        <v>X</v>
      </c>
      <c r="EN408" s="58" t="str">
        <f t="shared" ca="1" si="1804"/>
        <v>X</v>
      </c>
      <c r="EO408" s="58" t="str">
        <f t="shared" ca="1" si="1804"/>
        <v>X</v>
      </c>
      <c r="EP408" s="58" t="str">
        <f t="shared" ca="1" si="1804"/>
        <v>X</v>
      </c>
      <c r="EQ408" s="58" t="str">
        <f t="shared" ca="1" si="1804"/>
        <v>X</v>
      </c>
      <c r="ER408" s="58" t="str">
        <f t="shared" ca="1" si="1804"/>
        <v>X</v>
      </c>
      <c r="ES408" s="58" t="str">
        <f t="shared" ca="1" si="1804"/>
        <v>X</v>
      </c>
      <c r="ET408" s="58" t="str">
        <f t="shared" ca="1" si="1804"/>
        <v>X</v>
      </c>
      <c r="EU408" s="58" t="str">
        <f t="shared" ca="1" si="1804"/>
        <v>X</v>
      </c>
      <c r="EV408" s="58" t="str">
        <f t="shared" ca="1" si="1804"/>
        <v>X</v>
      </c>
      <c r="EW408" s="58" t="str">
        <f t="shared" ca="1" si="1804"/>
        <v>X</v>
      </c>
      <c r="EX408" s="58" t="str">
        <f t="shared" ca="1" si="1804"/>
        <v>X</v>
      </c>
      <c r="EY408" s="58" t="str">
        <f t="shared" ca="1" si="1804"/>
        <v>X</v>
      </c>
      <c r="EZ408" s="58" t="str">
        <f t="shared" ca="1" si="1804"/>
        <v>X</v>
      </c>
      <c r="FA408" s="58" t="str">
        <f t="shared" ca="1" si="1804"/>
        <v>X</v>
      </c>
      <c r="FB408" s="58" t="str">
        <f t="shared" ca="1" si="1804"/>
        <v>X</v>
      </c>
      <c r="FC408" s="58" t="str">
        <f t="shared" ca="1" si="1804"/>
        <v>X</v>
      </c>
      <c r="FD408" s="58" t="str">
        <f t="shared" ca="1" si="1804"/>
        <v>X</v>
      </c>
      <c r="FE408" s="58" t="str">
        <f t="shared" ca="1" si="1804"/>
        <v>X</v>
      </c>
      <c r="FF408" s="58" t="str">
        <f t="shared" ca="1" si="1804"/>
        <v>X</v>
      </c>
      <c r="FG408" s="58" t="str">
        <f t="shared" ca="1" si="1804"/>
        <v>X</v>
      </c>
      <c r="FH408" s="58" t="str">
        <f t="shared" ca="1" si="1804"/>
        <v>X</v>
      </c>
      <c r="FI408" s="58" t="str">
        <f t="shared" ca="1" si="1804"/>
        <v>X</v>
      </c>
      <c r="FJ408" s="58" t="str">
        <f t="shared" ca="1" si="1804"/>
        <v>X</v>
      </c>
      <c r="FK408" s="58" t="str">
        <f t="shared" ca="1" si="1804"/>
        <v>X</v>
      </c>
      <c r="FL408" s="58" t="str">
        <f t="shared" ca="1" si="1804"/>
        <v>X</v>
      </c>
      <c r="FM408" s="58" t="str">
        <f t="shared" ca="1" si="1804"/>
        <v>X</v>
      </c>
      <c r="FN408" s="58" t="str">
        <f t="shared" ca="1" si="1804"/>
        <v>X</v>
      </c>
      <c r="FO408" s="58" t="str">
        <f t="shared" ca="1" si="1804"/>
        <v>X</v>
      </c>
      <c r="FP408" s="58" t="str">
        <f t="shared" ca="1" si="1804"/>
        <v>X</v>
      </c>
      <c r="FQ408" s="58" t="str">
        <f t="shared" ca="1" si="1804"/>
        <v>X</v>
      </c>
      <c r="FR408" s="58" t="str">
        <f t="shared" ca="1" si="1804"/>
        <v>X</v>
      </c>
      <c r="FS408" s="58" t="str">
        <f t="shared" ca="1" si="1804"/>
        <v>X</v>
      </c>
      <c r="FT408" s="58" t="str">
        <f t="shared" ca="1" si="1804"/>
        <v>X</v>
      </c>
      <c r="FU408" s="58" t="str">
        <f t="shared" ca="1" si="1804"/>
        <v>X</v>
      </c>
      <c r="FV408" s="58" t="str">
        <f t="shared" ca="1" si="1804"/>
        <v>X</v>
      </c>
      <c r="FW408" s="58" t="str">
        <f t="shared" ca="1" si="1804"/>
        <v>X</v>
      </c>
      <c r="FX408" s="58" t="str">
        <f t="shared" ca="1" si="1804"/>
        <v>X</v>
      </c>
      <c r="FY408" s="58" t="str">
        <f t="shared" ca="1" si="1804"/>
        <v>X</v>
      </c>
      <c r="FZ408" s="58" t="str">
        <f t="shared" ca="1" si="1804"/>
        <v>X</v>
      </c>
      <c r="GA408" s="58" t="str">
        <f t="shared" ca="1" si="1804"/>
        <v>X</v>
      </c>
      <c r="GB408" s="58" t="str">
        <f t="shared" ca="1" si="1804"/>
        <v>X</v>
      </c>
      <c r="GC408" s="58" t="str">
        <f t="shared" ca="1" si="1804"/>
        <v>X</v>
      </c>
      <c r="GD408" s="58" t="str">
        <f t="shared" ca="1" si="1804"/>
        <v>X</v>
      </c>
      <c r="GE408" s="58" t="str">
        <f t="shared" ca="1" si="1804"/>
        <v>X</v>
      </c>
      <c r="GF408" s="58" t="str">
        <f t="shared" ca="1" si="1804"/>
        <v>X</v>
      </c>
      <c r="GG408" s="58" t="str">
        <f t="shared" ca="1" si="1804"/>
        <v>X</v>
      </c>
      <c r="GH408" s="58" t="str">
        <f t="shared" ca="1" si="1804"/>
        <v>X</v>
      </c>
      <c r="GI408" s="58" t="str">
        <f t="shared" ca="1" si="1804"/>
        <v>X</v>
      </c>
      <c r="GJ408" s="58" t="str">
        <f t="shared" ca="1" si="1804"/>
        <v>X</v>
      </c>
      <c r="GK408" s="58" t="str">
        <f t="shared" ca="1" si="1804"/>
        <v>X</v>
      </c>
      <c r="GL408" s="58" t="str">
        <f t="shared" ca="1" si="1804"/>
        <v>X</v>
      </c>
      <c r="GM408" s="58" t="str">
        <f t="shared" ca="1" si="1804"/>
        <v>X</v>
      </c>
      <c r="GN408" s="58" t="str">
        <f t="shared" ca="1" si="1804"/>
        <v>X</v>
      </c>
      <c r="GO408" s="58" t="str">
        <f t="shared" ca="1" si="1804"/>
        <v>X</v>
      </c>
      <c r="GP408" s="58" t="str">
        <f t="shared" ca="1" si="1804"/>
        <v>X</v>
      </c>
      <c r="GQ408" s="58" t="str">
        <f t="shared" ca="1" si="1804"/>
        <v>X</v>
      </c>
      <c r="GR408" s="58" t="str">
        <f t="shared" ca="1" si="1804"/>
        <v>X</v>
      </c>
      <c r="GS408" s="80" t="str">
        <f t="shared" ca="1" si="1804"/>
        <v>X</v>
      </c>
      <c r="GT408" s="58" t="str">
        <f t="shared" ca="1" si="1804"/>
        <v>X</v>
      </c>
      <c r="GU408" s="82" t="str">
        <f t="shared" ca="1" si="1617"/>
        <v>X</v>
      </c>
      <c r="GV408" s="58" t="str">
        <f t="shared" ca="1" si="1618"/>
        <v>X</v>
      </c>
      <c r="GW408" s="58" t="str">
        <f t="shared" ca="1" si="1619"/>
        <v>X</v>
      </c>
      <c r="GX408" s="58" t="str">
        <f t="shared" ca="1" si="1620"/>
        <v>X</v>
      </c>
      <c r="GY408" s="58" t="str">
        <f t="shared" ca="1" si="1621"/>
        <v>X</v>
      </c>
      <c r="GZ408" s="58" t="str">
        <f t="shared" ca="1" si="1622"/>
        <v>X</v>
      </c>
      <c r="HA408" s="58" t="str">
        <f t="shared" ca="1" si="1623"/>
        <v>X</v>
      </c>
      <c r="HB408" s="58" t="str">
        <f t="shared" ca="1" si="1624"/>
        <v>X</v>
      </c>
      <c r="HC408" s="58" t="str">
        <f t="shared" ca="1" si="1625"/>
        <v>X</v>
      </c>
      <c r="HD408" s="58" t="str">
        <f t="shared" ca="1" si="1626"/>
        <v>X</v>
      </c>
      <c r="HE408" s="58" t="str">
        <f t="shared" ca="1" si="1627"/>
        <v>X</v>
      </c>
      <c r="HF408" s="58" t="str">
        <f t="shared" ca="1" si="1628"/>
        <v>X</v>
      </c>
      <c r="HG408" s="58" t="str">
        <f t="shared" ca="1" si="1629"/>
        <v>X</v>
      </c>
      <c r="HH408" s="58" t="str">
        <f t="shared" ca="1" si="1630"/>
        <v>X</v>
      </c>
      <c r="HI408" s="58" t="str">
        <f t="shared" ca="1" si="1631"/>
        <v>X</v>
      </c>
      <c r="HJ408" s="58" t="str">
        <f t="shared" ca="1" si="1632"/>
        <v>X</v>
      </c>
      <c r="HK408" s="58" t="str">
        <f t="shared" ca="1" si="1633"/>
        <v>X</v>
      </c>
      <c r="HL408" s="58" t="str">
        <f t="shared" ca="1" si="1634"/>
        <v>X</v>
      </c>
      <c r="HM408" s="58" t="str">
        <f t="shared" ca="1" si="1635"/>
        <v>X</v>
      </c>
      <c r="HN408" s="58" t="str">
        <f t="shared" ca="1" si="1636"/>
        <v>X</v>
      </c>
      <c r="HO408" s="58" t="str">
        <f t="shared" ca="1" si="1637"/>
        <v>X</v>
      </c>
      <c r="HP408" s="58" t="str">
        <f t="shared" ca="1" si="1638"/>
        <v>X</v>
      </c>
      <c r="HQ408" s="58" t="str">
        <f t="shared" ca="1" si="1639"/>
        <v>X</v>
      </c>
      <c r="HR408" s="58" t="str">
        <f t="shared" ca="1" si="1640"/>
        <v>X</v>
      </c>
      <c r="HS408" s="58" t="str">
        <f t="shared" ca="1" si="1641"/>
        <v>X</v>
      </c>
      <c r="HT408" s="58" t="str">
        <f t="shared" ca="1" si="1642"/>
        <v>X</v>
      </c>
      <c r="HU408" s="58" t="str">
        <f t="shared" ca="1" si="1643"/>
        <v>X</v>
      </c>
      <c r="HV408" s="58" t="str">
        <f t="shared" ca="1" si="1644"/>
        <v>X</v>
      </c>
      <c r="HW408" s="58" t="str">
        <f t="shared" ca="1" si="1645"/>
        <v>X</v>
      </c>
      <c r="HX408" s="58" t="str">
        <f t="shared" ca="1" si="1646"/>
        <v>X</v>
      </c>
      <c r="HY408" s="58" t="str">
        <f t="shared" ca="1" si="1647"/>
        <v>X</v>
      </c>
      <c r="HZ408" s="58" t="str">
        <f t="shared" ca="1" si="1648"/>
        <v>X</v>
      </c>
      <c r="IA408" s="58" t="str">
        <f t="shared" ca="1" si="1649"/>
        <v>X</v>
      </c>
      <c r="IB408" s="58" t="str">
        <f t="shared" ca="1" si="1650"/>
        <v>X</v>
      </c>
      <c r="IC408" s="58" t="str">
        <f t="shared" ca="1" si="1651"/>
        <v>X</v>
      </c>
      <c r="ID408" s="58" t="str">
        <f t="shared" ca="1" si="1652"/>
        <v>X</v>
      </c>
      <c r="IE408" s="58" t="str">
        <f t="shared" ca="1" si="1653"/>
        <v>X</v>
      </c>
      <c r="IF408" s="58" t="str">
        <f t="shared" ca="1" si="1654"/>
        <v>X</v>
      </c>
      <c r="IG408" s="58" t="str">
        <f t="shared" ca="1" si="1655"/>
        <v>X</v>
      </c>
      <c r="IH408" s="58" t="str">
        <f t="shared" ca="1" si="1656"/>
        <v>X</v>
      </c>
      <c r="II408" s="58" t="str">
        <f t="shared" ca="1" si="1657"/>
        <v>X</v>
      </c>
      <c r="IJ408" s="58" t="str">
        <f t="shared" ca="1" si="1658"/>
        <v>X</v>
      </c>
      <c r="IK408" s="58" t="str">
        <f t="shared" ca="1" si="1659"/>
        <v>X</v>
      </c>
      <c r="IL408" s="58" t="str">
        <f t="shared" ca="1" si="1660"/>
        <v>X</v>
      </c>
      <c r="IM408" s="58" t="str">
        <f t="shared" ca="1" si="1661"/>
        <v>X</v>
      </c>
      <c r="IN408" s="58" t="str">
        <f t="shared" ca="1" si="1662"/>
        <v>X</v>
      </c>
      <c r="IO408" s="58" t="str">
        <f t="shared" ca="1" si="1663"/>
        <v>X</v>
      </c>
      <c r="IP408" s="58" t="str">
        <f t="shared" ca="1" si="1664"/>
        <v>X</v>
      </c>
      <c r="IQ408" s="58" t="str">
        <f t="shared" ca="1" si="1665"/>
        <v>X</v>
      </c>
      <c r="IR408" s="58" t="str">
        <f t="shared" ca="1" si="1666"/>
        <v>X</v>
      </c>
      <c r="IS408" s="58" t="str">
        <f t="shared" ca="1" si="1667"/>
        <v>X</v>
      </c>
      <c r="IT408" s="58" t="str">
        <f t="shared" ca="1" si="1668"/>
        <v>X</v>
      </c>
      <c r="IU408" s="58" t="str">
        <f t="shared" ca="1" si="1669"/>
        <v>X</v>
      </c>
      <c r="IV408" s="58" t="str">
        <f t="shared" ca="1" si="1670"/>
        <v>X</v>
      </c>
      <c r="IW408" s="58" t="str">
        <f t="shared" ca="1" si="1671"/>
        <v>X</v>
      </c>
      <c r="IX408" s="58" t="str">
        <f t="shared" ca="1" si="1672"/>
        <v>X</v>
      </c>
      <c r="IY408" s="58" t="str">
        <f t="shared" ca="1" si="1673"/>
        <v>X</v>
      </c>
      <c r="IZ408" s="58" t="str">
        <f t="shared" ca="1" si="1674"/>
        <v>X</v>
      </c>
      <c r="JA408" s="58" t="str">
        <f t="shared" ca="1" si="1675"/>
        <v>X</v>
      </c>
      <c r="JB408" s="58" t="str">
        <f t="shared" ca="1" si="1676"/>
        <v>X</v>
      </c>
      <c r="JC408" s="58" t="str">
        <f t="shared" ca="1" si="1677"/>
        <v>X</v>
      </c>
      <c r="JD408" s="58" t="str">
        <f t="shared" ca="1" si="1678"/>
        <v>X</v>
      </c>
      <c r="JE408" s="58" t="str">
        <f t="shared" ca="1" si="1679"/>
        <v>X</v>
      </c>
      <c r="JF408" s="58" t="str">
        <f t="shared" ca="1" si="1680"/>
        <v>X</v>
      </c>
      <c r="JG408" s="58" t="str">
        <f t="shared" ca="1" si="1681"/>
        <v>X</v>
      </c>
      <c r="JH408" s="58" t="str">
        <f t="shared" ca="1" si="1682"/>
        <v>X</v>
      </c>
      <c r="JI408" s="58" t="str">
        <f t="shared" ca="1" si="1683"/>
        <v>X</v>
      </c>
      <c r="JJ408" s="58" t="str">
        <f t="shared" ca="1" si="1684"/>
        <v>X</v>
      </c>
      <c r="JK408" s="58" t="str">
        <f t="shared" ca="1" si="1685"/>
        <v>X</v>
      </c>
      <c r="JL408" s="58" t="str">
        <f t="shared" ca="1" si="1686"/>
        <v>X</v>
      </c>
      <c r="JM408" s="58" t="str">
        <f t="shared" ca="1" si="1687"/>
        <v>X</v>
      </c>
      <c r="JN408" s="58" t="str">
        <f t="shared" ca="1" si="1688"/>
        <v>X</v>
      </c>
      <c r="JO408" s="58" t="str">
        <f t="shared" ca="1" si="1689"/>
        <v>X</v>
      </c>
      <c r="JP408" s="58" t="str">
        <f t="shared" ca="1" si="1690"/>
        <v>X</v>
      </c>
      <c r="JQ408" s="58" t="str">
        <f t="shared" ca="1" si="1691"/>
        <v>X</v>
      </c>
      <c r="JR408" s="58" t="str">
        <f t="shared" ca="1" si="1692"/>
        <v>X</v>
      </c>
      <c r="JS408" s="58" t="str">
        <f t="shared" ca="1" si="1693"/>
        <v>X</v>
      </c>
      <c r="JT408" s="58" t="str">
        <f t="shared" ca="1" si="1694"/>
        <v>X</v>
      </c>
      <c r="JU408" s="58" t="str">
        <f t="shared" ca="1" si="1695"/>
        <v>X</v>
      </c>
      <c r="JV408" s="58" t="str">
        <f t="shared" ca="1" si="1696"/>
        <v>X</v>
      </c>
      <c r="JW408" s="58" t="str">
        <f t="shared" ca="1" si="1697"/>
        <v>X</v>
      </c>
      <c r="JX408" s="58" t="str">
        <f t="shared" ca="1" si="1698"/>
        <v>X</v>
      </c>
      <c r="JY408" s="58" t="str">
        <f t="shared" ca="1" si="1699"/>
        <v>X</v>
      </c>
      <c r="JZ408" s="58" t="str">
        <f t="shared" ca="1" si="1700"/>
        <v>X</v>
      </c>
      <c r="KA408" s="58" t="str">
        <f t="shared" ca="1" si="1701"/>
        <v>X</v>
      </c>
      <c r="KB408" s="58" t="str">
        <f t="shared" ca="1" si="1702"/>
        <v>X</v>
      </c>
      <c r="KC408" s="58" t="str">
        <f t="shared" ca="1" si="1703"/>
        <v>X</v>
      </c>
      <c r="KD408" s="58" t="str">
        <f t="shared" ca="1" si="1704"/>
        <v>X</v>
      </c>
      <c r="KE408" s="58" t="str">
        <f t="shared" ca="1" si="1705"/>
        <v>X</v>
      </c>
      <c r="KF408" s="58" t="str">
        <f t="shared" ca="1" si="1706"/>
        <v>X</v>
      </c>
      <c r="KG408" s="58" t="str">
        <f t="shared" ca="1" si="1707"/>
        <v>X</v>
      </c>
      <c r="KH408" s="58" t="str">
        <f t="shared" ca="1" si="1708"/>
        <v>X</v>
      </c>
      <c r="KI408" s="58" t="str">
        <f t="shared" ca="1" si="1709"/>
        <v>X</v>
      </c>
      <c r="KJ408" s="58" t="str">
        <f t="shared" ca="1" si="1710"/>
        <v>X</v>
      </c>
      <c r="KK408" s="58" t="str">
        <f t="shared" ca="1" si="1711"/>
        <v>X</v>
      </c>
      <c r="KL408" s="58" t="str">
        <f t="shared" ca="1" si="1712"/>
        <v>X</v>
      </c>
      <c r="KM408" s="58" t="str">
        <f t="shared" ca="1" si="1713"/>
        <v>X</v>
      </c>
      <c r="KN408" s="58" t="str">
        <f t="shared" ca="1" si="1714"/>
        <v>X</v>
      </c>
      <c r="KO408" s="58" t="str">
        <f t="shared" ca="1" si="1715"/>
        <v>X</v>
      </c>
      <c r="KP408" s="58" t="str">
        <f t="shared" ca="1" si="1716"/>
        <v>X</v>
      </c>
      <c r="KQ408" s="58" t="str">
        <f t="shared" ca="1" si="1717"/>
        <v>X</v>
      </c>
      <c r="KR408" s="58" t="str">
        <f t="shared" ca="1" si="1718"/>
        <v>X</v>
      </c>
      <c r="KS408" s="58" t="str">
        <f t="shared" ca="1" si="1719"/>
        <v>X</v>
      </c>
      <c r="KT408" s="58" t="str">
        <f t="shared" ca="1" si="1720"/>
        <v>X</v>
      </c>
      <c r="KU408" s="58" t="str">
        <f t="shared" ca="1" si="1721"/>
        <v>X</v>
      </c>
      <c r="KV408" s="58" t="str">
        <f t="shared" ca="1" si="1722"/>
        <v>X</v>
      </c>
      <c r="KW408" s="58" t="str">
        <f t="shared" ca="1" si="1723"/>
        <v>X</v>
      </c>
      <c r="KX408" s="58" t="str">
        <f t="shared" ca="1" si="1724"/>
        <v>X</v>
      </c>
      <c r="KY408" s="58" t="str">
        <f t="shared" ca="1" si="1725"/>
        <v>X</v>
      </c>
      <c r="KZ408" s="58" t="str">
        <f t="shared" ca="1" si="1726"/>
        <v>X</v>
      </c>
      <c r="LA408" s="58" t="str">
        <f t="shared" ca="1" si="1727"/>
        <v>X</v>
      </c>
      <c r="LB408" s="58" t="str">
        <f t="shared" ca="1" si="1728"/>
        <v>X</v>
      </c>
      <c r="LC408" s="58" t="str">
        <f t="shared" ca="1" si="1729"/>
        <v>X</v>
      </c>
      <c r="LD408" s="58" t="str">
        <f t="shared" ca="1" si="1730"/>
        <v>X</v>
      </c>
      <c r="LE408" s="58" t="str">
        <f t="shared" ca="1" si="1731"/>
        <v>X</v>
      </c>
      <c r="LF408" s="58" t="str">
        <f t="shared" ca="1" si="1732"/>
        <v>X</v>
      </c>
      <c r="LG408" s="58" t="str">
        <f t="shared" ca="1" si="1733"/>
        <v>X</v>
      </c>
      <c r="LH408" s="58" t="str">
        <f t="shared" ca="1" si="1734"/>
        <v>X</v>
      </c>
      <c r="LI408" s="58" t="str">
        <f t="shared" ca="1" si="1735"/>
        <v>X</v>
      </c>
      <c r="LJ408" s="58" t="str">
        <f t="shared" ca="1" si="1736"/>
        <v>X</v>
      </c>
      <c r="LK408" s="58" t="str">
        <f t="shared" ca="1" si="1737"/>
        <v>X</v>
      </c>
      <c r="LL408" s="58" t="str">
        <f t="shared" ca="1" si="1738"/>
        <v>X</v>
      </c>
      <c r="LM408" s="58" t="str">
        <f t="shared" ca="1" si="1739"/>
        <v>X</v>
      </c>
      <c r="LN408" s="58" t="str">
        <f t="shared" ca="1" si="1740"/>
        <v>X</v>
      </c>
      <c r="LO408" s="58" t="str">
        <f t="shared" ca="1" si="1741"/>
        <v>X</v>
      </c>
      <c r="LP408" s="58" t="str">
        <f t="shared" ca="1" si="1742"/>
        <v>X</v>
      </c>
      <c r="LQ408" s="58" t="str">
        <f t="shared" ca="1" si="1743"/>
        <v>X</v>
      </c>
      <c r="LR408" s="58" t="str">
        <f t="shared" ca="1" si="1744"/>
        <v>X</v>
      </c>
      <c r="LS408" s="58" t="str">
        <f t="shared" ca="1" si="1745"/>
        <v>X</v>
      </c>
      <c r="LT408" s="58" t="str">
        <f t="shared" ca="1" si="1746"/>
        <v>X</v>
      </c>
      <c r="LU408" s="58" t="str">
        <f t="shared" ca="1" si="1747"/>
        <v>X</v>
      </c>
      <c r="LV408" s="58" t="str">
        <f t="shared" ca="1" si="1748"/>
        <v>X</v>
      </c>
      <c r="LW408" s="58" t="str">
        <f t="shared" ca="1" si="1749"/>
        <v>X</v>
      </c>
      <c r="LX408" s="58" t="str">
        <f t="shared" ca="1" si="1750"/>
        <v>X</v>
      </c>
      <c r="LY408" s="58" t="str">
        <f t="shared" ca="1" si="1751"/>
        <v>X</v>
      </c>
      <c r="LZ408" s="58" t="str">
        <f t="shared" ca="1" si="1752"/>
        <v>X</v>
      </c>
      <c r="MA408" s="58" t="str">
        <f t="shared" ca="1" si="1753"/>
        <v>X</v>
      </c>
      <c r="MB408" s="58" t="str">
        <f t="shared" ca="1" si="1754"/>
        <v>X</v>
      </c>
      <c r="MC408" s="58" t="str">
        <f t="shared" ca="1" si="1755"/>
        <v>X</v>
      </c>
      <c r="MD408" s="58" t="str">
        <f t="shared" ca="1" si="1756"/>
        <v>X</v>
      </c>
      <c r="ME408" s="58" t="str">
        <f t="shared" ca="1" si="1757"/>
        <v>X</v>
      </c>
      <c r="MF408" s="58" t="str">
        <f t="shared" ca="1" si="1758"/>
        <v>X</v>
      </c>
      <c r="MG408" s="58" t="str">
        <f t="shared" ca="1" si="1759"/>
        <v>X</v>
      </c>
      <c r="MH408" s="58" t="str">
        <f t="shared" ca="1" si="1760"/>
        <v>X</v>
      </c>
      <c r="MI408" s="58" t="str">
        <f t="shared" ca="1" si="1761"/>
        <v>X</v>
      </c>
      <c r="MJ408" s="58" t="str">
        <f t="shared" ca="1" si="1762"/>
        <v>X</v>
      </c>
      <c r="MK408" s="58" t="str">
        <f t="shared" ca="1" si="1763"/>
        <v>X</v>
      </c>
      <c r="ML408" s="58" t="str">
        <f t="shared" ca="1" si="1764"/>
        <v>X</v>
      </c>
      <c r="MM408" s="58" t="str">
        <f t="shared" ca="1" si="1765"/>
        <v>X</v>
      </c>
      <c r="MN408" s="58" t="str">
        <f t="shared" ca="1" si="1766"/>
        <v>X</v>
      </c>
      <c r="MO408" s="58" t="str">
        <f t="shared" ca="1" si="1767"/>
        <v>X</v>
      </c>
      <c r="MP408" s="58" t="str">
        <f t="shared" ca="1" si="1768"/>
        <v>X</v>
      </c>
      <c r="MQ408" s="58" t="str">
        <f t="shared" ca="1" si="1769"/>
        <v>X</v>
      </c>
      <c r="MR408" s="58" t="str">
        <f t="shared" ca="1" si="1770"/>
        <v>X</v>
      </c>
      <c r="MS408" s="58" t="str">
        <f t="shared" ca="1" si="1771"/>
        <v>X</v>
      </c>
      <c r="MT408" s="58" t="str">
        <f t="shared" ref="MT408:NE408" ca="1" si="1805">IF($K408=INDIRECT(CONCATENATE("$AG$"&amp;GH$392)),INDIRECT(CONCATENATE("$AG$"&amp;GH$391)),
IF($K408=INDIRECT(CONCATENATE("$AF$"&amp;GH$392)),INDIRECT(CONCATENATE("$AF$"&amp;GH$391)),
IF($K408=INDIRECT(CONCATENATE("$AE$"&amp;GH$392)),INDIRECT(CONCATENATE("$AE$"&amp;GH$391)),
IF($K408=INDIRECT(CONCATENATE("$AD$"&amp;GH$392)),INDIRECT(CONCATENATE("$AD$"&amp;GH$391)),
IF($K408=INDIRECT(CONCATENATE("$AC$"&amp;GH$392)),INDIRECT(CONCATENATE("$AC$"&amp;GH$391)),
IF($K408=INDIRECT(CONCATENATE("$AB$"&amp;GH$392)),INDIRECT(CONCATENATE("$AB$"&amp;GH$391)),
IF($K408=INDIRECT(CONCATENATE("$AA$"&amp;GH$392)),INDIRECT(CONCATENATE("$AA$"&amp;GH$391)),
IF($K408=INDIRECT(CONCATENATE("$Z$"&amp;GH$392)),INDIRECT(CONCATENATE("$Z$"&amp;GH$391)),
IF($K408=INDIRECT(CONCATENATE("$Y$"&amp;GH$392)),INDIRECT(CONCATENATE("$Y$"&amp;GH$391)),
IF($K408=INDIRECT(CONCATENATE("$X$"&amp;GH$392)),INDIRECT(CONCATENATE("$X$"&amp;GH$391)),
IF($K408=INDIRECT(CONCATENATE("$W$"&amp;GH$392)),INDIRECT(CONCATENATE("$W$"&amp;GH$391)),
IF($K408=INDIRECT(CONCATENATE("$V$"&amp;GH$392)),INDIRECT(CONCATENATE("$V$"&amp;GH$391)),
IF($K408=INDIRECT(CONCATENATE("$U$"&amp;GH$392)),INDIRECT(CONCATENATE("$U$"&amp;GH$391)),
IF($K408=INDIRECT(CONCATENATE("$T$"&amp;GH$392)),INDIRECT(CONCATENATE("$T$"&amp;GH$391)),
IF($K408=INDIRECT(CONCATENATE("$S$"&amp;GH$392)),INDIRECT(CONCATENATE("$S$"&amp;GH$391)),
IF($K408=INDIRECT(CONCATENATE("$R$"&amp;GH$392)),INDIRECT(CONCATENATE("$R$"&amp;GH$391)),
IF($K408=INDIRECT(CONCATENATE("$Q$"&amp;GH$392)),INDIRECT(CONCATENATE("$Q$"&amp;GH$391)),
IF($K408=INDIRECT(CONCATENATE("$P$"&amp;GH$392)),INDIRECT(CONCATENATE("$P$"&amp;GH$391)),
IF($K408=INDIRECT(CONCATENATE("$O$"&amp;GH$392)),INDIRECT(CONCATENATE("$O$"&amp;GH$391)),
IF($K408=INDIRECT(CONCATENATE("$N$"&amp;GH$392)),INDIRECT(CONCATENATE("$N$"&amp;GH$391)),
IF($K408=INDIRECT(CONCATENATE("$M$"&amp;GH$392)),INDIRECT(CONCATENATE("$M$"&amp;GH$391)),
IF($K408=INDIRECT(CONCATENATE("$L$"&amp;GH$392)),INDIRECT(CONCATENATE("$L$"&amp;GH$391)),
IF($K408=INDIRECT(CONCATENATE("$K$"&amp;GH$392)),INDIRECT(CONCATENATE("$K$"&amp;GH$391)),
IF($K408=INDIRECT(CONCATENATE("$J$"&amp;GH$392)),INDIRECT(CONCATENATE("$J$"&amp;GH$391)),
IF($K408=INDIRECT(CONCATENATE("$I$"&amp;GH$392)),INDIRECT(CONCATENATE("$I$"&amp;GH$391)),
IF($K408=INDIRECT(CONCATENATE("$H$"&amp;GH$392)),INDIRECT(CONCATENATE("$H$"&amp;GH$391)),
IF($K408=INDIRECT(CONCATENATE("$G$"&amp;GH$392)),INDIRECT(CONCATENATE("$G$"&amp;GH$391)),
IF($K408=INDIRECT(CONCATENATE("$F$"&amp;GH$392)),INDIRECT(CONCATENATE("$F$"&amp;GH$391)),
IF($K408=INDIRECT(CONCATENATE("$E$"&amp;GH$392)),INDIRECT(CONCATENATE("$E$"&amp;GH$391)),
IF($K408=INDIRECT(CONCATENATE("$D$"&amp;GH$392)),INDIRECT(CONCATENATE("$D$"&amp;GH$391)),
IF($K408=INDIRECT(CONCATENATE("$C$"&amp;GH$392)),INDIRECT(CONCATENATE("$C$"&amp;GH$391)),"X")))))))))))))))))))))))))))))))</f>
        <v>X</v>
      </c>
      <c r="MU408" s="58" t="str">
        <f t="shared" ca="1" si="1805"/>
        <v>X</v>
      </c>
      <c r="MV408" s="58" t="str">
        <f t="shared" ca="1" si="1805"/>
        <v>X</v>
      </c>
      <c r="MW408" s="58" t="str">
        <f t="shared" ca="1" si="1805"/>
        <v>X</v>
      </c>
      <c r="MX408" s="58" t="str">
        <f t="shared" ca="1" si="1805"/>
        <v>X</v>
      </c>
      <c r="MY408" s="58" t="str">
        <f t="shared" ca="1" si="1805"/>
        <v>X</v>
      </c>
      <c r="MZ408" s="58" t="str">
        <f t="shared" ca="1" si="1805"/>
        <v>X</v>
      </c>
      <c r="NA408" s="58" t="str">
        <f t="shared" ca="1" si="1805"/>
        <v>X</v>
      </c>
      <c r="NB408" s="58" t="str">
        <f t="shared" ca="1" si="1805"/>
        <v>X</v>
      </c>
      <c r="NC408" s="58" t="str">
        <f t="shared" ca="1" si="1805"/>
        <v>X</v>
      </c>
      <c r="ND408" s="58" t="str">
        <f t="shared" ca="1" si="1805"/>
        <v>X</v>
      </c>
      <c r="NE408" s="58" t="str">
        <f t="shared" ca="1" si="1805"/>
        <v>X</v>
      </c>
      <c r="NF408" s="58" t="str">
        <f t="shared" ca="1" si="1773"/>
        <v>X</v>
      </c>
      <c r="NG408" s="58" t="str">
        <f t="shared" ca="1" si="1774"/>
        <v>X</v>
      </c>
    </row>
    <row r="409" spans="1:371" ht="18" customHeight="1">
      <c r="A409" s="266" t="s">
        <v>105</v>
      </c>
      <c r="B409" s="267"/>
      <c r="C409" s="267"/>
      <c r="D409" s="267"/>
      <c r="E409" s="267"/>
      <c r="F409" s="267"/>
      <c r="G409" s="267"/>
      <c r="H409" s="267"/>
      <c r="I409" s="267"/>
      <c r="J409" s="268"/>
      <c r="K409" s="264" t="s">
        <v>106</v>
      </c>
      <c r="L409" s="265"/>
      <c r="M409" s="60">
        <v>56</v>
      </c>
      <c r="N409" s="225" t="s">
        <v>102</v>
      </c>
      <c r="O409" s="304"/>
      <c r="P409" s="304"/>
      <c r="Q409" s="304"/>
      <c r="R409" s="303"/>
      <c r="S409" s="226">
        <v>105342</v>
      </c>
      <c r="T409" s="304"/>
      <c r="U409" s="303"/>
      <c r="V409" s="227" t="s">
        <v>89</v>
      </c>
      <c r="W409" s="303"/>
      <c r="X409" s="56">
        <v>46227</v>
      </c>
      <c r="Y409" s="56" t="str">
        <f t="shared" ca="1" si="1776"/>
        <v>-</v>
      </c>
      <c r="Z409" s="228" t="str">
        <f t="shared" ca="1" si="1612"/>
        <v>EM ANDAMENTO</v>
      </c>
      <c r="AA409" s="304"/>
      <c r="AB409" s="303"/>
      <c r="AC409" s="224">
        <f t="shared" si="1777"/>
        <v>0</v>
      </c>
      <c r="AD409" s="303"/>
      <c r="AE409" s="229">
        <f t="shared" si="1778"/>
        <v>56</v>
      </c>
      <c r="AF409" s="303"/>
      <c r="AG409" s="57" t="str">
        <f t="shared" si="1615"/>
        <v/>
      </c>
      <c r="AH409" s="21"/>
      <c r="AI409" s="70"/>
      <c r="AJ409" s="58" t="str">
        <f t="shared" ref="AJ409:GT409" ca="1" si="1806">IF($K409=INDIRECT(CONCATENATE("$C$"&amp;AJ$392)), INDIRECT(CONCATENATE("$C$"&amp;AJ$391)),
IF($K409=INDIRECT(CONCATENATE("$D$"&amp;AJ$392)), INDIRECT(CONCATENATE("$D$"&amp;AJ$391)),
IF($K409=INDIRECT(CONCATENATE("$E$"&amp;AJ$392)), INDIRECT(CONCATENATE("$E$"&amp;AJ$391)),
IF($K409=INDIRECT(CONCATENATE("$F$"&amp;AJ$392)), INDIRECT(CONCATENATE("$F$"&amp;AJ$391)),
IF($K409=INDIRECT(CONCATENATE("$G$"&amp;AJ$392)), INDIRECT(CONCATENATE("$G$"&amp;AJ$391)),
IF($K409=INDIRECT(CONCATENATE("$H$"&amp;AJ$392)), INDIRECT(CONCATENATE("$H$"&amp;AJ$391)),
IF($K409=INDIRECT(CONCATENATE("$I$"&amp;AJ$392)), INDIRECT(CONCATENATE("$I$"&amp;AJ$391)),
IF($K409=INDIRECT(CONCATENATE("$J$"&amp;AJ$392)), INDIRECT(CONCATENATE("$J$"&amp;AJ$391)),
IF($K409=INDIRECT(CONCATENATE("$K$"&amp;AJ$392)), INDIRECT(CONCATENATE("$K$"&amp;AJ$391)),
IF($K409=INDIRECT(CONCATENATE("$L$"&amp;AJ$392)), INDIRECT(CONCATENATE("$L$"&amp;AJ$391)),
IF($K409=INDIRECT(CONCATENATE("$M$"&amp;AJ$392)), INDIRECT(CONCATENATE("$M$"&amp;AJ$391)),
IF($K409=INDIRECT(CONCATENATE("$N$"&amp;AJ$392)), INDIRECT(CONCATENATE("$N$"&amp;AJ$391)),
IF($K409=INDIRECT(CONCATENATE("$O$"&amp;AJ$392)), INDIRECT(CONCATENATE("$O$"&amp;AJ$391)),
IF($K409=INDIRECT(CONCATENATE("$P$"&amp;AJ$392)), INDIRECT(CONCATENATE("$P$"&amp;AJ$391)),
IF($K409=INDIRECT(CONCATENATE("$Q$"&amp;AJ$392)), INDIRECT(CONCATENATE("$Q$"&amp;AJ$391)),
IF($K409=INDIRECT(CONCATENATE("$R$"&amp;AJ$392)), INDIRECT(CONCATENATE("$R$"&amp;AJ$391)),
IF($K409=INDIRECT(CONCATENATE("$S$"&amp;AJ$392)), INDIRECT(CONCATENATE("$S$"&amp;AJ$391)),
IF($K409=INDIRECT(CONCATENATE("$T$"&amp;AJ$392)), INDIRECT(CONCATENATE("$T$"&amp;AJ$391)),
IF($K409=INDIRECT(CONCATENATE("$U$"&amp;AJ$392)), INDIRECT(CONCATENATE("$U$"&amp;AJ$391)),
IF($K409=INDIRECT(CONCATENATE("$V$"&amp;AJ$392)), INDIRECT(CONCATENATE("$V$"&amp;AJ$391)),
IF($K409=INDIRECT(CONCATENATE("$W$"&amp;AJ$392)), INDIRECT(CONCATENATE("$W$"&amp;AJ$391)),
IF($K409=INDIRECT(CONCATENATE("$X$"&amp;AJ$392)), INDIRECT(CONCATENATE("$X$"&amp;AJ$391)),
IF($K409=INDIRECT(CONCATENATE("$Y$"&amp;AJ$392)), INDIRECT(CONCATENATE("$Y$"&amp;AJ$391)),
IF($K409=INDIRECT(CONCATENATE("$Z$"&amp;AJ$392)), INDIRECT(CONCATENATE("$Z$"&amp;AJ$391)),
IF($K409=INDIRECT(CONCATENATE("$AA$"&amp;AJ$392)), INDIRECT(CONCATENATE("$AA$"&amp;AJ$391)),
IF($K409=INDIRECT(CONCATENATE("$AB$"&amp;AJ$392)), INDIRECT(CONCATENATE("$AB$"&amp;AJ$391)),
IF($K409=INDIRECT(CONCATENATE("$AC$"&amp;AJ$392)), INDIRECT(CONCATENATE("$AC$"&amp;AJ$391)),
IF($K409=INDIRECT(CONCATENATE("$AD$"&amp;AJ$392)), INDIRECT(CONCATENATE("$AD$"&amp;AJ$391)),
IF($K409=INDIRECT(CONCATENATE("$AE$"&amp;AJ$392)), INDIRECT(CONCATENATE("$AE$"&amp;AJ$391)),
IF($K409=INDIRECT(CONCATENATE("$AF$"&amp;AJ$392)), INDIRECT(CONCATENATE("$AF$"&amp;AJ$391)),
IF($K409=INDIRECT(CONCATENATE("$AG$"&amp;AJ$392)), INDIRECT(CONCATENATE("$AG$"&amp;AJ$391)),"X")))))))))))))))))))))))))))))))</f>
        <v>X</v>
      </c>
      <c r="AK409" s="58" t="str">
        <f t="shared" ca="1" si="1806"/>
        <v>X</v>
      </c>
      <c r="AL409" s="58" t="str">
        <f t="shared" ca="1" si="1806"/>
        <v>X</v>
      </c>
      <c r="AM409" s="58" t="str">
        <f t="shared" ca="1" si="1806"/>
        <v>X</v>
      </c>
      <c r="AN409" s="58" t="str">
        <f t="shared" ca="1" si="1806"/>
        <v>X</v>
      </c>
      <c r="AO409" s="58" t="str">
        <f t="shared" ca="1" si="1806"/>
        <v>X</v>
      </c>
      <c r="AP409" s="58" t="str">
        <f t="shared" ca="1" si="1806"/>
        <v>X</v>
      </c>
      <c r="AQ409" s="58" t="str">
        <f t="shared" ca="1" si="1806"/>
        <v>X</v>
      </c>
      <c r="AR409" s="58" t="str">
        <f t="shared" ca="1" si="1806"/>
        <v>X</v>
      </c>
      <c r="AS409" s="58" t="str">
        <f t="shared" ca="1" si="1806"/>
        <v>X</v>
      </c>
      <c r="AT409" s="58" t="str">
        <f t="shared" ca="1" si="1806"/>
        <v>X</v>
      </c>
      <c r="AU409" s="58" t="str">
        <f t="shared" ca="1" si="1806"/>
        <v>X</v>
      </c>
      <c r="AV409" s="58" t="str">
        <f t="shared" ca="1" si="1806"/>
        <v>X</v>
      </c>
      <c r="AW409" s="58" t="str">
        <f t="shared" ca="1" si="1806"/>
        <v>X</v>
      </c>
      <c r="AX409" s="58" t="str">
        <f t="shared" ca="1" si="1806"/>
        <v>X</v>
      </c>
      <c r="AY409" s="58" t="str">
        <f t="shared" ca="1" si="1806"/>
        <v>X</v>
      </c>
      <c r="AZ409" s="58" t="str">
        <f t="shared" ca="1" si="1806"/>
        <v>X</v>
      </c>
      <c r="BA409" s="58" t="str">
        <f t="shared" ca="1" si="1806"/>
        <v>X</v>
      </c>
      <c r="BB409" s="58" t="str">
        <f t="shared" ca="1" si="1806"/>
        <v>X</v>
      </c>
      <c r="BC409" s="58" t="str">
        <f t="shared" ca="1" si="1806"/>
        <v>X</v>
      </c>
      <c r="BD409" s="58" t="str">
        <f t="shared" ca="1" si="1806"/>
        <v>X</v>
      </c>
      <c r="BE409" s="58" t="str">
        <f t="shared" ca="1" si="1806"/>
        <v>X</v>
      </c>
      <c r="BF409" s="58" t="str">
        <f t="shared" ca="1" si="1806"/>
        <v>X</v>
      </c>
      <c r="BG409" s="58" t="str">
        <f t="shared" ca="1" si="1806"/>
        <v>X</v>
      </c>
      <c r="BH409" s="58" t="str">
        <f t="shared" ca="1" si="1806"/>
        <v>X</v>
      </c>
      <c r="BI409" s="58" t="str">
        <f t="shared" ca="1" si="1806"/>
        <v>X</v>
      </c>
      <c r="BJ409" s="58" t="str">
        <f t="shared" ca="1" si="1806"/>
        <v>X</v>
      </c>
      <c r="BK409" s="58" t="str">
        <f t="shared" ca="1" si="1806"/>
        <v>X</v>
      </c>
      <c r="BL409" s="58" t="str">
        <f t="shared" ca="1" si="1806"/>
        <v>X</v>
      </c>
      <c r="BM409" s="58" t="str">
        <f t="shared" ca="1" si="1806"/>
        <v>X</v>
      </c>
      <c r="BN409" s="58" t="str">
        <f t="shared" ca="1" si="1806"/>
        <v>X</v>
      </c>
      <c r="BO409" s="58" t="str">
        <f t="shared" ca="1" si="1806"/>
        <v>X</v>
      </c>
      <c r="BP409" s="58" t="str">
        <f t="shared" ca="1" si="1806"/>
        <v>X</v>
      </c>
      <c r="BQ409" s="58" t="str">
        <f t="shared" ca="1" si="1806"/>
        <v>X</v>
      </c>
      <c r="BR409" s="58" t="str">
        <f t="shared" ca="1" si="1806"/>
        <v>X</v>
      </c>
      <c r="BS409" s="58" t="str">
        <f t="shared" ca="1" si="1806"/>
        <v>X</v>
      </c>
      <c r="BT409" s="58" t="str">
        <f t="shared" ca="1" si="1806"/>
        <v>X</v>
      </c>
      <c r="BU409" s="58" t="str">
        <f t="shared" ca="1" si="1806"/>
        <v>X</v>
      </c>
      <c r="BV409" s="58" t="str">
        <f t="shared" ca="1" si="1806"/>
        <v>X</v>
      </c>
      <c r="BW409" s="58" t="str">
        <f t="shared" ca="1" si="1806"/>
        <v>X</v>
      </c>
      <c r="BX409" s="58" t="str">
        <f t="shared" ca="1" si="1806"/>
        <v>X</v>
      </c>
      <c r="BY409" s="58" t="str">
        <f t="shared" ca="1" si="1806"/>
        <v>X</v>
      </c>
      <c r="BZ409" s="58" t="str">
        <f t="shared" ca="1" si="1806"/>
        <v>X</v>
      </c>
      <c r="CA409" s="58" t="str">
        <f t="shared" ca="1" si="1806"/>
        <v>X</v>
      </c>
      <c r="CB409" s="58" t="str">
        <f t="shared" ca="1" si="1806"/>
        <v>X</v>
      </c>
      <c r="CC409" s="58" t="str">
        <f t="shared" ca="1" si="1806"/>
        <v>X</v>
      </c>
      <c r="CD409" s="58" t="str">
        <f t="shared" ca="1" si="1806"/>
        <v>X</v>
      </c>
      <c r="CE409" s="58" t="str">
        <f t="shared" ca="1" si="1806"/>
        <v>X</v>
      </c>
      <c r="CF409" s="58" t="str">
        <f t="shared" ca="1" si="1806"/>
        <v>X</v>
      </c>
      <c r="CG409" s="58" t="str">
        <f t="shared" ca="1" si="1806"/>
        <v>X</v>
      </c>
      <c r="CH409" s="58" t="str">
        <f t="shared" ca="1" si="1806"/>
        <v>X</v>
      </c>
      <c r="CI409" s="58" t="str">
        <f t="shared" ca="1" si="1806"/>
        <v>X</v>
      </c>
      <c r="CJ409" s="58" t="str">
        <f t="shared" ca="1" si="1806"/>
        <v>X</v>
      </c>
      <c r="CK409" s="58" t="str">
        <f t="shared" ca="1" si="1806"/>
        <v>X</v>
      </c>
      <c r="CL409" s="58" t="str">
        <f t="shared" ca="1" si="1806"/>
        <v>X</v>
      </c>
      <c r="CM409" s="58" t="str">
        <f t="shared" ca="1" si="1806"/>
        <v>X</v>
      </c>
      <c r="CN409" s="58" t="str">
        <f t="shared" ca="1" si="1806"/>
        <v>X</v>
      </c>
      <c r="CO409" s="58" t="str">
        <f t="shared" ca="1" si="1806"/>
        <v>X</v>
      </c>
      <c r="CP409" s="58" t="str">
        <f t="shared" ca="1" si="1806"/>
        <v>X</v>
      </c>
      <c r="CQ409" s="58" t="str">
        <f t="shared" ca="1" si="1806"/>
        <v>X</v>
      </c>
      <c r="CR409" s="58" t="str">
        <f t="shared" ca="1" si="1806"/>
        <v>X</v>
      </c>
      <c r="CS409" s="58" t="str">
        <f t="shared" ca="1" si="1806"/>
        <v>X</v>
      </c>
      <c r="CT409" s="58" t="str">
        <f t="shared" ca="1" si="1806"/>
        <v>X</v>
      </c>
      <c r="CU409" s="58" t="str">
        <f t="shared" ca="1" si="1806"/>
        <v>X</v>
      </c>
      <c r="CV409" s="58" t="str">
        <f t="shared" ca="1" si="1806"/>
        <v>X</v>
      </c>
      <c r="CW409" s="58" t="str">
        <f t="shared" ca="1" si="1806"/>
        <v>X</v>
      </c>
      <c r="CX409" s="58" t="str">
        <f t="shared" ca="1" si="1806"/>
        <v>X</v>
      </c>
      <c r="CY409" s="58" t="str">
        <f t="shared" ca="1" si="1806"/>
        <v>X</v>
      </c>
      <c r="CZ409" s="58" t="str">
        <f t="shared" ca="1" si="1806"/>
        <v>X</v>
      </c>
      <c r="DA409" s="58" t="str">
        <f t="shared" ca="1" si="1806"/>
        <v>X</v>
      </c>
      <c r="DB409" s="58" t="str">
        <f t="shared" ca="1" si="1806"/>
        <v>X</v>
      </c>
      <c r="DC409" s="58" t="str">
        <f t="shared" ca="1" si="1806"/>
        <v>X</v>
      </c>
      <c r="DD409" s="58" t="str">
        <f t="shared" ca="1" si="1806"/>
        <v>X</v>
      </c>
      <c r="DE409" s="58" t="str">
        <f t="shared" ca="1" si="1806"/>
        <v>X</v>
      </c>
      <c r="DF409" s="58" t="str">
        <f t="shared" ca="1" si="1806"/>
        <v>X</v>
      </c>
      <c r="DG409" s="58" t="str">
        <f t="shared" ca="1" si="1806"/>
        <v>X</v>
      </c>
      <c r="DH409" s="58" t="str">
        <f t="shared" ca="1" si="1806"/>
        <v>X</v>
      </c>
      <c r="DI409" s="58" t="str">
        <f t="shared" ca="1" si="1806"/>
        <v>X</v>
      </c>
      <c r="DJ409" s="58" t="str">
        <f t="shared" ca="1" si="1806"/>
        <v>X</v>
      </c>
      <c r="DK409" s="58" t="str">
        <f t="shared" ca="1" si="1806"/>
        <v>X</v>
      </c>
      <c r="DL409" s="58" t="str">
        <f t="shared" ca="1" si="1806"/>
        <v>X</v>
      </c>
      <c r="DM409" s="58" t="str">
        <f t="shared" ca="1" si="1806"/>
        <v>X</v>
      </c>
      <c r="DN409" s="58" t="str">
        <f t="shared" ca="1" si="1806"/>
        <v>X</v>
      </c>
      <c r="DO409" s="58" t="str">
        <f t="shared" ca="1" si="1806"/>
        <v>X</v>
      </c>
      <c r="DP409" s="58" t="str">
        <f t="shared" ca="1" si="1806"/>
        <v>X</v>
      </c>
      <c r="DQ409" s="58" t="str">
        <f t="shared" ca="1" si="1806"/>
        <v>X</v>
      </c>
      <c r="DR409" s="58" t="str">
        <f t="shared" ca="1" si="1806"/>
        <v>X</v>
      </c>
      <c r="DS409" s="58" t="str">
        <f t="shared" ca="1" si="1806"/>
        <v>X</v>
      </c>
      <c r="DT409" s="58" t="str">
        <f t="shared" ca="1" si="1806"/>
        <v>X</v>
      </c>
      <c r="DU409" s="58" t="str">
        <f t="shared" ca="1" si="1806"/>
        <v>X</v>
      </c>
      <c r="DV409" s="58" t="str">
        <f t="shared" ca="1" si="1806"/>
        <v>X</v>
      </c>
      <c r="DW409" s="58" t="str">
        <f t="shared" ca="1" si="1806"/>
        <v>X</v>
      </c>
      <c r="DX409" s="58" t="str">
        <f t="shared" ca="1" si="1806"/>
        <v>X</v>
      </c>
      <c r="DY409" s="58" t="str">
        <f t="shared" ca="1" si="1806"/>
        <v>X</v>
      </c>
      <c r="DZ409" s="58" t="str">
        <f t="shared" ca="1" si="1806"/>
        <v>X</v>
      </c>
      <c r="EA409" s="58" t="str">
        <f t="shared" ca="1" si="1806"/>
        <v>X</v>
      </c>
      <c r="EB409" s="58" t="str">
        <f t="shared" ca="1" si="1806"/>
        <v>X</v>
      </c>
      <c r="EC409" s="58" t="str">
        <f t="shared" ca="1" si="1806"/>
        <v>X</v>
      </c>
      <c r="ED409" s="58" t="str">
        <f t="shared" ca="1" si="1806"/>
        <v>X</v>
      </c>
      <c r="EE409" s="58" t="str">
        <f t="shared" ca="1" si="1806"/>
        <v>X</v>
      </c>
      <c r="EF409" s="58" t="str">
        <f t="shared" ca="1" si="1806"/>
        <v>X</v>
      </c>
      <c r="EG409" s="58" t="str">
        <f t="shared" ca="1" si="1806"/>
        <v>X</v>
      </c>
      <c r="EH409" s="58" t="str">
        <f t="shared" ca="1" si="1806"/>
        <v>X</v>
      </c>
      <c r="EI409" s="58" t="str">
        <f t="shared" ca="1" si="1806"/>
        <v>X</v>
      </c>
      <c r="EJ409" s="58" t="str">
        <f t="shared" ca="1" si="1806"/>
        <v>X</v>
      </c>
      <c r="EK409" s="58" t="str">
        <f t="shared" ca="1" si="1806"/>
        <v>X</v>
      </c>
      <c r="EL409" s="58" t="str">
        <f t="shared" ca="1" si="1806"/>
        <v>X</v>
      </c>
      <c r="EM409" s="58" t="str">
        <f t="shared" ca="1" si="1806"/>
        <v>X</v>
      </c>
      <c r="EN409" s="58" t="str">
        <f t="shared" ca="1" si="1806"/>
        <v>X</v>
      </c>
      <c r="EO409" s="58" t="str">
        <f t="shared" ca="1" si="1806"/>
        <v>X</v>
      </c>
      <c r="EP409" s="58" t="str">
        <f t="shared" ca="1" si="1806"/>
        <v>X</v>
      </c>
      <c r="EQ409" s="58" t="str">
        <f t="shared" ca="1" si="1806"/>
        <v>X</v>
      </c>
      <c r="ER409" s="58" t="str">
        <f t="shared" ca="1" si="1806"/>
        <v>X</v>
      </c>
      <c r="ES409" s="58" t="str">
        <f t="shared" ca="1" si="1806"/>
        <v>X</v>
      </c>
      <c r="ET409" s="58" t="str">
        <f t="shared" ca="1" si="1806"/>
        <v>X</v>
      </c>
      <c r="EU409" s="58" t="str">
        <f t="shared" ca="1" si="1806"/>
        <v>X</v>
      </c>
      <c r="EV409" s="58" t="str">
        <f t="shared" ca="1" si="1806"/>
        <v>X</v>
      </c>
      <c r="EW409" s="58" t="str">
        <f t="shared" ca="1" si="1806"/>
        <v>X</v>
      </c>
      <c r="EX409" s="58" t="str">
        <f t="shared" ca="1" si="1806"/>
        <v>X</v>
      </c>
      <c r="EY409" s="58" t="str">
        <f t="shared" ca="1" si="1806"/>
        <v>X</v>
      </c>
      <c r="EZ409" s="58" t="str">
        <f t="shared" ca="1" si="1806"/>
        <v>X</v>
      </c>
      <c r="FA409" s="58" t="str">
        <f t="shared" ca="1" si="1806"/>
        <v>X</v>
      </c>
      <c r="FB409" s="58" t="str">
        <f t="shared" ca="1" si="1806"/>
        <v>X</v>
      </c>
      <c r="FC409" s="58" t="str">
        <f t="shared" ca="1" si="1806"/>
        <v>X</v>
      </c>
      <c r="FD409" s="58" t="str">
        <f t="shared" ca="1" si="1806"/>
        <v>X</v>
      </c>
      <c r="FE409" s="58" t="str">
        <f t="shared" ca="1" si="1806"/>
        <v>X</v>
      </c>
      <c r="FF409" s="58" t="str">
        <f t="shared" ca="1" si="1806"/>
        <v>X</v>
      </c>
      <c r="FG409" s="58" t="str">
        <f t="shared" ca="1" si="1806"/>
        <v>X</v>
      </c>
      <c r="FH409" s="58" t="str">
        <f t="shared" ca="1" si="1806"/>
        <v>X</v>
      </c>
      <c r="FI409" s="58" t="str">
        <f t="shared" ca="1" si="1806"/>
        <v>X</v>
      </c>
      <c r="FJ409" s="58" t="str">
        <f t="shared" ca="1" si="1806"/>
        <v>X</v>
      </c>
      <c r="FK409" s="58" t="str">
        <f t="shared" ca="1" si="1806"/>
        <v>X</v>
      </c>
      <c r="FL409" s="58" t="str">
        <f t="shared" ca="1" si="1806"/>
        <v>X</v>
      </c>
      <c r="FM409" s="58" t="str">
        <f t="shared" ca="1" si="1806"/>
        <v>X</v>
      </c>
      <c r="FN409" s="58" t="str">
        <f t="shared" ca="1" si="1806"/>
        <v>X</v>
      </c>
      <c r="FO409" s="58" t="str">
        <f t="shared" ca="1" si="1806"/>
        <v>X</v>
      </c>
      <c r="FP409" s="58" t="str">
        <f t="shared" ca="1" si="1806"/>
        <v>X</v>
      </c>
      <c r="FQ409" s="58" t="str">
        <f t="shared" ca="1" si="1806"/>
        <v>X</v>
      </c>
      <c r="FR409" s="58" t="str">
        <f t="shared" ca="1" si="1806"/>
        <v>X</v>
      </c>
      <c r="FS409" s="58" t="str">
        <f t="shared" ca="1" si="1806"/>
        <v>X</v>
      </c>
      <c r="FT409" s="58" t="str">
        <f t="shared" ca="1" si="1806"/>
        <v>X</v>
      </c>
      <c r="FU409" s="58" t="str">
        <f t="shared" ca="1" si="1806"/>
        <v>X</v>
      </c>
      <c r="FV409" s="58" t="str">
        <f t="shared" ca="1" si="1806"/>
        <v>X</v>
      </c>
      <c r="FW409" s="58" t="str">
        <f t="shared" ca="1" si="1806"/>
        <v>X</v>
      </c>
      <c r="FX409" s="58" t="str">
        <f t="shared" ca="1" si="1806"/>
        <v>X</v>
      </c>
      <c r="FY409" s="58" t="str">
        <f t="shared" ca="1" si="1806"/>
        <v>X</v>
      </c>
      <c r="FZ409" s="58" t="str">
        <f t="shared" ca="1" si="1806"/>
        <v>X</v>
      </c>
      <c r="GA409" s="58" t="str">
        <f t="shared" ca="1" si="1806"/>
        <v>X</v>
      </c>
      <c r="GB409" s="58" t="str">
        <f t="shared" ca="1" si="1806"/>
        <v>X</v>
      </c>
      <c r="GC409" s="58" t="str">
        <f t="shared" ca="1" si="1806"/>
        <v>X</v>
      </c>
      <c r="GD409" s="58" t="str">
        <f t="shared" ca="1" si="1806"/>
        <v>X</v>
      </c>
      <c r="GE409" s="58" t="str">
        <f t="shared" ca="1" si="1806"/>
        <v>X</v>
      </c>
      <c r="GF409" s="58" t="str">
        <f t="shared" ca="1" si="1806"/>
        <v>X</v>
      </c>
      <c r="GG409" s="58" t="str">
        <f t="shared" ca="1" si="1806"/>
        <v>X</v>
      </c>
      <c r="GH409" s="58" t="str">
        <f t="shared" ca="1" si="1806"/>
        <v>X</v>
      </c>
      <c r="GI409" s="58" t="str">
        <f t="shared" ca="1" si="1806"/>
        <v>X</v>
      </c>
      <c r="GJ409" s="58" t="str">
        <f t="shared" ca="1" si="1806"/>
        <v>X</v>
      </c>
      <c r="GK409" s="58" t="str">
        <f t="shared" ca="1" si="1806"/>
        <v>X</v>
      </c>
      <c r="GL409" s="58" t="str">
        <f t="shared" ca="1" si="1806"/>
        <v>X</v>
      </c>
      <c r="GM409" s="58" t="str">
        <f t="shared" ca="1" si="1806"/>
        <v>X</v>
      </c>
      <c r="GN409" s="58" t="str">
        <f t="shared" ca="1" si="1806"/>
        <v>X</v>
      </c>
      <c r="GO409" s="58" t="str">
        <f t="shared" ca="1" si="1806"/>
        <v>X</v>
      </c>
      <c r="GP409" s="58" t="str">
        <f t="shared" ca="1" si="1806"/>
        <v>X</v>
      </c>
      <c r="GQ409" s="58" t="str">
        <f t="shared" ca="1" si="1806"/>
        <v>X</v>
      </c>
      <c r="GR409" s="58" t="str">
        <f t="shared" ca="1" si="1806"/>
        <v>X</v>
      </c>
      <c r="GS409" s="80" t="str">
        <f t="shared" ca="1" si="1806"/>
        <v>X</v>
      </c>
      <c r="GT409" s="58" t="str">
        <f t="shared" ca="1" si="1806"/>
        <v>X</v>
      </c>
      <c r="GU409" s="82" t="str">
        <f t="shared" ca="1" si="1617"/>
        <v>X</v>
      </c>
      <c r="GV409" s="58" t="str">
        <f t="shared" ca="1" si="1618"/>
        <v>X</v>
      </c>
      <c r="GW409" s="58" t="str">
        <f t="shared" ca="1" si="1619"/>
        <v>X</v>
      </c>
      <c r="GX409" s="58" t="str">
        <f t="shared" ca="1" si="1620"/>
        <v>X</v>
      </c>
      <c r="GY409" s="58" t="str">
        <f t="shared" ca="1" si="1621"/>
        <v>X</v>
      </c>
      <c r="GZ409" s="58" t="str">
        <f t="shared" ca="1" si="1622"/>
        <v>X</v>
      </c>
      <c r="HA409" s="58" t="str">
        <f t="shared" ca="1" si="1623"/>
        <v>X</v>
      </c>
      <c r="HB409" s="58" t="str">
        <f t="shared" ca="1" si="1624"/>
        <v>X</v>
      </c>
      <c r="HC409" s="58" t="str">
        <f t="shared" ca="1" si="1625"/>
        <v>X</v>
      </c>
      <c r="HD409" s="58" t="str">
        <f t="shared" ca="1" si="1626"/>
        <v>X</v>
      </c>
      <c r="HE409" s="58" t="str">
        <f t="shared" ca="1" si="1627"/>
        <v>X</v>
      </c>
      <c r="HF409" s="58" t="str">
        <f t="shared" ca="1" si="1628"/>
        <v>X</v>
      </c>
      <c r="HG409" s="58" t="str">
        <f t="shared" ca="1" si="1629"/>
        <v>X</v>
      </c>
      <c r="HH409" s="58" t="str">
        <f t="shared" ca="1" si="1630"/>
        <v>X</v>
      </c>
      <c r="HI409" s="58" t="str">
        <f t="shared" ca="1" si="1631"/>
        <v>X</v>
      </c>
      <c r="HJ409" s="58" t="str">
        <f t="shared" ca="1" si="1632"/>
        <v>X</v>
      </c>
      <c r="HK409" s="58" t="str">
        <f t="shared" ca="1" si="1633"/>
        <v>X</v>
      </c>
      <c r="HL409" s="58" t="str">
        <f t="shared" ca="1" si="1634"/>
        <v>X</v>
      </c>
      <c r="HM409" s="58" t="str">
        <f t="shared" ca="1" si="1635"/>
        <v>X</v>
      </c>
      <c r="HN409" s="58" t="str">
        <f t="shared" ca="1" si="1636"/>
        <v>X</v>
      </c>
      <c r="HO409" s="58" t="str">
        <f t="shared" ca="1" si="1637"/>
        <v>X</v>
      </c>
      <c r="HP409" s="58" t="str">
        <f t="shared" ca="1" si="1638"/>
        <v>X</v>
      </c>
      <c r="HQ409" s="58" t="str">
        <f t="shared" ca="1" si="1639"/>
        <v>X</v>
      </c>
      <c r="HR409" s="58" t="str">
        <f t="shared" ca="1" si="1640"/>
        <v>X</v>
      </c>
      <c r="HS409" s="58" t="str">
        <f t="shared" ca="1" si="1641"/>
        <v>X</v>
      </c>
      <c r="HT409" s="58" t="str">
        <f t="shared" ca="1" si="1642"/>
        <v>X</v>
      </c>
      <c r="HU409" s="58" t="str">
        <f t="shared" ca="1" si="1643"/>
        <v>X</v>
      </c>
      <c r="HV409" s="58" t="str">
        <f t="shared" ca="1" si="1644"/>
        <v>X</v>
      </c>
      <c r="HW409" s="58" t="str">
        <f t="shared" ca="1" si="1645"/>
        <v>X</v>
      </c>
      <c r="HX409" s="58" t="str">
        <f t="shared" ca="1" si="1646"/>
        <v>X</v>
      </c>
      <c r="HY409" s="58" t="str">
        <f t="shared" ca="1" si="1647"/>
        <v>X</v>
      </c>
      <c r="HZ409" s="58" t="str">
        <f t="shared" ca="1" si="1648"/>
        <v>X</v>
      </c>
      <c r="IA409" s="58" t="str">
        <f t="shared" ca="1" si="1649"/>
        <v>X</v>
      </c>
      <c r="IB409" s="58" t="str">
        <f t="shared" ca="1" si="1650"/>
        <v>X</v>
      </c>
      <c r="IC409" s="58" t="str">
        <f t="shared" ca="1" si="1651"/>
        <v>X</v>
      </c>
      <c r="ID409" s="58" t="str">
        <f t="shared" ca="1" si="1652"/>
        <v>X</v>
      </c>
      <c r="IE409" s="58" t="str">
        <f t="shared" ca="1" si="1653"/>
        <v>X</v>
      </c>
      <c r="IF409" s="58" t="str">
        <f t="shared" ca="1" si="1654"/>
        <v>X</v>
      </c>
      <c r="IG409" s="58" t="str">
        <f t="shared" ca="1" si="1655"/>
        <v>X</v>
      </c>
      <c r="IH409" s="58" t="str">
        <f t="shared" ca="1" si="1656"/>
        <v>X</v>
      </c>
      <c r="II409" s="58" t="str">
        <f t="shared" ca="1" si="1657"/>
        <v>X</v>
      </c>
      <c r="IJ409" s="58" t="str">
        <f t="shared" ca="1" si="1658"/>
        <v>X</v>
      </c>
      <c r="IK409" s="58" t="str">
        <f t="shared" ca="1" si="1659"/>
        <v>X</v>
      </c>
      <c r="IL409" s="58" t="str">
        <f t="shared" ca="1" si="1660"/>
        <v>X</v>
      </c>
      <c r="IM409" s="58" t="str">
        <f t="shared" ca="1" si="1661"/>
        <v>X</v>
      </c>
      <c r="IN409" s="58" t="str">
        <f t="shared" ca="1" si="1662"/>
        <v>X</v>
      </c>
      <c r="IO409" s="58" t="str">
        <f t="shared" ca="1" si="1663"/>
        <v>X</v>
      </c>
      <c r="IP409" s="58" t="str">
        <f t="shared" ca="1" si="1664"/>
        <v>X</v>
      </c>
      <c r="IQ409" s="58" t="str">
        <f t="shared" ca="1" si="1665"/>
        <v>X</v>
      </c>
      <c r="IR409" s="58" t="str">
        <f t="shared" ca="1" si="1666"/>
        <v>X</v>
      </c>
      <c r="IS409" s="58" t="str">
        <f t="shared" ca="1" si="1667"/>
        <v>X</v>
      </c>
      <c r="IT409" s="58" t="str">
        <f t="shared" ca="1" si="1668"/>
        <v>X</v>
      </c>
      <c r="IU409" s="58" t="str">
        <f t="shared" ca="1" si="1669"/>
        <v>X</v>
      </c>
      <c r="IV409" s="58" t="str">
        <f t="shared" ca="1" si="1670"/>
        <v>X</v>
      </c>
      <c r="IW409" s="58" t="str">
        <f t="shared" ca="1" si="1671"/>
        <v>X</v>
      </c>
      <c r="IX409" s="58" t="str">
        <f t="shared" ca="1" si="1672"/>
        <v>X</v>
      </c>
      <c r="IY409" s="58" t="str">
        <f t="shared" ca="1" si="1673"/>
        <v>X</v>
      </c>
      <c r="IZ409" s="58" t="str">
        <f t="shared" ca="1" si="1674"/>
        <v>X</v>
      </c>
      <c r="JA409" s="58" t="str">
        <f t="shared" ca="1" si="1675"/>
        <v>X</v>
      </c>
      <c r="JB409" s="58" t="str">
        <f t="shared" ca="1" si="1676"/>
        <v>X</v>
      </c>
      <c r="JC409" s="58" t="str">
        <f t="shared" ca="1" si="1677"/>
        <v>X</v>
      </c>
      <c r="JD409" s="58" t="str">
        <f t="shared" ca="1" si="1678"/>
        <v>X</v>
      </c>
      <c r="JE409" s="58" t="str">
        <f t="shared" ca="1" si="1679"/>
        <v>X</v>
      </c>
      <c r="JF409" s="58" t="str">
        <f t="shared" ca="1" si="1680"/>
        <v>X</v>
      </c>
      <c r="JG409" s="58" t="str">
        <f t="shared" ca="1" si="1681"/>
        <v>X</v>
      </c>
      <c r="JH409" s="58" t="str">
        <f t="shared" ca="1" si="1682"/>
        <v>X</v>
      </c>
      <c r="JI409" s="58" t="str">
        <f t="shared" ca="1" si="1683"/>
        <v>X</v>
      </c>
      <c r="JJ409" s="58" t="str">
        <f t="shared" ca="1" si="1684"/>
        <v>X</v>
      </c>
      <c r="JK409" s="58" t="str">
        <f t="shared" ca="1" si="1685"/>
        <v>X</v>
      </c>
      <c r="JL409" s="58" t="str">
        <f t="shared" ca="1" si="1686"/>
        <v>X</v>
      </c>
      <c r="JM409" s="58" t="str">
        <f t="shared" ca="1" si="1687"/>
        <v>X</v>
      </c>
      <c r="JN409" s="58" t="str">
        <f t="shared" ca="1" si="1688"/>
        <v>X</v>
      </c>
      <c r="JO409" s="58" t="str">
        <f t="shared" ca="1" si="1689"/>
        <v>X</v>
      </c>
      <c r="JP409" s="58" t="str">
        <f t="shared" ca="1" si="1690"/>
        <v>X</v>
      </c>
      <c r="JQ409" s="58" t="str">
        <f t="shared" ca="1" si="1691"/>
        <v>X</v>
      </c>
      <c r="JR409" s="58" t="str">
        <f t="shared" ca="1" si="1692"/>
        <v>X</v>
      </c>
      <c r="JS409" s="58" t="str">
        <f t="shared" ca="1" si="1693"/>
        <v>X</v>
      </c>
      <c r="JT409" s="58" t="str">
        <f t="shared" ca="1" si="1694"/>
        <v>X</v>
      </c>
      <c r="JU409" s="58" t="str">
        <f t="shared" ca="1" si="1695"/>
        <v>X</v>
      </c>
      <c r="JV409" s="58" t="str">
        <f t="shared" ca="1" si="1696"/>
        <v>X</v>
      </c>
      <c r="JW409" s="58" t="str">
        <f t="shared" ca="1" si="1697"/>
        <v>X</v>
      </c>
      <c r="JX409" s="58" t="str">
        <f t="shared" ca="1" si="1698"/>
        <v>X</v>
      </c>
      <c r="JY409" s="58" t="str">
        <f t="shared" ca="1" si="1699"/>
        <v>X</v>
      </c>
      <c r="JZ409" s="58" t="str">
        <f t="shared" ca="1" si="1700"/>
        <v>X</v>
      </c>
      <c r="KA409" s="58" t="str">
        <f t="shared" ca="1" si="1701"/>
        <v>X</v>
      </c>
      <c r="KB409" s="58" t="str">
        <f t="shared" ca="1" si="1702"/>
        <v>X</v>
      </c>
      <c r="KC409" s="58" t="str">
        <f t="shared" ca="1" si="1703"/>
        <v>X</v>
      </c>
      <c r="KD409" s="58" t="str">
        <f t="shared" ca="1" si="1704"/>
        <v>X</v>
      </c>
      <c r="KE409" s="58" t="str">
        <f t="shared" ca="1" si="1705"/>
        <v>X</v>
      </c>
      <c r="KF409" s="58" t="str">
        <f t="shared" ca="1" si="1706"/>
        <v>X</v>
      </c>
      <c r="KG409" s="58" t="str">
        <f t="shared" ca="1" si="1707"/>
        <v>X</v>
      </c>
      <c r="KH409" s="58" t="str">
        <f t="shared" ca="1" si="1708"/>
        <v>X</v>
      </c>
      <c r="KI409" s="58" t="str">
        <f t="shared" ca="1" si="1709"/>
        <v>X</v>
      </c>
      <c r="KJ409" s="58" t="str">
        <f t="shared" ca="1" si="1710"/>
        <v>X</v>
      </c>
      <c r="KK409" s="58" t="str">
        <f t="shared" ca="1" si="1711"/>
        <v>X</v>
      </c>
      <c r="KL409" s="58" t="str">
        <f t="shared" ca="1" si="1712"/>
        <v>X</v>
      </c>
      <c r="KM409" s="58" t="str">
        <f t="shared" ca="1" si="1713"/>
        <v>X</v>
      </c>
      <c r="KN409" s="58" t="str">
        <f t="shared" ca="1" si="1714"/>
        <v>X</v>
      </c>
      <c r="KO409" s="58" t="str">
        <f t="shared" ca="1" si="1715"/>
        <v>X</v>
      </c>
      <c r="KP409" s="58" t="str">
        <f t="shared" ca="1" si="1716"/>
        <v>X</v>
      </c>
      <c r="KQ409" s="58" t="str">
        <f t="shared" ca="1" si="1717"/>
        <v>X</v>
      </c>
      <c r="KR409" s="58" t="str">
        <f t="shared" ca="1" si="1718"/>
        <v>X</v>
      </c>
      <c r="KS409" s="58" t="str">
        <f t="shared" ca="1" si="1719"/>
        <v>X</v>
      </c>
      <c r="KT409" s="58" t="str">
        <f t="shared" ca="1" si="1720"/>
        <v>X</v>
      </c>
      <c r="KU409" s="58" t="str">
        <f t="shared" ca="1" si="1721"/>
        <v>X</v>
      </c>
      <c r="KV409" s="58" t="str">
        <f t="shared" ca="1" si="1722"/>
        <v>X</v>
      </c>
      <c r="KW409" s="58" t="str">
        <f t="shared" ca="1" si="1723"/>
        <v>X</v>
      </c>
      <c r="KX409" s="58" t="str">
        <f t="shared" ca="1" si="1724"/>
        <v>X</v>
      </c>
      <c r="KY409" s="58" t="str">
        <f t="shared" ca="1" si="1725"/>
        <v>X</v>
      </c>
      <c r="KZ409" s="58" t="str">
        <f t="shared" ca="1" si="1726"/>
        <v>X</v>
      </c>
      <c r="LA409" s="58" t="str">
        <f t="shared" ca="1" si="1727"/>
        <v>X</v>
      </c>
      <c r="LB409" s="58" t="str">
        <f t="shared" ca="1" si="1728"/>
        <v>X</v>
      </c>
      <c r="LC409" s="58" t="str">
        <f t="shared" ca="1" si="1729"/>
        <v>X</v>
      </c>
      <c r="LD409" s="58" t="str">
        <f t="shared" ca="1" si="1730"/>
        <v>X</v>
      </c>
      <c r="LE409" s="58" t="str">
        <f t="shared" ca="1" si="1731"/>
        <v>X</v>
      </c>
      <c r="LF409" s="58" t="str">
        <f t="shared" ca="1" si="1732"/>
        <v>X</v>
      </c>
      <c r="LG409" s="58" t="str">
        <f t="shared" ca="1" si="1733"/>
        <v>X</v>
      </c>
      <c r="LH409" s="58" t="str">
        <f t="shared" ca="1" si="1734"/>
        <v>X</v>
      </c>
      <c r="LI409" s="58" t="str">
        <f t="shared" ca="1" si="1735"/>
        <v>X</v>
      </c>
      <c r="LJ409" s="58" t="str">
        <f t="shared" ca="1" si="1736"/>
        <v>X</v>
      </c>
      <c r="LK409" s="58" t="str">
        <f t="shared" ca="1" si="1737"/>
        <v>X</v>
      </c>
      <c r="LL409" s="58" t="str">
        <f t="shared" ca="1" si="1738"/>
        <v>X</v>
      </c>
      <c r="LM409" s="58" t="str">
        <f t="shared" ca="1" si="1739"/>
        <v>X</v>
      </c>
      <c r="LN409" s="58" t="str">
        <f t="shared" ca="1" si="1740"/>
        <v>X</v>
      </c>
      <c r="LO409" s="58" t="str">
        <f t="shared" ca="1" si="1741"/>
        <v>X</v>
      </c>
      <c r="LP409" s="58" t="str">
        <f t="shared" ca="1" si="1742"/>
        <v>X</v>
      </c>
      <c r="LQ409" s="58" t="str">
        <f t="shared" ca="1" si="1743"/>
        <v>X</v>
      </c>
      <c r="LR409" s="58" t="str">
        <f t="shared" ca="1" si="1744"/>
        <v>X</v>
      </c>
      <c r="LS409" s="58" t="str">
        <f t="shared" ca="1" si="1745"/>
        <v>X</v>
      </c>
      <c r="LT409" s="58" t="str">
        <f t="shared" ca="1" si="1746"/>
        <v>X</v>
      </c>
      <c r="LU409" s="58" t="str">
        <f t="shared" ca="1" si="1747"/>
        <v>X</v>
      </c>
      <c r="LV409" s="58" t="str">
        <f t="shared" ca="1" si="1748"/>
        <v>X</v>
      </c>
      <c r="LW409" s="58" t="str">
        <f t="shared" ca="1" si="1749"/>
        <v>X</v>
      </c>
      <c r="LX409" s="58" t="str">
        <f t="shared" ca="1" si="1750"/>
        <v>X</v>
      </c>
      <c r="LY409" s="58" t="str">
        <f t="shared" ca="1" si="1751"/>
        <v>X</v>
      </c>
      <c r="LZ409" s="58" t="str">
        <f t="shared" ca="1" si="1752"/>
        <v>X</v>
      </c>
      <c r="MA409" s="58" t="str">
        <f t="shared" ca="1" si="1753"/>
        <v>X</v>
      </c>
      <c r="MB409" s="58" t="str">
        <f t="shared" ca="1" si="1754"/>
        <v>X</v>
      </c>
      <c r="MC409" s="58" t="str">
        <f t="shared" ca="1" si="1755"/>
        <v>X</v>
      </c>
      <c r="MD409" s="58" t="str">
        <f t="shared" ca="1" si="1756"/>
        <v>X</v>
      </c>
      <c r="ME409" s="58" t="str">
        <f t="shared" ca="1" si="1757"/>
        <v>X</v>
      </c>
      <c r="MF409" s="58" t="str">
        <f t="shared" ca="1" si="1758"/>
        <v>X</v>
      </c>
      <c r="MG409" s="58" t="str">
        <f t="shared" ca="1" si="1759"/>
        <v>X</v>
      </c>
      <c r="MH409" s="58" t="str">
        <f t="shared" ca="1" si="1760"/>
        <v>X</v>
      </c>
      <c r="MI409" s="58" t="str">
        <f t="shared" ca="1" si="1761"/>
        <v>X</v>
      </c>
      <c r="MJ409" s="58" t="str">
        <f t="shared" ca="1" si="1762"/>
        <v>X</v>
      </c>
      <c r="MK409" s="58" t="str">
        <f t="shared" ca="1" si="1763"/>
        <v>X</v>
      </c>
      <c r="ML409" s="58" t="str">
        <f t="shared" ca="1" si="1764"/>
        <v>X</v>
      </c>
      <c r="MM409" s="58" t="str">
        <f t="shared" ca="1" si="1765"/>
        <v>X</v>
      </c>
      <c r="MN409" s="58" t="str">
        <f t="shared" ca="1" si="1766"/>
        <v>X</v>
      </c>
      <c r="MO409" s="58" t="str">
        <f t="shared" ca="1" si="1767"/>
        <v>X</v>
      </c>
      <c r="MP409" s="58" t="str">
        <f t="shared" ca="1" si="1768"/>
        <v>X</v>
      </c>
      <c r="MQ409" s="58" t="str">
        <f t="shared" ca="1" si="1769"/>
        <v>X</v>
      </c>
      <c r="MR409" s="58" t="str">
        <f t="shared" ca="1" si="1770"/>
        <v>X</v>
      </c>
      <c r="MS409" s="58" t="str">
        <f t="shared" ca="1" si="1771"/>
        <v>X</v>
      </c>
      <c r="MT409" s="58" t="str">
        <f t="shared" ref="MT409:NE409" ca="1" si="1807">IF($K409=INDIRECT(CONCATENATE("$AG$"&amp;GH$392)),INDIRECT(CONCATENATE("$AG$"&amp;GH$391)),
IF($K409=INDIRECT(CONCATENATE("$AF$"&amp;GH$392)),INDIRECT(CONCATENATE("$AF$"&amp;GH$391)),
IF($K409=INDIRECT(CONCATENATE("$AE$"&amp;GH$392)),INDIRECT(CONCATENATE("$AE$"&amp;GH$391)),
IF($K409=INDIRECT(CONCATENATE("$AD$"&amp;GH$392)),INDIRECT(CONCATENATE("$AD$"&amp;GH$391)),
IF($K409=INDIRECT(CONCATENATE("$AC$"&amp;GH$392)),INDIRECT(CONCATENATE("$AC$"&amp;GH$391)),
IF($K409=INDIRECT(CONCATENATE("$AB$"&amp;GH$392)),INDIRECT(CONCATENATE("$AB$"&amp;GH$391)),
IF($K409=INDIRECT(CONCATENATE("$AA$"&amp;GH$392)),INDIRECT(CONCATENATE("$AA$"&amp;GH$391)),
IF($K409=INDIRECT(CONCATENATE("$Z$"&amp;GH$392)),INDIRECT(CONCATENATE("$Z$"&amp;GH$391)),
IF($K409=INDIRECT(CONCATENATE("$Y$"&amp;GH$392)),INDIRECT(CONCATENATE("$Y$"&amp;GH$391)),
IF($K409=INDIRECT(CONCATENATE("$X$"&amp;GH$392)),INDIRECT(CONCATENATE("$X$"&amp;GH$391)),
IF($K409=INDIRECT(CONCATENATE("$W$"&amp;GH$392)),INDIRECT(CONCATENATE("$W$"&amp;GH$391)),
IF($K409=INDIRECT(CONCATENATE("$V$"&amp;GH$392)),INDIRECT(CONCATENATE("$V$"&amp;GH$391)),
IF($K409=INDIRECT(CONCATENATE("$U$"&amp;GH$392)),INDIRECT(CONCATENATE("$U$"&amp;GH$391)),
IF($K409=INDIRECT(CONCATENATE("$T$"&amp;GH$392)),INDIRECT(CONCATENATE("$T$"&amp;GH$391)),
IF($K409=INDIRECT(CONCATENATE("$S$"&amp;GH$392)),INDIRECT(CONCATENATE("$S$"&amp;GH$391)),
IF($K409=INDIRECT(CONCATENATE("$R$"&amp;GH$392)),INDIRECT(CONCATENATE("$R$"&amp;GH$391)),
IF($K409=INDIRECT(CONCATENATE("$Q$"&amp;GH$392)),INDIRECT(CONCATENATE("$Q$"&amp;GH$391)),
IF($K409=INDIRECT(CONCATENATE("$P$"&amp;GH$392)),INDIRECT(CONCATENATE("$P$"&amp;GH$391)),
IF($K409=INDIRECT(CONCATENATE("$O$"&amp;GH$392)),INDIRECT(CONCATENATE("$O$"&amp;GH$391)),
IF($K409=INDIRECT(CONCATENATE("$N$"&amp;GH$392)),INDIRECT(CONCATENATE("$N$"&amp;GH$391)),
IF($K409=INDIRECT(CONCATENATE("$M$"&amp;GH$392)),INDIRECT(CONCATENATE("$M$"&amp;GH$391)),
IF($K409=INDIRECT(CONCATENATE("$L$"&amp;GH$392)),INDIRECT(CONCATENATE("$L$"&amp;GH$391)),
IF($K409=INDIRECT(CONCATENATE("$K$"&amp;GH$392)),INDIRECT(CONCATENATE("$K$"&amp;GH$391)),
IF($K409=INDIRECT(CONCATENATE("$J$"&amp;GH$392)),INDIRECT(CONCATENATE("$J$"&amp;GH$391)),
IF($K409=INDIRECT(CONCATENATE("$I$"&amp;GH$392)),INDIRECT(CONCATENATE("$I$"&amp;GH$391)),
IF($K409=INDIRECT(CONCATENATE("$H$"&amp;GH$392)),INDIRECT(CONCATENATE("$H$"&amp;GH$391)),
IF($K409=INDIRECT(CONCATENATE("$G$"&amp;GH$392)),INDIRECT(CONCATENATE("$G$"&amp;GH$391)),
IF($K409=INDIRECT(CONCATENATE("$F$"&amp;GH$392)),INDIRECT(CONCATENATE("$F$"&amp;GH$391)),
IF($K409=INDIRECT(CONCATENATE("$E$"&amp;GH$392)),INDIRECT(CONCATENATE("$E$"&amp;GH$391)),
IF($K409=INDIRECT(CONCATENATE("$D$"&amp;GH$392)),INDIRECT(CONCATENATE("$D$"&amp;GH$391)),
IF($K409=INDIRECT(CONCATENATE("$C$"&amp;GH$392)),INDIRECT(CONCATENATE("$C$"&amp;GH$391)),"X")))))))))))))))))))))))))))))))</f>
        <v>X</v>
      </c>
      <c r="MU409" s="58" t="str">
        <f t="shared" ca="1" si="1807"/>
        <v>X</v>
      </c>
      <c r="MV409" s="58" t="str">
        <f t="shared" ca="1" si="1807"/>
        <v>X</v>
      </c>
      <c r="MW409" s="58" t="str">
        <f t="shared" ca="1" si="1807"/>
        <v>X</v>
      </c>
      <c r="MX409" s="58" t="str">
        <f t="shared" ca="1" si="1807"/>
        <v>X</v>
      </c>
      <c r="MY409" s="58" t="str">
        <f t="shared" ca="1" si="1807"/>
        <v>X</v>
      </c>
      <c r="MZ409" s="58" t="str">
        <f t="shared" ca="1" si="1807"/>
        <v>X</v>
      </c>
      <c r="NA409" s="58" t="str">
        <f t="shared" ca="1" si="1807"/>
        <v>X</v>
      </c>
      <c r="NB409" s="58" t="str">
        <f t="shared" ca="1" si="1807"/>
        <v>X</v>
      </c>
      <c r="NC409" s="58" t="str">
        <f t="shared" ca="1" si="1807"/>
        <v>X</v>
      </c>
      <c r="ND409" s="58" t="str">
        <f t="shared" ca="1" si="1807"/>
        <v>X</v>
      </c>
      <c r="NE409" s="58" t="str">
        <f t="shared" ca="1" si="1807"/>
        <v>X</v>
      </c>
      <c r="NF409" s="58" t="str">
        <f t="shared" ca="1" si="1773"/>
        <v>X</v>
      </c>
      <c r="NG409" s="58" t="str">
        <f t="shared" ca="1" si="1774"/>
        <v>X</v>
      </c>
    </row>
    <row r="410" spans="1:371" ht="18" customHeight="1">
      <c r="A410" s="241" t="s">
        <v>107</v>
      </c>
      <c r="B410" s="304"/>
      <c r="C410" s="304"/>
      <c r="D410" s="304"/>
      <c r="E410" s="304"/>
      <c r="F410" s="304"/>
      <c r="G410" s="304"/>
      <c r="H410" s="304"/>
      <c r="I410" s="304"/>
      <c r="J410" s="303"/>
      <c r="K410" s="237" t="s">
        <v>41</v>
      </c>
      <c r="L410" s="303"/>
      <c r="M410" s="60">
        <v>36</v>
      </c>
      <c r="N410" s="225" t="s">
        <v>102</v>
      </c>
      <c r="O410" s="304"/>
      <c r="P410" s="304"/>
      <c r="Q410" s="304"/>
      <c r="R410" s="303"/>
      <c r="S410" s="226">
        <v>105342</v>
      </c>
      <c r="T410" s="304"/>
      <c r="U410" s="303"/>
      <c r="V410" s="227"/>
      <c r="W410" s="303"/>
      <c r="X410" s="56">
        <f t="shared" ca="1" si="1775"/>
        <v>46219</v>
      </c>
      <c r="Y410" s="56">
        <f t="shared" ca="1" si="1776"/>
        <v>46233</v>
      </c>
      <c r="Z410" s="228" t="str">
        <f t="shared" ca="1" si="1612"/>
        <v>CONCLUÍDA</v>
      </c>
      <c r="AA410" s="304"/>
      <c r="AB410" s="303"/>
      <c r="AC410" s="224">
        <f t="shared" si="1777"/>
        <v>36</v>
      </c>
      <c r="AD410" s="303"/>
      <c r="AE410" s="229">
        <f t="shared" si="1778"/>
        <v>0</v>
      </c>
      <c r="AF410" s="303"/>
      <c r="AG410" s="57" t="str">
        <f t="shared" si="1615"/>
        <v>OK</v>
      </c>
      <c r="AH410" s="21"/>
      <c r="AI410" s="70"/>
      <c r="AJ410" s="58" t="str">
        <f t="shared" ref="AJ410:GT410" ca="1" si="1808">IF($K410=INDIRECT(CONCATENATE("$C$"&amp;AJ$392)), INDIRECT(CONCATENATE("$C$"&amp;AJ$391)),
IF($K410=INDIRECT(CONCATENATE("$D$"&amp;AJ$392)), INDIRECT(CONCATENATE("$D$"&amp;AJ$391)),
IF($K410=INDIRECT(CONCATENATE("$E$"&amp;AJ$392)), INDIRECT(CONCATENATE("$E$"&amp;AJ$391)),
IF($K410=INDIRECT(CONCATENATE("$F$"&amp;AJ$392)), INDIRECT(CONCATENATE("$F$"&amp;AJ$391)),
IF($K410=INDIRECT(CONCATENATE("$G$"&amp;AJ$392)), INDIRECT(CONCATENATE("$G$"&amp;AJ$391)),
IF($K410=INDIRECT(CONCATENATE("$H$"&amp;AJ$392)), INDIRECT(CONCATENATE("$H$"&amp;AJ$391)),
IF($K410=INDIRECT(CONCATENATE("$I$"&amp;AJ$392)), INDIRECT(CONCATENATE("$I$"&amp;AJ$391)),
IF($K410=INDIRECT(CONCATENATE("$J$"&amp;AJ$392)), INDIRECT(CONCATENATE("$J$"&amp;AJ$391)),
IF($K410=INDIRECT(CONCATENATE("$K$"&amp;AJ$392)), INDIRECT(CONCATENATE("$K$"&amp;AJ$391)),
IF($K410=INDIRECT(CONCATENATE("$L$"&amp;AJ$392)), INDIRECT(CONCATENATE("$L$"&amp;AJ$391)),
IF($K410=INDIRECT(CONCATENATE("$M$"&amp;AJ$392)), INDIRECT(CONCATENATE("$M$"&amp;AJ$391)),
IF($K410=INDIRECT(CONCATENATE("$N$"&amp;AJ$392)), INDIRECT(CONCATENATE("$N$"&amp;AJ$391)),
IF($K410=INDIRECT(CONCATENATE("$O$"&amp;AJ$392)), INDIRECT(CONCATENATE("$O$"&amp;AJ$391)),
IF($K410=INDIRECT(CONCATENATE("$P$"&amp;AJ$392)), INDIRECT(CONCATENATE("$P$"&amp;AJ$391)),
IF($K410=INDIRECT(CONCATENATE("$Q$"&amp;AJ$392)), INDIRECT(CONCATENATE("$Q$"&amp;AJ$391)),
IF($K410=INDIRECT(CONCATENATE("$R$"&amp;AJ$392)), INDIRECT(CONCATENATE("$R$"&amp;AJ$391)),
IF($K410=INDIRECT(CONCATENATE("$S$"&amp;AJ$392)), INDIRECT(CONCATENATE("$S$"&amp;AJ$391)),
IF($K410=INDIRECT(CONCATENATE("$T$"&amp;AJ$392)), INDIRECT(CONCATENATE("$T$"&amp;AJ$391)),
IF($K410=INDIRECT(CONCATENATE("$U$"&amp;AJ$392)), INDIRECT(CONCATENATE("$U$"&amp;AJ$391)),
IF($K410=INDIRECT(CONCATENATE("$V$"&amp;AJ$392)), INDIRECT(CONCATENATE("$V$"&amp;AJ$391)),
IF($K410=INDIRECT(CONCATENATE("$W$"&amp;AJ$392)), INDIRECT(CONCATENATE("$W$"&amp;AJ$391)),
IF($K410=INDIRECT(CONCATENATE("$X$"&amp;AJ$392)), INDIRECT(CONCATENATE("$X$"&amp;AJ$391)),
IF($K410=INDIRECT(CONCATENATE("$Y$"&amp;AJ$392)), INDIRECT(CONCATENATE("$Y$"&amp;AJ$391)),
IF($K410=INDIRECT(CONCATENATE("$Z$"&amp;AJ$392)), INDIRECT(CONCATENATE("$Z$"&amp;AJ$391)),
IF($K410=INDIRECT(CONCATENATE("$AA$"&amp;AJ$392)), INDIRECT(CONCATENATE("$AA$"&amp;AJ$391)),
IF($K410=INDIRECT(CONCATENATE("$AB$"&amp;AJ$392)), INDIRECT(CONCATENATE("$AB$"&amp;AJ$391)),
IF($K410=INDIRECT(CONCATENATE("$AC$"&amp;AJ$392)), INDIRECT(CONCATENATE("$AC$"&amp;AJ$391)),
IF($K410=INDIRECT(CONCATENATE("$AD$"&amp;AJ$392)), INDIRECT(CONCATENATE("$AD$"&amp;AJ$391)),
IF($K410=INDIRECT(CONCATENATE("$AE$"&amp;AJ$392)), INDIRECT(CONCATENATE("$AE$"&amp;AJ$391)),
IF($K410=INDIRECT(CONCATENATE("$AF$"&amp;AJ$392)), INDIRECT(CONCATENATE("$AF$"&amp;AJ$391)),
IF($K410=INDIRECT(CONCATENATE("$AG$"&amp;AJ$392)), INDIRECT(CONCATENATE("$AG$"&amp;AJ$391)),"X")))))))))))))))))))))))))))))))</f>
        <v>X</v>
      </c>
      <c r="AK410" s="58" t="str">
        <f t="shared" ca="1" si="1808"/>
        <v>X</v>
      </c>
      <c r="AL410" s="58" t="str">
        <f t="shared" ca="1" si="1808"/>
        <v>X</v>
      </c>
      <c r="AM410" s="58" t="str">
        <f t="shared" ca="1" si="1808"/>
        <v>X</v>
      </c>
      <c r="AN410" s="58" t="str">
        <f t="shared" ca="1" si="1808"/>
        <v>X</v>
      </c>
      <c r="AO410" s="58" t="str">
        <f t="shared" ca="1" si="1808"/>
        <v>X</v>
      </c>
      <c r="AP410" s="58" t="str">
        <f t="shared" ca="1" si="1808"/>
        <v>X</v>
      </c>
      <c r="AQ410" s="58" t="str">
        <f t="shared" ca="1" si="1808"/>
        <v>X</v>
      </c>
      <c r="AR410" s="58" t="str">
        <f t="shared" ca="1" si="1808"/>
        <v>X</v>
      </c>
      <c r="AS410" s="58" t="str">
        <f t="shared" ca="1" si="1808"/>
        <v>X</v>
      </c>
      <c r="AT410" s="58" t="str">
        <f t="shared" ca="1" si="1808"/>
        <v>X</v>
      </c>
      <c r="AU410" s="58" t="str">
        <f t="shared" ca="1" si="1808"/>
        <v>X</v>
      </c>
      <c r="AV410" s="58" t="str">
        <f t="shared" ca="1" si="1808"/>
        <v>X</v>
      </c>
      <c r="AW410" s="58" t="str">
        <f t="shared" ca="1" si="1808"/>
        <v>X</v>
      </c>
      <c r="AX410" s="58" t="str">
        <f t="shared" ca="1" si="1808"/>
        <v>X</v>
      </c>
      <c r="AY410" s="58" t="str">
        <f t="shared" ca="1" si="1808"/>
        <v>X</v>
      </c>
      <c r="AZ410" s="58" t="str">
        <f t="shared" ca="1" si="1808"/>
        <v>X</v>
      </c>
      <c r="BA410" s="58" t="str">
        <f t="shared" ca="1" si="1808"/>
        <v>X</v>
      </c>
      <c r="BB410" s="58" t="str">
        <f t="shared" ca="1" si="1808"/>
        <v>X</v>
      </c>
      <c r="BC410" s="58" t="str">
        <f t="shared" ca="1" si="1808"/>
        <v>X</v>
      </c>
      <c r="BD410" s="58" t="str">
        <f t="shared" ca="1" si="1808"/>
        <v>X</v>
      </c>
      <c r="BE410" s="58" t="str">
        <f t="shared" ca="1" si="1808"/>
        <v>X</v>
      </c>
      <c r="BF410" s="58" t="str">
        <f t="shared" ca="1" si="1808"/>
        <v>X</v>
      </c>
      <c r="BG410" s="58" t="str">
        <f t="shared" ca="1" si="1808"/>
        <v>X</v>
      </c>
      <c r="BH410" s="58" t="str">
        <f t="shared" ca="1" si="1808"/>
        <v>X</v>
      </c>
      <c r="BI410" s="58" t="str">
        <f t="shared" ca="1" si="1808"/>
        <v>X</v>
      </c>
      <c r="BJ410" s="58" t="str">
        <f t="shared" ca="1" si="1808"/>
        <v>X</v>
      </c>
      <c r="BK410" s="58" t="str">
        <f t="shared" ca="1" si="1808"/>
        <v>X</v>
      </c>
      <c r="BL410" s="58" t="str">
        <f t="shared" ca="1" si="1808"/>
        <v>X</v>
      </c>
      <c r="BM410" s="58" t="str">
        <f t="shared" ca="1" si="1808"/>
        <v>X</v>
      </c>
      <c r="BN410" s="58" t="str">
        <f t="shared" ca="1" si="1808"/>
        <v>X</v>
      </c>
      <c r="BO410" s="58" t="str">
        <f t="shared" ca="1" si="1808"/>
        <v>X</v>
      </c>
      <c r="BP410" s="58" t="str">
        <f t="shared" ca="1" si="1808"/>
        <v>X</v>
      </c>
      <c r="BQ410" s="58" t="str">
        <f t="shared" ca="1" si="1808"/>
        <v>X</v>
      </c>
      <c r="BR410" s="58" t="str">
        <f t="shared" ca="1" si="1808"/>
        <v>X</v>
      </c>
      <c r="BS410" s="58" t="str">
        <f t="shared" ca="1" si="1808"/>
        <v>X</v>
      </c>
      <c r="BT410" s="58" t="str">
        <f t="shared" ca="1" si="1808"/>
        <v>X</v>
      </c>
      <c r="BU410" s="58" t="str">
        <f t="shared" ca="1" si="1808"/>
        <v>X</v>
      </c>
      <c r="BV410" s="58" t="str">
        <f t="shared" ca="1" si="1808"/>
        <v>X</v>
      </c>
      <c r="BW410" s="58" t="str">
        <f t="shared" ca="1" si="1808"/>
        <v>X</v>
      </c>
      <c r="BX410" s="58" t="str">
        <f t="shared" ca="1" si="1808"/>
        <v>X</v>
      </c>
      <c r="BY410" s="58" t="str">
        <f t="shared" ca="1" si="1808"/>
        <v>X</v>
      </c>
      <c r="BZ410" s="58" t="str">
        <f t="shared" ca="1" si="1808"/>
        <v>X</v>
      </c>
      <c r="CA410" s="58" t="str">
        <f t="shared" ca="1" si="1808"/>
        <v>X</v>
      </c>
      <c r="CB410" s="58" t="str">
        <f t="shared" ca="1" si="1808"/>
        <v>X</v>
      </c>
      <c r="CC410" s="58" t="str">
        <f t="shared" ca="1" si="1808"/>
        <v>X</v>
      </c>
      <c r="CD410" s="58" t="str">
        <f t="shared" ca="1" si="1808"/>
        <v>X</v>
      </c>
      <c r="CE410" s="58" t="str">
        <f t="shared" ca="1" si="1808"/>
        <v>X</v>
      </c>
      <c r="CF410" s="58" t="str">
        <f t="shared" ca="1" si="1808"/>
        <v>X</v>
      </c>
      <c r="CG410" s="58" t="str">
        <f t="shared" ca="1" si="1808"/>
        <v>X</v>
      </c>
      <c r="CH410" s="58" t="str">
        <f t="shared" ca="1" si="1808"/>
        <v>X</v>
      </c>
      <c r="CI410" s="58" t="str">
        <f t="shared" ca="1" si="1808"/>
        <v>X</v>
      </c>
      <c r="CJ410" s="58" t="str">
        <f t="shared" ca="1" si="1808"/>
        <v>X</v>
      </c>
      <c r="CK410" s="58" t="str">
        <f t="shared" ca="1" si="1808"/>
        <v>X</v>
      </c>
      <c r="CL410" s="58" t="str">
        <f t="shared" ca="1" si="1808"/>
        <v>X</v>
      </c>
      <c r="CM410" s="58" t="str">
        <f t="shared" ca="1" si="1808"/>
        <v>X</v>
      </c>
      <c r="CN410" s="58" t="str">
        <f t="shared" ca="1" si="1808"/>
        <v>X</v>
      </c>
      <c r="CO410" s="58" t="str">
        <f t="shared" ca="1" si="1808"/>
        <v>X</v>
      </c>
      <c r="CP410" s="58" t="str">
        <f t="shared" ca="1" si="1808"/>
        <v>X</v>
      </c>
      <c r="CQ410" s="58" t="str">
        <f t="shared" ca="1" si="1808"/>
        <v>X</v>
      </c>
      <c r="CR410" s="58" t="str">
        <f t="shared" ca="1" si="1808"/>
        <v>X</v>
      </c>
      <c r="CS410" s="58" t="str">
        <f t="shared" ca="1" si="1808"/>
        <v>X</v>
      </c>
      <c r="CT410" s="58" t="str">
        <f t="shared" ca="1" si="1808"/>
        <v>X</v>
      </c>
      <c r="CU410" s="58" t="str">
        <f t="shared" ca="1" si="1808"/>
        <v>X</v>
      </c>
      <c r="CV410" s="58" t="str">
        <f t="shared" ca="1" si="1808"/>
        <v>X</v>
      </c>
      <c r="CW410" s="58" t="str">
        <f t="shared" ca="1" si="1808"/>
        <v>X</v>
      </c>
      <c r="CX410" s="58" t="str">
        <f t="shared" ca="1" si="1808"/>
        <v>X</v>
      </c>
      <c r="CY410" s="58" t="str">
        <f t="shared" ca="1" si="1808"/>
        <v>X</v>
      </c>
      <c r="CZ410" s="58" t="str">
        <f t="shared" ca="1" si="1808"/>
        <v>X</v>
      </c>
      <c r="DA410" s="58" t="str">
        <f t="shared" ca="1" si="1808"/>
        <v>X</v>
      </c>
      <c r="DB410" s="58" t="str">
        <f t="shared" ca="1" si="1808"/>
        <v>X</v>
      </c>
      <c r="DC410" s="58" t="str">
        <f t="shared" ca="1" si="1808"/>
        <v>X</v>
      </c>
      <c r="DD410" s="58" t="str">
        <f t="shared" ca="1" si="1808"/>
        <v>X</v>
      </c>
      <c r="DE410" s="58" t="str">
        <f t="shared" ca="1" si="1808"/>
        <v>X</v>
      </c>
      <c r="DF410" s="58" t="str">
        <f t="shared" ca="1" si="1808"/>
        <v>X</v>
      </c>
      <c r="DG410" s="58" t="str">
        <f t="shared" ca="1" si="1808"/>
        <v>X</v>
      </c>
      <c r="DH410" s="58" t="str">
        <f t="shared" ca="1" si="1808"/>
        <v>X</v>
      </c>
      <c r="DI410" s="58" t="str">
        <f t="shared" ca="1" si="1808"/>
        <v>X</v>
      </c>
      <c r="DJ410" s="58" t="str">
        <f t="shared" ca="1" si="1808"/>
        <v>X</v>
      </c>
      <c r="DK410" s="58" t="str">
        <f t="shared" ca="1" si="1808"/>
        <v>X</v>
      </c>
      <c r="DL410" s="58" t="str">
        <f t="shared" ca="1" si="1808"/>
        <v>X</v>
      </c>
      <c r="DM410" s="58" t="str">
        <f t="shared" ca="1" si="1808"/>
        <v>X</v>
      </c>
      <c r="DN410" s="58" t="str">
        <f t="shared" ca="1" si="1808"/>
        <v>X</v>
      </c>
      <c r="DO410" s="58" t="str">
        <f t="shared" ca="1" si="1808"/>
        <v>X</v>
      </c>
      <c r="DP410" s="58">
        <f t="shared" ca="1" si="1808"/>
        <v>46219</v>
      </c>
      <c r="DQ410" s="58">
        <f t="shared" ca="1" si="1808"/>
        <v>46219</v>
      </c>
      <c r="DR410" s="58">
        <f t="shared" ca="1" si="1808"/>
        <v>46219</v>
      </c>
      <c r="DS410" s="58">
        <f t="shared" ca="1" si="1808"/>
        <v>46219</v>
      </c>
      <c r="DT410" s="58" t="str">
        <f t="shared" ca="1" si="1808"/>
        <v>X</v>
      </c>
      <c r="DU410" s="58" t="str">
        <f t="shared" ca="1" si="1808"/>
        <v>X</v>
      </c>
      <c r="DV410" s="58" t="str">
        <f t="shared" ca="1" si="1808"/>
        <v>X</v>
      </c>
      <c r="DW410" s="58" t="str">
        <f t="shared" ca="1" si="1808"/>
        <v>X</v>
      </c>
      <c r="DX410" s="58" t="str">
        <f t="shared" ca="1" si="1808"/>
        <v>X</v>
      </c>
      <c r="DY410" s="58" t="str">
        <f t="shared" ca="1" si="1808"/>
        <v>X</v>
      </c>
      <c r="DZ410" s="58" t="str">
        <f t="shared" ca="1" si="1808"/>
        <v>X</v>
      </c>
      <c r="EA410" s="58" t="str">
        <f t="shared" ca="1" si="1808"/>
        <v>X</v>
      </c>
      <c r="EB410" s="58" t="str">
        <f t="shared" ca="1" si="1808"/>
        <v>X</v>
      </c>
      <c r="EC410" s="58" t="str">
        <f t="shared" ca="1" si="1808"/>
        <v>X</v>
      </c>
      <c r="ED410" s="58" t="str">
        <f t="shared" ca="1" si="1808"/>
        <v>X</v>
      </c>
      <c r="EE410" s="58" t="str">
        <f t="shared" ca="1" si="1808"/>
        <v>X</v>
      </c>
      <c r="EF410" s="58" t="str">
        <f t="shared" ca="1" si="1808"/>
        <v>X</v>
      </c>
      <c r="EG410" s="58" t="str">
        <f t="shared" ca="1" si="1808"/>
        <v>X</v>
      </c>
      <c r="EH410" s="58" t="str">
        <f t="shared" ca="1" si="1808"/>
        <v>X</v>
      </c>
      <c r="EI410" s="58" t="str">
        <f t="shared" ca="1" si="1808"/>
        <v>X</v>
      </c>
      <c r="EJ410" s="58" t="str">
        <f t="shared" ca="1" si="1808"/>
        <v>X</v>
      </c>
      <c r="EK410" s="58" t="str">
        <f t="shared" ca="1" si="1808"/>
        <v>X</v>
      </c>
      <c r="EL410" s="58" t="str">
        <f t="shared" ca="1" si="1808"/>
        <v>X</v>
      </c>
      <c r="EM410" s="58" t="str">
        <f t="shared" ca="1" si="1808"/>
        <v>X</v>
      </c>
      <c r="EN410" s="58" t="str">
        <f t="shared" ca="1" si="1808"/>
        <v>X</v>
      </c>
      <c r="EO410" s="58" t="str">
        <f t="shared" ca="1" si="1808"/>
        <v>X</v>
      </c>
      <c r="EP410" s="58" t="str">
        <f t="shared" ca="1" si="1808"/>
        <v>X</v>
      </c>
      <c r="EQ410" s="58" t="str">
        <f t="shared" ca="1" si="1808"/>
        <v>X</v>
      </c>
      <c r="ER410" s="58" t="str">
        <f t="shared" ca="1" si="1808"/>
        <v>X</v>
      </c>
      <c r="ES410" s="58" t="str">
        <f t="shared" ca="1" si="1808"/>
        <v>X</v>
      </c>
      <c r="ET410" s="58" t="str">
        <f t="shared" ca="1" si="1808"/>
        <v>X</v>
      </c>
      <c r="EU410" s="58" t="str">
        <f t="shared" ca="1" si="1808"/>
        <v>X</v>
      </c>
      <c r="EV410" s="58" t="str">
        <f t="shared" ca="1" si="1808"/>
        <v>X</v>
      </c>
      <c r="EW410" s="58" t="str">
        <f t="shared" ca="1" si="1808"/>
        <v>X</v>
      </c>
      <c r="EX410" s="58" t="str">
        <f t="shared" ca="1" si="1808"/>
        <v>X</v>
      </c>
      <c r="EY410" s="58" t="str">
        <f t="shared" ca="1" si="1808"/>
        <v>X</v>
      </c>
      <c r="EZ410" s="58" t="str">
        <f t="shared" ca="1" si="1808"/>
        <v>X</v>
      </c>
      <c r="FA410" s="58" t="str">
        <f t="shared" ca="1" si="1808"/>
        <v>X</v>
      </c>
      <c r="FB410" s="58" t="str">
        <f t="shared" ca="1" si="1808"/>
        <v>X</v>
      </c>
      <c r="FC410" s="58" t="str">
        <f t="shared" ca="1" si="1808"/>
        <v>X</v>
      </c>
      <c r="FD410" s="58" t="str">
        <f t="shared" ca="1" si="1808"/>
        <v>X</v>
      </c>
      <c r="FE410" s="58" t="str">
        <f t="shared" ca="1" si="1808"/>
        <v>X</v>
      </c>
      <c r="FF410" s="58" t="str">
        <f t="shared" ca="1" si="1808"/>
        <v>X</v>
      </c>
      <c r="FG410" s="58" t="str">
        <f t="shared" ca="1" si="1808"/>
        <v>X</v>
      </c>
      <c r="FH410" s="58" t="str">
        <f t="shared" ca="1" si="1808"/>
        <v>X</v>
      </c>
      <c r="FI410" s="58" t="str">
        <f t="shared" ca="1" si="1808"/>
        <v>X</v>
      </c>
      <c r="FJ410" s="58" t="str">
        <f t="shared" ca="1" si="1808"/>
        <v>X</v>
      </c>
      <c r="FK410" s="58" t="str">
        <f t="shared" ca="1" si="1808"/>
        <v>X</v>
      </c>
      <c r="FL410" s="58" t="str">
        <f t="shared" ca="1" si="1808"/>
        <v>X</v>
      </c>
      <c r="FM410" s="58" t="str">
        <f t="shared" ca="1" si="1808"/>
        <v>X</v>
      </c>
      <c r="FN410" s="58" t="str">
        <f t="shared" ca="1" si="1808"/>
        <v>X</v>
      </c>
      <c r="FO410" s="58" t="str">
        <f t="shared" ca="1" si="1808"/>
        <v>X</v>
      </c>
      <c r="FP410" s="58" t="str">
        <f t="shared" ca="1" si="1808"/>
        <v>X</v>
      </c>
      <c r="FQ410" s="58" t="str">
        <f t="shared" ca="1" si="1808"/>
        <v>X</v>
      </c>
      <c r="FR410" s="58" t="str">
        <f t="shared" ca="1" si="1808"/>
        <v>X</v>
      </c>
      <c r="FS410" s="58" t="str">
        <f t="shared" ca="1" si="1808"/>
        <v>X</v>
      </c>
      <c r="FT410" s="58" t="str">
        <f t="shared" ca="1" si="1808"/>
        <v>X</v>
      </c>
      <c r="FU410" s="58" t="str">
        <f t="shared" ca="1" si="1808"/>
        <v>X</v>
      </c>
      <c r="FV410" s="58" t="str">
        <f t="shared" ca="1" si="1808"/>
        <v>X</v>
      </c>
      <c r="FW410" s="58" t="str">
        <f t="shared" ca="1" si="1808"/>
        <v>X</v>
      </c>
      <c r="FX410" s="58" t="str">
        <f t="shared" ca="1" si="1808"/>
        <v>X</v>
      </c>
      <c r="FY410" s="58" t="str">
        <f t="shared" ca="1" si="1808"/>
        <v>X</v>
      </c>
      <c r="FZ410" s="58" t="str">
        <f t="shared" ca="1" si="1808"/>
        <v>X</v>
      </c>
      <c r="GA410" s="58" t="str">
        <f t="shared" ca="1" si="1808"/>
        <v>X</v>
      </c>
      <c r="GB410" s="58" t="str">
        <f t="shared" ca="1" si="1808"/>
        <v>X</v>
      </c>
      <c r="GC410" s="58" t="str">
        <f t="shared" ca="1" si="1808"/>
        <v>X</v>
      </c>
      <c r="GD410" s="58" t="str">
        <f t="shared" ca="1" si="1808"/>
        <v>X</v>
      </c>
      <c r="GE410" s="58" t="str">
        <f t="shared" ca="1" si="1808"/>
        <v>X</v>
      </c>
      <c r="GF410" s="58" t="str">
        <f t="shared" ca="1" si="1808"/>
        <v>X</v>
      </c>
      <c r="GG410" s="58" t="str">
        <f t="shared" ca="1" si="1808"/>
        <v>X</v>
      </c>
      <c r="GH410" s="58" t="str">
        <f t="shared" ca="1" si="1808"/>
        <v>X</v>
      </c>
      <c r="GI410" s="58" t="str">
        <f t="shared" ca="1" si="1808"/>
        <v>X</v>
      </c>
      <c r="GJ410" s="58" t="str">
        <f t="shared" ca="1" si="1808"/>
        <v>X</v>
      </c>
      <c r="GK410" s="58" t="str">
        <f t="shared" ca="1" si="1808"/>
        <v>X</v>
      </c>
      <c r="GL410" s="58" t="str">
        <f t="shared" ca="1" si="1808"/>
        <v>X</v>
      </c>
      <c r="GM410" s="58" t="str">
        <f t="shared" ca="1" si="1808"/>
        <v>X</v>
      </c>
      <c r="GN410" s="58" t="str">
        <f t="shared" ca="1" si="1808"/>
        <v>X</v>
      </c>
      <c r="GO410" s="58" t="str">
        <f t="shared" ca="1" si="1808"/>
        <v>X</v>
      </c>
      <c r="GP410" s="58" t="str">
        <f t="shared" ca="1" si="1808"/>
        <v>X</v>
      </c>
      <c r="GQ410" s="58" t="str">
        <f t="shared" ca="1" si="1808"/>
        <v>X</v>
      </c>
      <c r="GR410" s="58" t="str">
        <f t="shared" ca="1" si="1808"/>
        <v>X</v>
      </c>
      <c r="GS410" s="80" t="str">
        <f t="shared" ca="1" si="1808"/>
        <v>X</v>
      </c>
      <c r="GT410" s="58" t="str">
        <f t="shared" ca="1" si="1808"/>
        <v>X</v>
      </c>
      <c r="GU410" s="82" t="str">
        <f t="shared" ca="1" si="1617"/>
        <v>X</v>
      </c>
      <c r="GV410" s="58" t="str">
        <f t="shared" ca="1" si="1618"/>
        <v>X</v>
      </c>
      <c r="GW410" s="58" t="str">
        <f t="shared" ca="1" si="1619"/>
        <v>X</v>
      </c>
      <c r="GX410" s="58" t="str">
        <f t="shared" ca="1" si="1620"/>
        <v>X</v>
      </c>
      <c r="GY410" s="58" t="str">
        <f t="shared" ca="1" si="1621"/>
        <v>X</v>
      </c>
      <c r="GZ410" s="58" t="str">
        <f t="shared" ca="1" si="1622"/>
        <v>X</v>
      </c>
      <c r="HA410" s="58" t="str">
        <f t="shared" ca="1" si="1623"/>
        <v>X</v>
      </c>
      <c r="HB410" s="58" t="str">
        <f t="shared" ca="1" si="1624"/>
        <v>X</v>
      </c>
      <c r="HC410" s="58" t="str">
        <f t="shared" ca="1" si="1625"/>
        <v>X</v>
      </c>
      <c r="HD410" s="58" t="str">
        <f t="shared" ca="1" si="1626"/>
        <v>X</v>
      </c>
      <c r="HE410" s="58" t="str">
        <f t="shared" ca="1" si="1627"/>
        <v>X</v>
      </c>
      <c r="HF410" s="58" t="str">
        <f t="shared" ca="1" si="1628"/>
        <v>X</v>
      </c>
      <c r="HG410" s="58" t="str">
        <f t="shared" ca="1" si="1629"/>
        <v>X</v>
      </c>
      <c r="HH410" s="58" t="str">
        <f t="shared" ca="1" si="1630"/>
        <v>X</v>
      </c>
      <c r="HI410" s="58" t="str">
        <f t="shared" ca="1" si="1631"/>
        <v>X</v>
      </c>
      <c r="HJ410" s="58" t="str">
        <f t="shared" ca="1" si="1632"/>
        <v>X</v>
      </c>
      <c r="HK410" s="58" t="str">
        <f t="shared" ca="1" si="1633"/>
        <v>X</v>
      </c>
      <c r="HL410" s="58" t="str">
        <f t="shared" ca="1" si="1634"/>
        <v>X</v>
      </c>
      <c r="HM410" s="58" t="str">
        <f t="shared" ca="1" si="1635"/>
        <v>X</v>
      </c>
      <c r="HN410" s="58" t="str">
        <f t="shared" ca="1" si="1636"/>
        <v>X</v>
      </c>
      <c r="HO410" s="58" t="str">
        <f t="shared" ca="1" si="1637"/>
        <v>X</v>
      </c>
      <c r="HP410" s="58" t="str">
        <f t="shared" ca="1" si="1638"/>
        <v>X</v>
      </c>
      <c r="HQ410" s="58" t="str">
        <f t="shared" ca="1" si="1639"/>
        <v>X</v>
      </c>
      <c r="HR410" s="58" t="str">
        <f t="shared" ca="1" si="1640"/>
        <v>X</v>
      </c>
      <c r="HS410" s="58" t="str">
        <f t="shared" ca="1" si="1641"/>
        <v>X</v>
      </c>
      <c r="HT410" s="58" t="str">
        <f t="shared" ca="1" si="1642"/>
        <v>X</v>
      </c>
      <c r="HU410" s="58" t="str">
        <f t="shared" ca="1" si="1643"/>
        <v>X</v>
      </c>
      <c r="HV410" s="58" t="str">
        <f t="shared" ca="1" si="1644"/>
        <v>X</v>
      </c>
      <c r="HW410" s="58" t="str">
        <f t="shared" ca="1" si="1645"/>
        <v>X</v>
      </c>
      <c r="HX410" s="58" t="str">
        <f t="shared" ca="1" si="1646"/>
        <v>X</v>
      </c>
      <c r="HY410" s="58" t="str">
        <f t="shared" ca="1" si="1647"/>
        <v>X</v>
      </c>
      <c r="HZ410" s="58" t="str">
        <f t="shared" ca="1" si="1648"/>
        <v>X</v>
      </c>
      <c r="IA410" s="58" t="str">
        <f t="shared" ca="1" si="1649"/>
        <v>X</v>
      </c>
      <c r="IB410" s="58" t="str">
        <f t="shared" ca="1" si="1650"/>
        <v>X</v>
      </c>
      <c r="IC410" s="58" t="str">
        <f t="shared" ca="1" si="1651"/>
        <v>X</v>
      </c>
      <c r="ID410" s="58" t="str">
        <f t="shared" ca="1" si="1652"/>
        <v>X</v>
      </c>
      <c r="IE410" s="58" t="str">
        <f t="shared" ca="1" si="1653"/>
        <v>X</v>
      </c>
      <c r="IF410" s="58" t="str">
        <f t="shared" ca="1" si="1654"/>
        <v>X</v>
      </c>
      <c r="IG410" s="58" t="str">
        <f t="shared" ca="1" si="1655"/>
        <v>X</v>
      </c>
      <c r="IH410" s="58" t="str">
        <f t="shared" ca="1" si="1656"/>
        <v>X</v>
      </c>
      <c r="II410" s="58" t="str">
        <f t="shared" ca="1" si="1657"/>
        <v>X</v>
      </c>
      <c r="IJ410" s="58" t="str">
        <f t="shared" ca="1" si="1658"/>
        <v>X</v>
      </c>
      <c r="IK410" s="58" t="str">
        <f t="shared" ca="1" si="1659"/>
        <v>X</v>
      </c>
      <c r="IL410" s="58" t="str">
        <f t="shared" ca="1" si="1660"/>
        <v>X</v>
      </c>
      <c r="IM410" s="58" t="str">
        <f t="shared" ca="1" si="1661"/>
        <v>X</v>
      </c>
      <c r="IN410" s="58" t="str">
        <f t="shared" ca="1" si="1662"/>
        <v>X</v>
      </c>
      <c r="IO410" s="58" t="str">
        <f t="shared" ca="1" si="1663"/>
        <v>X</v>
      </c>
      <c r="IP410" s="58" t="str">
        <f t="shared" ca="1" si="1664"/>
        <v>X</v>
      </c>
      <c r="IQ410" s="58" t="str">
        <f t="shared" ca="1" si="1665"/>
        <v>X</v>
      </c>
      <c r="IR410" s="58" t="str">
        <f t="shared" ca="1" si="1666"/>
        <v>X</v>
      </c>
      <c r="IS410" s="58" t="str">
        <f t="shared" ca="1" si="1667"/>
        <v>X</v>
      </c>
      <c r="IT410" s="58" t="str">
        <f t="shared" ca="1" si="1668"/>
        <v>X</v>
      </c>
      <c r="IU410" s="58" t="str">
        <f t="shared" ca="1" si="1669"/>
        <v>X</v>
      </c>
      <c r="IV410" s="58" t="str">
        <f t="shared" ca="1" si="1670"/>
        <v>X</v>
      </c>
      <c r="IW410" s="58" t="str">
        <f t="shared" ca="1" si="1671"/>
        <v>X</v>
      </c>
      <c r="IX410" s="58" t="str">
        <f t="shared" ca="1" si="1672"/>
        <v>X</v>
      </c>
      <c r="IY410" s="58" t="str">
        <f t="shared" ca="1" si="1673"/>
        <v>X</v>
      </c>
      <c r="IZ410" s="58" t="str">
        <f t="shared" ca="1" si="1674"/>
        <v>X</v>
      </c>
      <c r="JA410" s="58" t="str">
        <f t="shared" ca="1" si="1675"/>
        <v>X</v>
      </c>
      <c r="JB410" s="58" t="str">
        <f t="shared" ca="1" si="1676"/>
        <v>X</v>
      </c>
      <c r="JC410" s="58" t="str">
        <f t="shared" ca="1" si="1677"/>
        <v>X</v>
      </c>
      <c r="JD410" s="58" t="str">
        <f t="shared" ca="1" si="1678"/>
        <v>X</v>
      </c>
      <c r="JE410" s="58" t="str">
        <f t="shared" ca="1" si="1679"/>
        <v>X</v>
      </c>
      <c r="JF410" s="58" t="str">
        <f t="shared" ca="1" si="1680"/>
        <v>X</v>
      </c>
      <c r="JG410" s="58" t="str">
        <f t="shared" ca="1" si="1681"/>
        <v>X</v>
      </c>
      <c r="JH410" s="58" t="str">
        <f t="shared" ca="1" si="1682"/>
        <v>X</v>
      </c>
      <c r="JI410" s="58" t="str">
        <f t="shared" ca="1" si="1683"/>
        <v>X</v>
      </c>
      <c r="JJ410" s="58" t="str">
        <f t="shared" ca="1" si="1684"/>
        <v>X</v>
      </c>
      <c r="JK410" s="58" t="str">
        <f t="shared" ca="1" si="1685"/>
        <v>X</v>
      </c>
      <c r="JL410" s="58" t="str">
        <f t="shared" ca="1" si="1686"/>
        <v>X</v>
      </c>
      <c r="JM410" s="58" t="str">
        <f t="shared" ca="1" si="1687"/>
        <v>X</v>
      </c>
      <c r="JN410" s="58" t="str">
        <f t="shared" ca="1" si="1688"/>
        <v>X</v>
      </c>
      <c r="JO410" s="58" t="str">
        <f t="shared" ca="1" si="1689"/>
        <v>X</v>
      </c>
      <c r="JP410" s="58" t="str">
        <f t="shared" ca="1" si="1690"/>
        <v>X</v>
      </c>
      <c r="JQ410" s="58" t="str">
        <f t="shared" ca="1" si="1691"/>
        <v>X</v>
      </c>
      <c r="JR410" s="58" t="str">
        <f t="shared" ca="1" si="1692"/>
        <v>X</v>
      </c>
      <c r="JS410" s="58" t="str">
        <f t="shared" ca="1" si="1693"/>
        <v>X</v>
      </c>
      <c r="JT410" s="58" t="str">
        <f t="shared" ca="1" si="1694"/>
        <v>X</v>
      </c>
      <c r="JU410" s="58" t="str">
        <f t="shared" ca="1" si="1695"/>
        <v>X</v>
      </c>
      <c r="JV410" s="58" t="str">
        <f t="shared" ca="1" si="1696"/>
        <v>X</v>
      </c>
      <c r="JW410" s="58" t="str">
        <f t="shared" ca="1" si="1697"/>
        <v>X</v>
      </c>
      <c r="JX410" s="58" t="str">
        <f t="shared" ca="1" si="1698"/>
        <v>X</v>
      </c>
      <c r="JY410" s="58" t="str">
        <f t="shared" ca="1" si="1699"/>
        <v>X</v>
      </c>
      <c r="JZ410" s="58" t="str">
        <f t="shared" ca="1" si="1700"/>
        <v>X</v>
      </c>
      <c r="KA410" s="58" t="str">
        <f t="shared" ca="1" si="1701"/>
        <v>X</v>
      </c>
      <c r="KB410" s="58">
        <f t="shared" ca="1" si="1702"/>
        <v>46233</v>
      </c>
      <c r="KC410" s="58">
        <f t="shared" ca="1" si="1703"/>
        <v>46233</v>
      </c>
      <c r="KD410" s="58">
        <f t="shared" ca="1" si="1704"/>
        <v>46233</v>
      </c>
      <c r="KE410" s="58">
        <f t="shared" ca="1" si="1705"/>
        <v>46233</v>
      </c>
      <c r="KF410" s="58" t="str">
        <f t="shared" ca="1" si="1706"/>
        <v>X</v>
      </c>
      <c r="KG410" s="58" t="str">
        <f t="shared" ca="1" si="1707"/>
        <v>X</v>
      </c>
      <c r="KH410" s="58" t="str">
        <f t="shared" ca="1" si="1708"/>
        <v>X</v>
      </c>
      <c r="KI410" s="58" t="str">
        <f t="shared" ca="1" si="1709"/>
        <v>X</v>
      </c>
      <c r="KJ410" s="58" t="str">
        <f t="shared" ca="1" si="1710"/>
        <v>X</v>
      </c>
      <c r="KK410" s="58" t="str">
        <f t="shared" ca="1" si="1711"/>
        <v>X</v>
      </c>
      <c r="KL410" s="58" t="str">
        <f t="shared" ca="1" si="1712"/>
        <v>X</v>
      </c>
      <c r="KM410" s="58" t="str">
        <f t="shared" ca="1" si="1713"/>
        <v>X</v>
      </c>
      <c r="KN410" s="58" t="str">
        <f t="shared" ca="1" si="1714"/>
        <v>X</v>
      </c>
      <c r="KO410" s="58" t="str">
        <f t="shared" ca="1" si="1715"/>
        <v>X</v>
      </c>
      <c r="KP410" s="58" t="str">
        <f t="shared" ca="1" si="1716"/>
        <v>X</v>
      </c>
      <c r="KQ410" s="58" t="str">
        <f t="shared" ca="1" si="1717"/>
        <v>X</v>
      </c>
      <c r="KR410" s="58" t="str">
        <f t="shared" ca="1" si="1718"/>
        <v>X</v>
      </c>
      <c r="KS410" s="58" t="str">
        <f t="shared" ca="1" si="1719"/>
        <v>X</v>
      </c>
      <c r="KT410" s="58" t="str">
        <f t="shared" ca="1" si="1720"/>
        <v>X</v>
      </c>
      <c r="KU410" s="58" t="str">
        <f t="shared" ca="1" si="1721"/>
        <v>X</v>
      </c>
      <c r="KV410" s="58" t="str">
        <f t="shared" ca="1" si="1722"/>
        <v>X</v>
      </c>
      <c r="KW410" s="58" t="str">
        <f t="shared" ca="1" si="1723"/>
        <v>X</v>
      </c>
      <c r="KX410" s="58" t="str">
        <f t="shared" ca="1" si="1724"/>
        <v>X</v>
      </c>
      <c r="KY410" s="58" t="str">
        <f t="shared" ca="1" si="1725"/>
        <v>X</v>
      </c>
      <c r="KZ410" s="58" t="str">
        <f t="shared" ca="1" si="1726"/>
        <v>X</v>
      </c>
      <c r="LA410" s="58" t="str">
        <f t="shared" ca="1" si="1727"/>
        <v>X</v>
      </c>
      <c r="LB410" s="58" t="str">
        <f t="shared" ca="1" si="1728"/>
        <v>X</v>
      </c>
      <c r="LC410" s="58" t="str">
        <f t="shared" ca="1" si="1729"/>
        <v>X</v>
      </c>
      <c r="LD410" s="58" t="str">
        <f t="shared" ca="1" si="1730"/>
        <v>X</v>
      </c>
      <c r="LE410" s="58" t="str">
        <f t="shared" ca="1" si="1731"/>
        <v>X</v>
      </c>
      <c r="LF410" s="58" t="str">
        <f t="shared" ca="1" si="1732"/>
        <v>X</v>
      </c>
      <c r="LG410" s="58" t="str">
        <f t="shared" ca="1" si="1733"/>
        <v>X</v>
      </c>
      <c r="LH410" s="58" t="str">
        <f t="shared" ca="1" si="1734"/>
        <v>X</v>
      </c>
      <c r="LI410" s="58" t="str">
        <f t="shared" ca="1" si="1735"/>
        <v>X</v>
      </c>
      <c r="LJ410" s="58" t="str">
        <f t="shared" ca="1" si="1736"/>
        <v>X</v>
      </c>
      <c r="LK410" s="58" t="str">
        <f t="shared" ca="1" si="1737"/>
        <v>X</v>
      </c>
      <c r="LL410" s="58" t="str">
        <f t="shared" ca="1" si="1738"/>
        <v>X</v>
      </c>
      <c r="LM410" s="58" t="str">
        <f t="shared" ca="1" si="1739"/>
        <v>X</v>
      </c>
      <c r="LN410" s="58" t="str">
        <f t="shared" ca="1" si="1740"/>
        <v>X</v>
      </c>
      <c r="LO410" s="58" t="str">
        <f t="shared" ca="1" si="1741"/>
        <v>X</v>
      </c>
      <c r="LP410" s="58" t="str">
        <f t="shared" ca="1" si="1742"/>
        <v>X</v>
      </c>
      <c r="LQ410" s="58" t="str">
        <f t="shared" ca="1" si="1743"/>
        <v>X</v>
      </c>
      <c r="LR410" s="58" t="str">
        <f t="shared" ca="1" si="1744"/>
        <v>X</v>
      </c>
      <c r="LS410" s="58" t="str">
        <f t="shared" ca="1" si="1745"/>
        <v>X</v>
      </c>
      <c r="LT410" s="58" t="str">
        <f t="shared" ca="1" si="1746"/>
        <v>X</v>
      </c>
      <c r="LU410" s="58" t="str">
        <f t="shared" ca="1" si="1747"/>
        <v>X</v>
      </c>
      <c r="LV410" s="58" t="str">
        <f t="shared" ca="1" si="1748"/>
        <v>X</v>
      </c>
      <c r="LW410" s="58" t="str">
        <f t="shared" ca="1" si="1749"/>
        <v>X</v>
      </c>
      <c r="LX410" s="58" t="str">
        <f t="shared" ca="1" si="1750"/>
        <v>X</v>
      </c>
      <c r="LY410" s="58" t="str">
        <f t="shared" ca="1" si="1751"/>
        <v>X</v>
      </c>
      <c r="LZ410" s="58" t="str">
        <f t="shared" ca="1" si="1752"/>
        <v>X</v>
      </c>
      <c r="MA410" s="58" t="str">
        <f t="shared" ca="1" si="1753"/>
        <v>X</v>
      </c>
      <c r="MB410" s="58" t="str">
        <f t="shared" ca="1" si="1754"/>
        <v>X</v>
      </c>
      <c r="MC410" s="58" t="str">
        <f t="shared" ca="1" si="1755"/>
        <v>X</v>
      </c>
      <c r="MD410" s="58" t="str">
        <f t="shared" ca="1" si="1756"/>
        <v>X</v>
      </c>
      <c r="ME410" s="58" t="str">
        <f t="shared" ca="1" si="1757"/>
        <v>X</v>
      </c>
      <c r="MF410" s="58" t="str">
        <f t="shared" ca="1" si="1758"/>
        <v>X</v>
      </c>
      <c r="MG410" s="58" t="str">
        <f t="shared" ca="1" si="1759"/>
        <v>X</v>
      </c>
      <c r="MH410" s="58" t="str">
        <f t="shared" ca="1" si="1760"/>
        <v>X</v>
      </c>
      <c r="MI410" s="58" t="str">
        <f t="shared" ca="1" si="1761"/>
        <v>X</v>
      </c>
      <c r="MJ410" s="58" t="str">
        <f t="shared" ca="1" si="1762"/>
        <v>X</v>
      </c>
      <c r="MK410" s="58" t="str">
        <f t="shared" ca="1" si="1763"/>
        <v>X</v>
      </c>
      <c r="ML410" s="58" t="str">
        <f t="shared" ca="1" si="1764"/>
        <v>X</v>
      </c>
      <c r="MM410" s="58" t="str">
        <f t="shared" ca="1" si="1765"/>
        <v>X</v>
      </c>
      <c r="MN410" s="58" t="str">
        <f t="shared" ca="1" si="1766"/>
        <v>X</v>
      </c>
      <c r="MO410" s="58" t="str">
        <f t="shared" ca="1" si="1767"/>
        <v>X</v>
      </c>
      <c r="MP410" s="58" t="str">
        <f t="shared" ca="1" si="1768"/>
        <v>X</v>
      </c>
      <c r="MQ410" s="58" t="str">
        <f t="shared" ca="1" si="1769"/>
        <v>X</v>
      </c>
      <c r="MR410" s="58" t="str">
        <f t="shared" ca="1" si="1770"/>
        <v>X</v>
      </c>
      <c r="MS410" s="58" t="str">
        <f t="shared" ca="1" si="1771"/>
        <v>X</v>
      </c>
      <c r="MT410" s="58" t="str">
        <f t="shared" ref="MT410:NE410" ca="1" si="1809">IF($K410=INDIRECT(CONCATENATE("$AG$"&amp;GH$392)),INDIRECT(CONCATENATE("$AG$"&amp;GH$391)),
IF($K410=INDIRECT(CONCATENATE("$AF$"&amp;GH$392)),INDIRECT(CONCATENATE("$AF$"&amp;GH$391)),
IF($K410=INDIRECT(CONCATENATE("$AE$"&amp;GH$392)),INDIRECT(CONCATENATE("$AE$"&amp;GH$391)),
IF($K410=INDIRECT(CONCATENATE("$AD$"&amp;GH$392)),INDIRECT(CONCATENATE("$AD$"&amp;GH$391)),
IF($K410=INDIRECT(CONCATENATE("$AC$"&amp;GH$392)),INDIRECT(CONCATENATE("$AC$"&amp;GH$391)),
IF($K410=INDIRECT(CONCATENATE("$AB$"&amp;GH$392)),INDIRECT(CONCATENATE("$AB$"&amp;GH$391)),
IF($K410=INDIRECT(CONCATENATE("$AA$"&amp;GH$392)),INDIRECT(CONCATENATE("$AA$"&amp;GH$391)),
IF($K410=INDIRECT(CONCATENATE("$Z$"&amp;GH$392)),INDIRECT(CONCATENATE("$Z$"&amp;GH$391)),
IF($K410=INDIRECT(CONCATENATE("$Y$"&amp;GH$392)),INDIRECT(CONCATENATE("$Y$"&amp;GH$391)),
IF($K410=INDIRECT(CONCATENATE("$X$"&amp;GH$392)),INDIRECT(CONCATENATE("$X$"&amp;GH$391)),
IF($K410=INDIRECT(CONCATENATE("$W$"&amp;GH$392)),INDIRECT(CONCATENATE("$W$"&amp;GH$391)),
IF($K410=INDIRECT(CONCATENATE("$V$"&amp;GH$392)),INDIRECT(CONCATENATE("$V$"&amp;GH$391)),
IF($K410=INDIRECT(CONCATENATE("$U$"&amp;GH$392)),INDIRECT(CONCATENATE("$U$"&amp;GH$391)),
IF($K410=INDIRECT(CONCATENATE("$T$"&amp;GH$392)),INDIRECT(CONCATENATE("$T$"&amp;GH$391)),
IF($K410=INDIRECT(CONCATENATE("$S$"&amp;GH$392)),INDIRECT(CONCATENATE("$S$"&amp;GH$391)),
IF($K410=INDIRECT(CONCATENATE("$R$"&amp;GH$392)),INDIRECT(CONCATENATE("$R$"&amp;GH$391)),
IF($K410=INDIRECT(CONCATENATE("$Q$"&amp;GH$392)),INDIRECT(CONCATENATE("$Q$"&amp;GH$391)),
IF($K410=INDIRECT(CONCATENATE("$P$"&amp;GH$392)),INDIRECT(CONCATENATE("$P$"&amp;GH$391)),
IF($K410=INDIRECT(CONCATENATE("$O$"&amp;GH$392)),INDIRECT(CONCATENATE("$O$"&amp;GH$391)),
IF($K410=INDIRECT(CONCATENATE("$N$"&amp;GH$392)),INDIRECT(CONCATENATE("$N$"&amp;GH$391)),
IF($K410=INDIRECT(CONCATENATE("$M$"&amp;GH$392)),INDIRECT(CONCATENATE("$M$"&amp;GH$391)),
IF($K410=INDIRECT(CONCATENATE("$L$"&amp;GH$392)),INDIRECT(CONCATENATE("$L$"&amp;GH$391)),
IF($K410=INDIRECT(CONCATENATE("$K$"&amp;GH$392)),INDIRECT(CONCATENATE("$K$"&amp;GH$391)),
IF($K410=INDIRECT(CONCATENATE("$J$"&amp;GH$392)),INDIRECT(CONCATENATE("$J$"&amp;GH$391)),
IF($K410=INDIRECT(CONCATENATE("$I$"&amp;GH$392)),INDIRECT(CONCATENATE("$I$"&amp;GH$391)),
IF($K410=INDIRECT(CONCATENATE("$H$"&amp;GH$392)),INDIRECT(CONCATENATE("$H$"&amp;GH$391)),
IF($K410=INDIRECT(CONCATENATE("$G$"&amp;GH$392)),INDIRECT(CONCATENATE("$G$"&amp;GH$391)),
IF($K410=INDIRECT(CONCATENATE("$F$"&amp;GH$392)),INDIRECT(CONCATENATE("$F$"&amp;GH$391)),
IF($K410=INDIRECT(CONCATENATE("$E$"&amp;GH$392)),INDIRECT(CONCATENATE("$E$"&amp;GH$391)),
IF($K410=INDIRECT(CONCATENATE("$D$"&amp;GH$392)),INDIRECT(CONCATENATE("$D$"&amp;GH$391)),
IF($K410=INDIRECT(CONCATENATE("$C$"&amp;GH$392)),INDIRECT(CONCATENATE("$C$"&amp;GH$391)),"X")))))))))))))))))))))))))))))))</f>
        <v>X</v>
      </c>
      <c r="MU410" s="58" t="str">
        <f t="shared" ca="1" si="1809"/>
        <v>X</v>
      </c>
      <c r="MV410" s="58" t="str">
        <f t="shared" ca="1" si="1809"/>
        <v>X</v>
      </c>
      <c r="MW410" s="58" t="str">
        <f t="shared" ca="1" si="1809"/>
        <v>X</v>
      </c>
      <c r="MX410" s="58" t="str">
        <f t="shared" ca="1" si="1809"/>
        <v>X</v>
      </c>
      <c r="MY410" s="58" t="str">
        <f t="shared" ca="1" si="1809"/>
        <v>X</v>
      </c>
      <c r="MZ410" s="58" t="str">
        <f t="shared" ca="1" si="1809"/>
        <v>X</v>
      </c>
      <c r="NA410" s="58" t="str">
        <f t="shared" ca="1" si="1809"/>
        <v>X</v>
      </c>
      <c r="NB410" s="58" t="str">
        <f t="shared" ca="1" si="1809"/>
        <v>X</v>
      </c>
      <c r="NC410" s="58" t="str">
        <f t="shared" ca="1" si="1809"/>
        <v>X</v>
      </c>
      <c r="ND410" s="58" t="str">
        <f t="shared" ca="1" si="1809"/>
        <v>X</v>
      </c>
      <c r="NE410" s="58" t="str">
        <f t="shared" ca="1" si="1809"/>
        <v>X</v>
      </c>
      <c r="NF410" s="58" t="str">
        <f t="shared" ca="1" si="1773"/>
        <v>X</v>
      </c>
      <c r="NG410" s="58" t="str">
        <f t="shared" ca="1" si="1774"/>
        <v>X</v>
      </c>
    </row>
    <row r="411" spans="1:371" ht="18" customHeight="1">
      <c r="A411" s="241"/>
      <c r="B411" s="304"/>
      <c r="C411" s="304"/>
      <c r="D411" s="304"/>
      <c r="E411" s="304"/>
      <c r="F411" s="304"/>
      <c r="G411" s="304"/>
      <c r="H411" s="304"/>
      <c r="I411" s="304"/>
      <c r="J411" s="303"/>
      <c r="K411" s="237" t="s">
        <v>84</v>
      </c>
      <c r="L411" s="303"/>
      <c r="M411" s="60"/>
      <c r="N411" s="225"/>
      <c r="O411" s="304"/>
      <c r="P411" s="304"/>
      <c r="Q411" s="304"/>
      <c r="R411" s="303"/>
      <c r="S411" s="226"/>
      <c r="T411" s="304"/>
      <c r="U411" s="303"/>
      <c r="V411" s="227"/>
      <c r="W411" s="303"/>
      <c r="X411" s="56" t="str">
        <f t="shared" ca="1" si="1775"/>
        <v>-</v>
      </c>
      <c r="Y411" s="56" t="str">
        <f t="shared" ca="1" si="1776"/>
        <v>-</v>
      </c>
      <c r="Z411" s="228" t="str">
        <f t="shared" ca="1" si="1612"/>
        <v/>
      </c>
      <c r="AA411" s="304"/>
      <c r="AB411" s="303"/>
      <c r="AC411" s="224">
        <f t="shared" si="1777"/>
        <v>0</v>
      </c>
      <c r="AD411" s="303"/>
      <c r="AE411" s="229">
        <f t="shared" si="1778"/>
        <v>0</v>
      </c>
      <c r="AF411" s="303"/>
      <c r="AG411" s="57" t="str">
        <f t="shared" si="1615"/>
        <v/>
      </c>
      <c r="AH411" s="21"/>
      <c r="AI411" s="70"/>
      <c r="AJ411" s="58" t="str">
        <f t="shared" ref="AJ411:GT411" ca="1" si="1810">IF($K411=INDIRECT(CONCATENATE("$C$"&amp;AJ$392)), INDIRECT(CONCATENATE("$C$"&amp;AJ$391)),
IF($K411=INDIRECT(CONCATENATE("$D$"&amp;AJ$392)), INDIRECT(CONCATENATE("$D$"&amp;AJ$391)),
IF($K411=INDIRECT(CONCATENATE("$E$"&amp;AJ$392)), INDIRECT(CONCATENATE("$E$"&amp;AJ$391)),
IF($K411=INDIRECT(CONCATENATE("$F$"&amp;AJ$392)), INDIRECT(CONCATENATE("$F$"&amp;AJ$391)),
IF($K411=INDIRECT(CONCATENATE("$G$"&amp;AJ$392)), INDIRECT(CONCATENATE("$G$"&amp;AJ$391)),
IF($K411=INDIRECT(CONCATENATE("$H$"&amp;AJ$392)), INDIRECT(CONCATENATE("$H$"&amp;AJ$391)),
IF($K411=INDIRECT(CONCATENATE("$I$"&amp;AJ$392)), INDIRECT(CONCATENATE("$I$"&amp;AJ$391)),
IF($K411=INDIRECT(CONCATENATE("$J$"&amp;AJ$392)), INDIRECT(CONCATENATE("$J$"&amp;AJ$391)),
IF($K411=INDIRECT(CONCATENATE("$K$"&amp;AJ$392)), INDIRECT(CONCATENATE("$K$"&amp;AJ$391)),
IF($K411=INDIRECT(CONCATENATE("$L$"&amp;AJ$392)), INDIRECT(CONCATENATE("$L$"&amp;AJ$391)),
IF($K411=INDIRECT(CONCATENATE("$M$"&amp;AJ$392)), INDIRECT(CONCATENATE("$M$"&amp;AJ$391)),
IF($K411=INDIRECT(CONCATENATE("$N$"&amp;AJ$392)), INDIRECT(CONCATENATE("$N$"&amp;AJ$391)),
IF($K411=INDIRECT(CONCATENATE("$O$"&amp;AJ$392)), INDIRECT(CONCATENATE("$O$"&amp;AJ$391)),
IF($K411=INDIRECT(CONCATENATE("$P$"&amp;AJ$392)), INDIRECT(CONCATENATE("$P$"&amp;AJ$391)),
IF($K411=INDIRECT(CONCATENATE("$Q$"&amp;AJ$392)), INDIRECT(CONCATENATE("$Q$"&amp;AJ$391)),
IF($K411=INDIRECT(CONCATENATE("$R$"&amp;AJ$392)), INDIRECT(CONCATENATE("$R$"&amp;AJ$391)),
IF($K411=INDIRECT(CONCATENATE("$S$"&amp;AJ$392)), INDIRECT(CONCATENATE("$S$"&amp;AJ$391)),
IF($K411=INDIRECT(CONCATENATE("$T$"&amp;AJ$392)), INDIRECT(CONCATENATE("$T$"&amp;AJ$391)),
IF($K411=INDIRECT(CONCATENATE("$U$"&amp;AJ$392)), INDIRECT(CONCATENATE("$U$"&amp;AJ$391)),
IF($K411=INDIRECT(CONCATENATE("$V$"&amp;AJ$392)), INDIRECT(CONCATENATE("$V$"&amp;AJ$391)),
IF($K411=INDIRECT(CONCATENATE("$W$"&amp;AJ$392)), INDIRECT(CONCATENATE("$W$"&amp;AJ$391)),
IF($K411=INDIRECT(CONCATENATE("$X$"&amp;AJ$392)), INDIRECT(CONCATENATE("$X$"&amp;AJ$391)),
IF($K411=INDIRECT(CONCATENATE("$Y$"&amp;AJ$392)), INDIRECT(CONCATENATE("$Y$"&amp;AJ$391)),
IF($K411=INDIRECT(CONCATENATE("$Z$"&amp;AJ$392)), INDIRECT(CONCATENATE("$Z$"&amp;AJ$391)),
IF($K411=INDIRECT(CONCATENATE("$AA$"&amp;AJ$392)), INDIRECT(CONCATENATE("$AA$"&amp;AJ$391)),
IF($K411=INDIRECT(CONCATENATE("$AB$"&amp;AJ$392)), INDIRECT(CONCATENATE("$AB$"&amp;AJ$391)),
IF($K411=INDIRECT(CONCATENATE("$AC$"&amp;AJ$392)), INDIRECT(CONCATENATE("$AC$"&amp;AJ$391)),
IF($K411=INDIRECT(CONCATENATE("$AD$"&amp;AJ$392)), INDIRECT(CONCATENATE("$AD$"&amp;AJ$391)),
IF($K411=INDIRECT(CONCATENATE("$AE$"&amp;AJ$392)), INDIRECT(CONCATENATE("$AE$"&amp;AJ$391)),
IF($K411=INDIRECT(CONCATENATE("$AF$"&amp;AJ$392)), INDIRECT(CONCATENATE("$AF$"&amp;AJ$391)),
IF($K411=INDIRECT(CONCATENATE("$AG$"&amp;AJ$392)), INDIRECT(CONCATENATE("$AG$"&amp;AJ$391)),"X")))))))))))))))))))))))))))))))</f>
        <v>X</v>
      </c>
      <c r="AK411" s="58" t="str">
        <f t="shared" ca="1" si="1810"/>
        <v>X</v>
      </c>
      <c r="AL411" s="58" t="str">
        <f t="shared" ca="1" si="1810"/>
        <v>X</v>
      </c>
      <c r="AM411" s="58" t="str">
        <f t="shared" ca="1" si="1810"/>
        <v>X</v>
      </c>
      <c r="AN411" s="58" t="str">
        <f t="shared" ca="1" si="1810"/>
        <v>X</v>
      </c>
      <c r="AO411" s="58" t="str">
        <f t="shared" ca="1" si="1810"/>
        <v>X</v>
      </c>
      <c r="AP411" s="58" t="str">
        <f t="shared" ca="1" si="1810"/>
        <v>X</v>
      </c>
      <c r="AQ411" s="58" t="str">
        <f t="shared" ca="1" si="1810"/>
        <v>X</v>
      </c>
      <c r="AR411" s="58" t="str">
        <f t="shared" ca="1" si="1810"/>
        <v>X</v>
      </c>
      <c r="AS411" s="58" t="str">
        <f t="shared" ca="1" si="1810"/>
        <v>X</v>
      </c>
      <c r="AT411" s="58" t="str">
        <f t="shared" ca="1" si="1810"/>
        <v>X</v>
      </c>
      <c r="AU411" s="58" t="str">
        <f t="shared" ca="1" si="1810"/>
        <v>X</v>
      </c>
      <c r="AV411" s="58" t="str">
        <f t="shared" ca="1" si="1810"/>
        <v>X</v>
      </c>
      <c r="AW411" s="58" t="str">
        <f t="shared" ca="1" si="1810"/>
        <v>X</v>
      </c>
      <c r="AX411" s="58" t="str">
        <f t="shared" ca="1" si="1810"/>
        <v>X</v>
      </c>
      <c r="AY411" s="58" t="str">
        <f t="shared" ca="1" si="1810"/>
        <v>X</v>
      </c>
      <c r="AZ411" s="58" t="str">
        <f t="shared" ca="1" si="1810"/>
        <v>X</v>
      </c>
      <c r="BA411" s="58" t="str">
        <f t="shared" ca="1" si="1810"/>
        <v>X</v>
      </c>
      <c r="BB411" s="58" t="str">
        <f t="shared" ca="1" si="1810"/>
        <v>X</v>
      </c>
      <c r="BC411" s="58" t="str">
        <f t="shared" ca="1" si="1810"/>
        <v>X</v>
      </c>
      <c r="BD411" s="58" t="str">
        <f t="shared" ca="1" si="1810"/>
        <v>X</v>
      </c>
      <c r="BE411" s="58" t="str">
        <f t="shared" ca="1" si="1810"/>
        <v>X</v>
      </c>
      <c r="BF411" s="58" t="str">
        <f t="shared" ca="1" si="1810"/>
        <v>X</v>
      </c>
      <c r="BG411" s="58" t="str">
        <f t="shared" ca="1" si="1810"/>
        <v>X</v>
      </c>
      <c r="BH411" s="58" t="str">
        <f t="shared" ca="1" si="1810"/>
        <v>X</v>
      </c>
      <c r="BI411" s="58" t="str">
        <f t="shared" ca="1" si="1810"/>
        <v>X</v>
      </c>
      <c r="BJ411" s="58" t="str">
        <f t="shared" ca="1" si="1810"/>
        <v>X</v>
      </c>
      <c r="BK411" s="58" t="str">
        <f t="shared" ca="1" si="1810"/>
        <v>X</v>
      </c>
      <c r="BL411" s="58" t="str">
        <f t="shared" ca="1" si="1810"/>
        <v>X</v>
      </c>
      <c r="BM411" s="58" t="str">
        <f t="shared" ca="1" si="1810"/>
        <v>X</v>
      </c>
      <c r="BN411" s="58" t="str">
        <f t="shared" ca="1" si="1810"/>
        <v>X</v>
      </c>
      <c r="BO411" s="58" t="str">
        <f t="shared" ca="1" si="1810"/>
        <v>X</v>
      </c>
      <c r="BP411" s="58" t="str">
        <f t="shared" ca="1" si="1810"/>
        <v>X</v>
      </c>
      <c r="BQ411" s="58" t="str">
        <f t="shared" ca="1" si="1810"/>
        <v>X</v>
      </c>
      <c r="BR411" s="58" t="str">
        <f t="shared" ca="1" si="1810"/>
        <v>X</v>
      </c>
      <c r="BS411" s="58" t="str">
        <f t="shared" ca="1" si="1810"/>
        <v>X</v>
      </c>
      <c r="BT411" s="58" t="str">
        <f t="shared" ca="1" si="1810"/>
        <v>X</v>
      </c>
      <c r="BU411" s="58" t="str">
        <f t="shared" ca="1" si="1810"/>
        <v>X</v>
      </c>
      <c r="BV411" s="58" t="str">
        <f t="shared" ca="1" si="1810"/>
        <v>X</v>
      </c>
      <c r="BW411" s="58" t="str">
        <f t="shared" ca="1" si="1810"/>
        <v>X</v>
      </c>
      <c r="BX411" s="58" t="str">
        <f t="shared" ca="1" si="1810"/>
        <v>X</v>
      </c>
      <c r="BY411" s="58" t="str">
        <f t="shared" ca="1" si="1810"/>
        <v>X</v>
      </c>
      <c r="BZ411" s="58" t="str">
        <f t="shared" ca="1" si="1810"/>
        <v>X</v>
      </c>
      <c r="CA411" s="58" t="str">
        <f t="shared" ca="1" si="1810"/>
        <v>X</v>
      </c>
      <c r="CB411" s="58" t="str">
        <f t="shared" ca="1" si="1810"/>
        <v>X</v>
      </c>
      <c r="CC411" s="58" t="str">
        <f t="shared" ca="1" si="1810"/>
        <v>X</v>
      </c>
      <c r="CD411" s="58" t="str">
        <f t="shared" ca="1" si="1810"/>
        <v>X</v>
      </c>
      <c r="CE411" s="58" t="str">
        <f t="shared" ca="1" si="1810"/>
        <v>X</v>
      </c>
      <c r="CF411" s="58" t="str">
        <f t="shared" ca="1" si="1810"/>
        <v>X</v>
      </c>
      <c r="CG411" s="58" t="str">
        <f t="shared" ca="1" si="1810"/>
        <v>X</v>
      </c>
      <c r="CH411" s="58" t="str">
        <f t="shared" ca="1" si="1810"/>
        <v>X</v>
      </c>
      <c r="CI411" s="58" t="str">
        <f t="shared" ca="1" si="1810"/>
        <v>X</v>
      </c>
      <c r="CJ411" s="58" t="str">
        <f t="shared" ca="1" si="1810"/>
        <v>X</v>
      </c>
      <c r="CK411" s="58" t="str">
        <f t="shared" ca="1" si="1810"/>
        <v>X</v>
      </c>
      <c r="CL411" s="58" t="str">
        <f t="shared" ca="1" si="1810"/>
        <v>X</v>
      </c>
      <c r="CM411" s="58" t="str">
        <f t="shared" ca="1" si="1810"/>
        <v>X</v>
      </c>
      <c r="CN411" s="58" t="str">
        <f t="shared" ca="1" si="1810"/>
        <v>X</v>
      </c>
      <c r="CO411" s="58" t="str">
        <f t="shared" ca="1" si="1810"/>
        <v>X</v>
      </c>
      <c r="CP411" s="58" t="str">
        <f t="shared" ca="1" si="1810"/>
        <v>X</v>
      </c>
      <c r="CQ411" s="58" t="str">
        <f t="shared" ca="1" si="1810"/>
        <v>X</v>
      </c>
      <c r="CR411" s="58" t="str">
        <f t="shared" ca="1" si="1810"/>
        <v>X</v>
      </c>
      <c r="CS411" s="58" t="str">
        <f t="shared" ca="1" si="1810"/>
        <v>X</v>
      </c>
      <c r="CT411" s="58" t="str">
        <f t="shared" ca="1" si="1810"/>
        <v>X</v>
      </c>
      <c r="CU411" s="58" t="str">
        <f t="shared" ca="1" si="1810"/>
        <v>X</v>
      </c>
      <c r="CV411" s="58" t="str">
        <f t="shared" ca="1" si="1810"/>
        <v>X</v>
      </c>
      <c r="CW411" s="58" t="str">
        <f t="shared" ca="1" si="1810"/>
        <v>X</v>
      </c>
      <c r="CX411" s="58" t="str">
        <f t="shared" ca="1" si="1810"/>
        <v>X</v>
      </c>
      <c r="CY411" s="58" t="str">
        <f t="shared" ca="1" si="1810"/>
        <v>X</v>
      </c>
      <c r="CZ411" s="58" t="str">
        <f t="shared" ca="1" si="1810"/>
        <v>X</v>
      </c>
      <c r="DA411" s="58" t="str">
        <f t="shared" ca="1" si="1810"/>
        <v>X</v>
      </c>
      <c r="DB411" s="58" t="str">
        <f t="shared" ca="1" si="1810"/>
        <v>X</v>
      </c>
      <c r="DC411" s="58" t="str">
        <f t="shared" ca="1" si="1810"/>
        <v>X</v>
      </c>
      <c r="DD411" s="58" t="str">
        <f t="shared" ca="1" si="1810"/>
        <v>X</v>
      </c>
      <c r="DE411" s="58" t="str">
        <f t="shared" ca="1" si="1810"/>
        <v>X</v>
      </c>
      <c r="DF411" s="58" t="str">
        <f t="shared" ca="1" si="1810"/>
        <v>X</v>
      </c>
      <c r="DG411" s="58" t="str">
        <f t="shared" ca="1" si="1810"/>
        <v>X</v>
      </c>
      <c r="DH411" s="58" t="str">
        <f t="shared" ca="1" si="1810"/>
        <v>X</v>
      </c>
      <c r="DI411" s="58" t="str">
        <f t="shared" ca="1" si="1810"/>
        <v>X</v>
      </c>
      <c r="DJ411" s="58" t="str">
        <f t="shared" ca="1" si="1810"/>
        <v>X</v>
      </c>
      <c r="DK411" s="58" t="str">
        <f t="shared" ca="1" si="1810"/>
        <v>X</v>
      </c>
      <c r="DL411" s="58" t="str">
        <f t="shared" ca="1" si="1810"/>
        <v>X</v>
      </c>
      <c r="DM411" s="58" t="str">
        <f t="shared" ca="1" si="1810"/>
        <v>X</v>
      </c>
      <c r="DN411" s="58" t="str">
        <f t="shared" ca="1" si="1810"/>
        <v>X</v>
      </c>
      <c r="DO411" s="58" t="str">
        <f t="shared" ca="1" si="1810"/>
        <v>X</v>
      </c>
      <c r="DP411" s="58" t="str">
        <f t="shared" ca="1" si="1810"/>
        <v>X</v>
      </c>
      <c r="DQ411" s="58" t="str">
        <f t="shared" ca="1" si="1810"/>
        <v>X</v>
      </c>
      <c r="DR411" s="58" t="str">
        <f t="shared" ca="1" si="1810"/>
        <v>X</v>
      </c>
      <c r="DS411" s="58" t="str">
        <f t="shared" ca="1" si="1810"/>
        <v>X</v>
      </c>
      <c r="DT411" s="58" t="str">
        <f t="shared" ca="1" si="1810"/>
        <v>X</v>
      </c>
      <c r="DU411" s="58" t="str">
        <f t="shared" ca="1" si="1810"/>
        <v>X</v>
      </c>
      <c r="DV411" s="58" t="str">
        <f t="shared" ca="1" si="1810"/>
        <v>X</v>
      </c>
      <c r="DW411" s="58" t="str">
        <f t="shared" ca="1" si="1810"/>
        <v>X</v>
      </c>
      <c r="DX411" s="58" t="str">
        <f t="shared" ca="1" si="1810"/>
        <v>X</v>
      </c>
      <c r="DY411" s="58" t="str">
        <f t="shared" ca="1" si="1810"/>
        <v>X</v>
      </c>
      <c r="DZ411" s="58" t="str">
        <f t="shared" ca="1" si="1810"/>
        <v>X</v>
      </c>
      <c r="EA411" s="58" t="str">
        <f t="shared" ca="1" si="1810"/>
        <v>X</v>
      </c>
      <c r="EB411" s="58" t="str">
        <f t="shared" ca="1" si="1810"/>
        <v>X</v>
      </c>
      <c r="EC411" s="58" t="str">
        <f t="shared" ca="1" si="1810"/>
        <v>X</v>
      </c>
      <c r="ED411" s="58" t="str">
        <f t="shared" ca="1" si="1810"/>
        <v>X</v>
      </c>
      <c r="EE411" s="58" t="str">
        <f t="shared" ca="1" si="1810"/>
        <v>X</v>
      </c>
      <c r="EF411" s="58" t="str">
        <f t="shared" ca="1" si="1810"/>
        <v>X</v>
      </c>
      <c r="EG411" s="58" t="str">
        <f t="shared" ca="1" si="1810"/>
        <v>X</v>
      </c>
      <c r="EH411" s="58" t="str">
        <f t="shared" ca="1" si="1810"/>
        <v>X</v>
      </c>
      <c r="EI411" s="58" t="str">
        <f t="shared" ca="1" si="1810"/>
        <v>X</v>
      </c>
      <c r="EJ411" s="58" t="str">
        <f t="shared" ca="1" si="1810"/>
        <v>X</v>
      </c>
      <c r="EK411" s="58" t="str">
        <f t="shared" ca="1" si="1810"/>
        <v>X</v>
      </c>
      <c r="EL411" s="58" t="str">
        <f t="shared" ca="1" si="1810"/>
        <v>X</v>
      </c>
      <c r="EM411" s="58" t="str">
        <f t="shared" ca="1" si="1810"/>
        <v>X</v>
      </c>
      <c r="EN411" s="58" t="str">
        <f t="shared" ca="1" si="1810"/>
        <v>X</v>
      </c>
      <c r="EO411" s="58" t="str">
        <f t="shared" ca="1" si="1810"/>
        <v>X</v>
      </c>
      <c r="EP411" s="58" t="str">
        <f t="shared" ca="1" si="1810"/>
        <v>X</v>
      </c>
      <c r="EQ411" s="58" t="str">
        <f t="shared" ca="1" si="1810"/>
        <v>X</v>
      </c>
      <c r="ER411" s="58" t="str">
        <f t="shared" ca="1" si="1810"/>
        <v>X</v>
      </c>
      <c r="ES411" s="58" t="str">
        <f t="shared" ca="1" si="1810"/>
        <v>X</v>
      </c>
      <c r="ET411" s="58" t="str">
        <f t="shared" ca="1" si="1810"/>
        <v>X</v>
      </c>
      <c r="EU411" s="58" t="str">
        <f t="shared" ca="1" si="1810"/>
        <v>X</v>
      </c>
      <c r="EV411" s="58" t="str">
        <f t="shared" ca="1" si="1810"/>
        <v>X</v>
      </c>
      <c r="EW411" s="58" t="str">
        <f t="shared" ca="1" si="1810"/>
        <v>X</v>
      </c>
      <c r="EX411" s="58" t="str">
        <f t="shared" ca="1" si="1810"/>
        <v>X</v>
      </c>
      <c r="EY411" s="58" t="str">
        <f t="shared" ca="1" si="1810"/>
        <v>X</v>
      </c>
      <c r="EZ411" s="58" t="str">
        <f t="shared" ca="1" si="1810"/>
        <v>X</v>
      </c>
      <c r="FA411" s="58" t="str">
        <f t="shared" ca="1" si="1810"/>
        <v>X</v>
      </c>
      <c r="FB411" s="58" t="str">
        <f t="shared" ca="1" si="1810"/>
        <v>X</v>
      </c>
      <c r="FC411" s="58" t="str">
        <f t="shared" ca="1" si="1810"/>
        <v>X</v>
      </c>
      <c r="FD411" s="58" t="str">
        <f t="shared" ca="1" si="1810"/>
        <v>X</v>
      </c>
      <c r="FE411" s="58" t="str">
        <f t="shared" ca="1" si="1810"/>
        <v>X</v>
      </c>
      <c r="FF411" s="58" t="str">
        <f t="shared" ca="1" si="1810"/>
        <v>X</v>
      </c>
      <c r="FG411" s="58" t="str">
        <f t="shared" ca="1" si="1810"/>
        <v>X</v>
      </c>
      <c r="FH411" s="58" t="str">
        <f t="shared" ca="1" si="1810"/>
        <v>X</v>
      </c>
      <c r="FI411" s="58" t="str">
        <f t="shared" ca="1" si="1810"/>
        <v>X</v>
      </c>
      <c r="FJ411" s="58" t="str">
        <f t="shared" ca="1" si="1810"/>
        <v>X</v>
      </c>
      <c r="FK411" s="58" t="str">
        <f t="shared" ca="1" si="1810"/>
        <v>X</v>
      </c>
      <c r="FL411" s="58" t="str">
        <f t="shared" ca="1" si="1810"/>
        <v>X</v>
      </c>
      <c r="FM411" s="58" t="str">
        <f t="shared" ca="1" si="1810"/>
        <v>X</v>
      </c>
      <c r="FN411" s="58" t="str">
        <f t="shared" ca="1" si="1810"/>
        <v>X</v>
      </c>
      <c r="FO411" s="58" t="str">
        <f t="shared" ca="1" si="1810"/>
        <v>X</v>
      </c>
      <c r="FP411" s="58" t="str">
        <f t="shared" ca="1" si="1810"/>
        <v>X</v>
      </c>
      <c r="FQ411" s="58" t="str">
        <f t="shared" ca="1" si="1810"/>
        <v>X</v>
      </c>
      <c r="FR411" s="58" t="str">
        <f t="shared" ca="1" si="1810"/>
        <v>X</v>
      </c>
      <c r="FS411" s="58" t="str">
        <f t="shared" ca="1" si="1810"/>
        <v>X</v>
      </c>
      <c r="FT411" s="58" t="str">
        <f t="shared" ca="1" si="1810"/>
        <v>X</v>
      </c>
      <c r="FU411" s="58" t="str">
        <f t="shared" ca="1" si="1810"/>
        <v>X</v>
      </c>
      <c r="FV411" s="58" t="str">
        <f t="shared" ca="1" si="1810"/>
        <v>X</v>
      </c>
      <c r="FW411" s="58" t="str">
        <f t="shared" ca="1" si="1810"/>
        <v>X</v>
      </c>
      <c r="FX411" s="58" t="str">
        <f t="shared" ca="1" si="1810"/>
        <v>X</v>
      </c>
      <c r="FY411" s="58" t="str">
        <f t="shared" ca="1" si="1810"/>
        <v>X</v>
      </c>
      <c r="FZ411" s="58" t="str">
        <f t="shared" ca="1" si="1810"/>
        <v>X</v>
      </c>
      <c r="GA411" s="58" t="str">
        <f t="shared" ca="1" si="1810"/>
        <v>X</v>
      </c>
      <c r="GB411" s="58" t="str">
        <f t="shared" ca="1" si="1810"/>
        <v>X</v>
      </c>
      <c r="GC411" s="58" t="str">
        <f t="shared" ca="1" si="1810"/>
        <v>X</v>
      </c>
      <c r="GD411" s="58" t="str">
        <f t="shared" ca="1" si="1810"/>
        <v>X</v>
      </c>
      <c r="GE411" s="58" t="str">
        <f t="shared" ca="1" si="1810"/>
        <v>X</v>
      </c>
      <c r="GF411" s="58" t="str">
        <f t="shared" ca="1" si="1810"/>
        <v>X</v>
      </c>
      <c r="GG411" s="58" t="str">
        <f t="shared" ca="1" si="1810"/>
        <v>X</v>
      </c>
      <c r="GH411" s="58" t="str">
        <f t="shared" ca="1" si="1810"/>
        <v>X</v>
      </c>
      <c r="GI411" s="58" t="str">
        <f t="shared" ca="1" si="1810"/>
        <v>X</v>
      </c>
      <c r="GJ411" s="58" t="str">
        <f t="shared" ca="1" si="1810"/>
        <v>X</v>
      </c>
      <c r="GK411" s="58" t="str">
        <f t="shared" ca="1" si="1810"/>
        <v>X</v>
      </c>
      <c r="GL411" s="58" t="str">
        <f t="shared" ca="1" si="1810"/>
        <v>X</v>
      </c>
      <c r="GM411" s="58" t="str">
        <f t="shared" ca="1" si="1810"/>
        <v>X</v>
      </c>
      <c r="GN411" s="58" t="str">
        <f t="shared" ca="1" si="1810"/>
        <v>X</v>
      </c>
      <c r="GO411" s="58" t="str">
        <f t="shared" ca="1" si="1810"/>
        <v>X</v>
      </c>
      <c r="GP411" s="58" t="str">
        <f t="shared" ca="1" si="1810"/>
        <v>X</v>
      </c>
      <c r="GQ411" s="58" t="str">
        <f t="shared" ca="1" si="1810"/>
        <v>X</v>
      </c>
      <c r="GR411" s="58" t="str">
        <f t="shared" ca="1" si="1810"/>
        <v>X</v>
      </c>
      <c r="GS411" s="80" t="str">
        <f t="shared" ca="1" si="1810"/>
        <v>X</v>
      </c>
      <c r="GT411" s="58" t="str">
        <f t="shared" ca="1" si="1810"/>
        <v>X</v>
      </c>
      <c r="GU411" s="82" t="str">
        <f t="shared" ca="1" si="1617"/>
        <v>X</v>
      </c>
      <c r="GV411" s="58" t="str">
        <f t="shared" ca="1" si="1618"/>
        <v>X</v>
      </c>
      <c r="GW411" s="58" t="str">
        <f t="shared" ca="1" si="1619"/>
        <v>X</v>
      </c>
      <c r="GX411" s="58" t="str">
        <f t="shared" ca="1" si="1620"/>
        <v>X</v>
      </c>
      <c r="GY411" s="58" t="str">
        <f t="shared" ca="1" si="1621"/>
        <v>X</v>
      </c>
      <c r="GZ411" s="58" t="str">
        <f t="shared" ca="1" si="1622"/>
        <v>X</v>
      </c>
      <c r="HA411" s="58" t="str">
        <f t="shared" ca="1" si="1623"/>
        <v>X</v>
      </c>
      <c r="HB411" s="58" t="str">
        <f t="shared" ca="1" si="1624"/>
        <v>X</v>
      </c>
      <c r="HC411" s="58" t="str">
        <f t="shared" ca="1" si="1625"/>
        <v>X</v>
      </c>
      <c r="HD411" s="58" t="str">
        <f t="shared" ca="1" si="1626"/>
        <v>X</v>
      </c>
      <c r="HE411" s="58" t="str">
        <f t="shared" ca="1" si="1627"/>
        <v>X</v>
      </c>
      <c r="HF411" s="58" t="str">
        <f t="shared" ca="1" si="1628"/>
        <v>X</v>
      </c>
      <c r="HG411" s="58" t="str">
        <f t="shared" ca="1" si="1629"/>
        <v>X</v>
      </c>
      <c r="HH411" s="58" t="str">
        <f t="shared" ca="1" si="1630"/>
        <v>X</v>
      </c>
      <c r="HI411" s="58" t="str">
        <f t="shared" ca="1" si="1631"/>
        <v>X</v>
      </c>
      <c r="HJ411" s="58" t="str">
        <f t="shared" ca="1" si="1632"/>
        <v>X</v>
      </c>
      <c r="HK411" s="58" t="str">
        <f t="shared" ca="1" si="1633"/>
        <v>X</v>
      </c>
      <c r="HL411" s="58" t="str">
        <f t="shared" ca="1" si="1634"/>
        <v>X</v>
      </c>
      <c r="HM411" s="58" t="str">
        <f t="shared" ca="1" si="1635"/>
        <v>X</v>
      </c>
      <c r="HN411" s="58" t="str">
        <f t="shared" ca="1" si="1636"/>
        <v>X</v>
      </c>
      <c r="HO411" s="58" t="str">
        <f t="shared" ca="1" si="1637"/>
        <v>X</v>
      </c>
      <c r="HP411" s="58" t="str">
        <f t="shared" ca="1" si="1638"/>
        <v>X</v>
      </c>
      <c r="HQ411" s="58" t="str">
        <f t="shared" ca="1" si="1639"/>
        <v>X</v>
      </c>
      <c r="HR411" s="58" t="str">
        <f t="shared" ca="1" si="1640"/>
        <v>X</v>
      </c>
      <c r="HS411" s="58" t="str">
        <f t="shared" ca="1" si="1641"/>
        <v>X</v>
      </c>
      <c r="HT411" s="58" t="str">
        <f t="shared" ca="1" si="1642"/>
        <v>X</v>
      </c>
      <c r="HU411" s="58" t="str">
        <f t="shared" ca="1" si="1643"/>
        <v>X</v>
      </c>
      <c r="HV411" s="58" t="str">
        <f t="shared" ca="1" si="1644"/>
        <v>X</v>
      </c>
      <c r="HW411" s="58" t="str">
        <f t="shared" ca="1" si="1645"/>
        <v>X</v>
      </c>
      <c r="HX411" s="58" t="str">
        <f t="shared" ca="1" si="1646"/>
        <v>X</v>
      </c>
      <c r="HY411" s="58" t="str">
        <f t="shared" ca="1" si="1647"/>
        <v>X</v>
      </c>
      <c r="HZ411" s="58" t="str">
        <f t="shared" ca="1" si="1648"/>
        <v>X</v>
      </c>
      <c r="IA411" s="58" t="str">
        <f t="shared" ca="1" si="1649"/>
        <v>X</v>
      </c>
      <c r="IB411" s="58" t="str">
        <f t="shared" ca="1" si="1650"/>
        <v>X</v>
      </c>
      <c r="IC411" s="58" t="str">
        <f t="shared" ca="1" si="1651"/>
        <v>X</v>
      </c>
      <c r="ID411" s="58" t="str">
        <f t="shared" ca="1" si="1652"/>
        <v>X</v>
      </c>
      <c r="IE411" s="58" t="str">
        <f t="shared" ca="1" si="1653"/>
        <v>X</v>
      </c>
      <c r="IF411" s="58" t="str">
        <f t="shared" ca="1" si="1654"/>
        <v>X</v>
      </c>
      <c r="IG411" s="58" t="str">
        <f t="shared" ca="1" si="1655"/>
        <v>X</v>
      </c>
      <c r="IH411" s="58" t="str">
        <f t="shared" ca="1" si="1656"/>
        <v>X</v>
      </c>
      <c r="II411" s="58" t="str">
        <f t="shared" ca="1" si="1657"/>
        <v>X</v>
      </c>
      <c r="IJ411" s="58" t="str">
        <f t="shared" ca="1" si="1658"/>
        <v>X</v>
      </c>
      <c r="IK411" s="58" t="str">
        <f t="shared" ca="1" si="1659"/>
        <v>X</v>
      </c>
      <c r="IL411" s="58" t="str">
        <f t="shared" ca="1" si="1660"/>
        <v>X</v>
      </c>
      <c r="IM411" s="58" t="str">
        <f t="shared" ca="1" si="1661"/>
        <v>X</v>
      </c>
      <c r="IN411" s="58" t="str">
        <f t="shared" ca="1" si="1662"/>
        <v>X</v>
      </c>
      <c r="IO411" s="58" t="str">
        <f t="shared" ca="1" si="1663"/>
        <v>X</v>
      </c>
      <c r="IP411" s="58" t="str">
        <f t="shared" ca="1" si="1664"/>
        <v>X</v>
      </c>
      <c r="IQ411" s="58" t="str">
        <f t="shared" ca="1" si="1665"/>
        <v>X</v>
      </c>
      <c r="IR411" s="58" t="str">
        <f t="shared" ca="1" si="1666"/>
        <v>X</v>
      </c>
      <c r="IS411" s="58" t="str">
        <f t="shared" ca="1" si="1667"/>
        <v>X</v>
      </c>
      <c r="IT411" s="58" t="str">
        <f t="shared" ca="1" si="1668"/>
        <v>X</v>
      </c>
      <c r="IU411" s="58" t="str">
        <f t="shared" ca="1" si="1669"/>
        <v>X</v>
      </c>
      <c r="IV411" s="58" t="str">
        <f t="shared" ca="1" si="1670"/>
        <v>X</v>
      </c>
      <c r="IW411" s="58" t="str">
        <f t="shared" ca="1" si="1671"/>
        <v>X</v>
      </c>
      <c r="IX411" s="58" t="str">
        <f t="shared" ca="1" si="1672"/>
        <v>X</v>
      </c>
      <c r="IY411" s="58" t="str">
        <f t="shared" ca="1" si="1673"/>
        <v>X</v>
      </c>
      <c r="IZ411" s="58" t="str">
        <f t="shared" ca="1" si="1674"/>
        <v>X</v>
      </c>
      <c r="JA411" s="58" t="str">
        <f t="shared" ca="1" si="1675"/>
        <v>X</v>
      </c>
      <c r="JB411" s="58" t="str">
        <f t="shared" ca="1" si="1676"/>
        <v>X</v>
      </c>
      <c r="JC411" s="58" t="str">
        <f t="shared" ca="1" si="1677"/>
        <v>X</v>
      </c>
      <c r="JD411" s="58" t="str">
        <f t="shared" ca="1" si="1678"/>
        <v>X</v>
      </c>
      <c r="JE411" s="58" t="str">
        <f t="shared" ca="1" si="1679"/>
        <v>X</v>
      </c>
      <c r="JF411" s="58" t="str">
        <f t="shared" ca="1" si="1680"/>
        <v>X</v>
      </c>
      <c r="JG411" s="58" t="str">
        <f t="shared" ca="1" si="1681"/>
        <v>X</v>
      </c>
      <c r="JH411" s="58" t="str">
        <f t="shared" ca="1" si="1682"/>
        <v>X</v>
      </c>
      <c r="JI411" s="58" t="str">
        <f t="shared" ca="1" si="1683"/>
        <v>X</v>
      </c>
      <c r="JJ411" s="58" t="str">
        <f t="shared" ca="1" si="1684"/>
        <v>X</v>
      </c>
      <c r="JK411" s="58" t="str">
        <f t="shared" ca="1" si="1685"/>
        <v>X</v>
      </c>
      <c r="JL411" s="58" t="str">
        <f t="shared" ca="1" si="1686"/>
        <v>X</v>
      </c>
      <c r="JM411" s="58" t="str">
        <f t="shared" ca="1" si="1687"/>
        <v>X</v>
      </c>
      <c r="JN411" s="58" t="str">
        <f t="shared" ca="1" si="1688"/>
        <v>X</v>
      </c>
      <c r="JO411" s="58" t="str">
        <f t="shared" ca="1" si="1689"/>
        <v>X</v>
      </c>
      <c r="JP411" s="58" t="str">
        <f t="shared" ca="1" si="1690"/>
        <v>X</v>
      </c>
      <c r="JQ411" s="58" t="str">
        <f t="shared" ca="1" si="1691"/>
        <v>X</v>
      </c>
      <c r="JR411" s="58" t="str">
        <f t="shared" ca="1" si="1692"/>
        <v>X</v>
      </c>
      <c r="JS411" s="58" t="str">
        <f t="shared" ca="1" si="1693"/>
        <v>X</v>
      </c>
      <c r="JT411" s="58" t="str">
        <f t="shared" ca="1" si="1694"/>
        <v>X</v>
      </c>
      <c r="JU411" s="58" t="str">
        <f t="shared" ca="1" si="1695"/>
        <v>X</v>
      </c>
      <c r="JV411" s="58" t="str">
        <f t="shared" ca="1" si="1696"/>
        <v>X</v>
      </c>
      <c r="JW411" s="58" t="str">
        <f t="shared" ca="1" si="1697"/>
        <v>X</v>
      </c>
      <c r="JX411" s="58" t="str">
        <f t="shared" ca="1" si="1698"/>
        <v>X</v>
      </c>
      <c r="JY411" s="58" t="str">
        <f t="shared" ca="1" si="1699"/>
        <v>X</v>
      </c>
      <c r="JZ411" s="58" t="str">
        <f t="shared" ca="1" si="1700"/>
        <v>X</v>
      </c>
      <c r="KA411" s="58" t="str">
        <f t="shared" ca="1" si="1701"/>
        <v>X</v>
      </c>
      <c r="KB411" s="58" t="str">
        <f t="shared" ca="1" si="1702"/>
        <v>X</v>
      </c>
      <c r="KC411" s="58" t="str">
        <f t="shared" ca="1" si="1703"/>
        <v>X</v>
      </c>
      <c r="KD411" s="58" t="str">
        <f t="shared" ca="1" si="1704"/>
        <v>X</v>
      </c>
      <c r="KE411" s="58" t="str">
        <f t="shared" ca="1" si="1705"/>
        <v>X</v>
      </c>
      <c r="KF411" s="58" t="str">
        <f t="shared" ca="1" si="1706"/>
        <v>X</v>
      </c>
      <c r="KG411" s="58" t="str">
        <f t="shared" ca="1" si="1707"/>
        <v>X</v>
      </c>
      <c r="KH411" s="58" t="str">
        <f t="shared" ca="1" si="1708"/>
        <v>X</v>
      </c>
      <c r="KI411" s="58" t="str">
        <f t="shared" ca="1" si="1709"/>
        <v>X</v>
      </c>
      <c r="KJ411" s="58" t="str">
        <f t="shared" ca="1" si="1710"/>
        <v>X</v>
      </c>
      <c r="KK411" s="58" t="str">
        <f t="shared" ca="1" si="1711"/>
        <v>X</v>
      </c>
      <c r="KL411" s="58" t="str">
        <f t="shared" ca="1" si="1712"/>
        <v>X</v>
      </c>
      <c r="KM411" s="58" t="str">
        <f t="shared" ca="1" si="1713"/>
        <v>X</v>
      </c>
      <c r="KN411" s="58" t="str">
        <f t="shared" ca="1" si="1714"/>
        <v>X</v>
      </c>
      <c r="KO411" s="58" t="str">
        <f t="shared" ca="1" si="1715"/>
        <v>X</v>
      </c>
      <c r="KP411" s="58" t="str">
        <f t="shared" ca="1" si="1716"/>
        <v>X</v>
      </c>
      <c r="KQ411" s="58" t="str">
        <f t="shared" ca="1" si="1717"/>
        <v>X</v>
      </c>
      <c r="KR411" s="58" t="str">
        <f t="shared" ca="1" si="1718"/>
        <v>X</v>
      </c>
      <c r="KS411" s="58" t="str">
        <f t="shared" ca="1" si="1719"/>
        <v>X</v>
      </c>
      <c r="KT411" s="58" t="str">
        <f t="shared" ca="1" si="1720"/>
        <v>X</v>
      </c>
      <c r="KU411" s="58" t="str">
        <f t="shared" ca="1" si="1721"/>
        <v>X</v>
      </c>
      <c r="KV411" s="58" t="str">
        <f t="shared" ca="1" si="1722"/>
        <v>X</v>
      </c>
      <c r="KW411" s="58" t="str">
        <f t="shared" ca="1" si="1723"/>
        <v>X</v>
      </c>
      <c r="KX411" s="58" t="str">
        <f t="shared" ca="1" si="1724"/>
        <v>X</v>
      </c>
      <c r="KY411" s="58" t="str">
        <f t="shared" ca="1" si="1725"/>
        <v>X</v>
      </c>
      <c r="KZ411" s="58" t="str">
        <f t="shared" ca="1" si="1726"/>
        <v>X</v>
      </c>
      <c r="LA411" s="58" t="str">
        <f t="shared" ca="1" si="1727"/>
        <v>X</v>
      </c>
      <c r="LB411" s="58" t="str">
        <f t="shared" ca="1" si="1728"/>
        <v>X</v>
      </c>
      <c r="LC411" s="58" t="str">
        <f t="shared" ca="1" si="1729"/>
        <v>X</v>
      </c>
      <c r="LD411" s="58" t="str">
        <f t="shared" ca="1" si="1730"/>
        <v>X</v>
      </c>
      <c r="LE411" s="58" t="str">
        <f t="shared" ca="1" si="1731"/>
        <v>X</v>
      </c>
      <c r="LF411" s="58" t="str">
        <f t="shared" ca="1" si="1732"/>
        <v>X</v>
      </c>
      <c r="LG411" s="58" t="str">
        <f t="shared" ca="1" si="1733"/>
        <v>X</v>
      </c>
      <c r="LH411" s="58" t="str">
        <f t="shared" ca="1" si="1734"/>
        <v>X</v>
      </c>
      <c r="LI411" s="58" t="str">
        <f t="shared" ca="1" si="1735"/>
        <v>X</v>
      </c>
      <c r="LJ411" s="58" t="str">
        <f t="shared" ca="1" si="1736"/>
        <v>X</v>
      </c>
      <c r="LK411" s="58" t="str">
        <f t="shared" ca="1" si="1737"/>
        <v>X</v>
      </c>
      <c r="LL411" s="58" t="str">
        <f t="shared" ca="1" si="1738"/>
        <v>X</v>
      </c>
      <c r="LM411" s="58" t="str">
        <f t="shared" ca="1" si="1739"/>
        <v>X</v>
      </c>
      <c r="LN411" s="58" t="str">
        <f t="shared" ca="1" si="1740"/>
        <v>X</v>
      </c>
      <c r="LO411" s="58" t="str">
        <f t="shared" ca="1" si="1741"/>
        <v>X</v>
      </c>
      <c r="LP411" s="58" t="str">
        <f t="shared" ca="1" si="1742"/>
        <v>X</v>
      </c>
      <c r="LQ411" s="58" t="str">
        <f t="shared" ca="1" si="1743"/>
        <v>X</v>
      </c>
      <c r="LR411" s="58" t="str">
        <f t="shared" ca="1" si="1744"/>
        <v>X</v>
      </c>
      <c r="LS411" s="58" t="str">
        <f t="shared" ca="1" si="1745"/>
        <v>X</v>
      </c>
      <c r="LT411" s="58" t="str">
        <f t="shared" ca="1" si="1746"/>
        <v>X</v>
      </c>
      <c r="LU411" s="58" t="str">
        <f t="shared" ca="1" si="1747"/>
        <v>X</v>
      </c>
      <c r="LV411" s="58" t="str">
        <f t="shared" ca="1" si="1748"/>
        <v>X</v>
      </c>
      <c r="LW411" s="58" t="str">
        <f t="shared" ca="1" si="1749"/>
        <v>X</v>
      </c>
      <c r="LX411" s="58" t="str">
        <f t="shared" ca="1" si="1750"/>
        <v>X</v>
      </c>
      <c r="LY411" s="58" t="str">
        <f t="shared" ca="1" si="1751"/>
        <v>X</v>
      </c>
      <c r="LZ411" s="58" t="str">
        <f t="shared" ca="1" si="1752"/>
        <v>X</v>
      </c>
      <c r="MA411" s="58" t="str">
        <f t="shared" ca="1" si="1753"/>
        <v>X</v>
      </c>
      <c r="MB411" s="58" t="str">
        <f t="shared" ca="1" si="1754"/>
        <v>X</v>
      </c>
      <c r="MC411" s="58" t="str">
        <f t="shared" ca="1" si="1755"/>
        <v>X</v>
      </c>
      <c r="MD411" s="58" t="str">
        <f t="shared" ca="1" si="1756"/>
        <v>X</v>
      </c>
      <c r="ME411" s="58" t="str">
        <f t="shared" ca="1" si="1757"/>
        <v>X</v>
      </c>
      <c r="MF411" s="58" t="str">
        <f t="shared" ca="1" si="1758"/>
        <v>X</v>
      </c>
      <c r="MG411" s="58" t="str">
        <f t="shared" ca="1" si="1759"/>
        <v>X</v>
      </c>
      <c r="MH411" s="58" t="str">
        <f t="shared" ca="1" si="1760"/>
        <v>X</v>
      </c>
      <c r="MI411" s="58" t="str">
        <f t="shared" ca="1" si="1761"/>
        <v>X</v>
      </c>
      <c r="MJ411" s="58" t="str">
        <f t="shared" ca="1" si="1762"/>
        <v>X</v>
      </c>
      <c r="MK411" s="58" t="str">
        <f t="shared" ca="1" si="1763"/>
        <v>X</v>
      </c>
      <c r="ML411" s="58" t="str">
        <f t="shared" ca="1" si="1764"/>
        <v>X</v>
      </c>
      <c r="MM411" s="58" t="str">
        <f t="shared" ca="1" si="1765"/>
        <v>X</v>
      </c>
      <c r="MN411" s="58" t="str">
        <f t="shared" ca="1" si="1766"/>
        <v>X</v>
      </c>
      <c r="MO411" s="58" t="str">
        <f t="shared" ca="1" si="1767"/>
        <v>X</v>
      </c>
      <c r="MP411" s="58" t="str">
        <f t="shared" ca="1" si="1768"/>
        <v>X</v>
      </c>
      <c r="MQ411" s="58" t="str">
        <f t="shared" ca="1" si="1769"/>
        <v>X</v>
      </c>
      <c r="MR411" s="58" t="str">
        <f t="shared" ca="1" si="1770"/>
        <v>X</v>
      </c>
      <c r="MS411" s="58" t="str">
        <f t="shared" ca="1" si="1771"/>
        <v>X</v>
      </c>
      <c r="MT411" s="58" t="str">
        <f t="shared" ref="MT411:NE411" ca="1" si="1811">IF($K411=INDIRECT(CONCATENATE("$AG$"&amp;GH$392)),INDIRECT(CONCATENATE("$AG$"&amp;GH$391)),
IF($K411=INDIRECT(CONCATENATE("$AF$"&amp;GH$392)),INDIRECT(CONCATENATE("$AF$"&amp;GH$391)),
IF($K411=INDIRECT(CONCATENATE("$AE$"&amp;GH$392)),INDIRECT(CONCATENATE("$AE$"&amp;GH$391)),
IF($K411=INDIRECT(CONCATENATE("$AD$"&amp;GH$392)),INDIRECT(CONCATENATE("$AD$"&amp;GH$391)),
IF($K411=INDIRECT(CONCATENATE("$AC$"&amp;GH$392)),INDIRECT(CONCATENATE("$AC$"&amp;GH$391)),
IF($K411=INDIRECT(CONCATENATE("$AB$"&amp;GH$392)),INDIRECT(CONCATENATE("$AB$"&amp;GH$391)),
IF($K411=INDIRECT(CONCATENATE("$AA$"&amp;GH$392)),INDIRECT(CONCATENATE("$AA$"&amp;GH$391)),
IF($K411=INDIRECT(CONCATENATE("$Z$"&amp;GH$392)),INDIRECT(CONCATENATE("$Z$"&amp;GH$391)),
IF($K411=INDIRECT(CONCATENATE("$Y$"&amp;GH$392)),INDIRECT(CONCATENATE("$Y$"&amp;GH$391)),
IF($K411=INDIRECT(CONCATENATE("$X$"&amp;GH$392)),INDIRECT(CONCATENATE("$X$"&amp;GH$391)),
IF($K411=INDIRECT(CONCATENATE("$W$"&amp;GH$392)),INDIRECT(CONCATENATE("$W$"&amp;GH$391)),
IF($K411=INDIRECT(CONCATENATE("$V$"&amp;GH$392)),INDIRECT(CONCATENATE("$V$"&amp;GH$391)),
IF($K411=INDIRECT(CONCATENATE("$U$"&amp;GH$392)),INDIRECT(CONCATENATE("$U$"&amp;GH$391)),
IF($K411=INDIRECT(CONCATENATE("$T$"&amp;GH$392)),INDIRECT(CONCATENATE("$T$"&amp;GH$391)),
IF($K411=INDIRECT(CONCATENATE("$S$"&amp;GH$392)),INDIRECT(CONCATENATE("$S$"&amp;GH$391)),
IF($K411=INDIRECT(CONCATENATE("$R$"&amp;GH$392)),INDIRECT(CONCATENATE("$R$"&amp;GH$391)),
IF($K411=INDIRECT(CONCATENATE("$Q$"&amp;GH$392)),INDIRECT(CONCATENATE("$Q$"&amp;GH$391)),
IF($K411=INDIRECT(CONCATENATE("$P$"&amp;GH$392)),INDIRECT(CONCATENATE("$P$"&amp;GH$391)),
IF($K411=INDIRECT(CONCATENATE("$O$"&amp;GH$392)),INDIRECT(CONCATENATE("$O$"&amp;GH$391)),
IF($K411=INDIRECT(CONCATENATE("$N$"&amp;GH$392)),INDIRECT(CONCATENATE("$N$"&amp;GH$391)),
IF($K411=INDIRECT(CONCATENATE("$M$"&amp;GH$392)),INDIRECT(CONCATENATE("$M$"&amp;GH$391)),
IF($K411=INDIRECT(CONCATENATE("$L$"&amp;GH$392)),INDIRECT(CONCATENATE("$L$"&amp;GH$391)),
IF($K411=INDIRECT(CONCATENATE("$K$"&amp;GH$392)),INDIRECT(CONCATENATE("$K$"&amp;GH$391)),
IF($K411=INDIRECT(CONCATENATE("$J$"&amp;GH$392)),INDIRECT(CONCATENATE("$J$"&amp;GH$391)),
IF($K411=INDIRECT(CONCATENATE("$I$"&amp;GH$392)),INDIRECT(CONCATENATE("$I$"&amp;GH$391)),
IF($K411=INDIRECT(CONCATENATE("$H$"&amp;GH$392)),INDIRECT(CONCATENATE("$H$"&amp;GH$391)),
IF($K411=INDIRECT(CONCATENATE("$G$"&amp;GH$392)),INDIRECT(CONCATENATE("$G$"&amp;GH$391)),
IF($K411=INDIRECT(CONCATENATE("$F$"&amp;GH$392)),INDIRECT(CONCATENATE("$F$"&amp;GH$391)),
IF($K411=INDIRECT(CONCATENATE("$E$"&amp;GH$392)),INDIRECT(CONCATENATE("$E$"&amp;GH$391)),
IF($K411=INDIRECT(CONCATENATE("$D$"&amp;GH$392)),INDIRECT(CONCATENATE("$D$"&amp;GH$391)),
IF($K411=INDIRECT(CONCATENATE("$C$"&amp;GH$392)),INDIRECT(CONCATENATE("$C$"&amp;GH$391)),"X")))))))))))))))))))))))))))))))</f>
        <v>X</v>
      </c>
      <c r="MU411" s="58" t="str">
        <f t="shared" ca="1" si="1811"/>
        <v>X</v>
      </c>
      <c r="MV411" s="58" t="str">
        <f t="shared" ca="1" si="1811"/>
        <v>X</v>
      </c>
      <c r="MW411" s="58" t="str">
        <f t="shared" ca="1" si="1811"/>
        <v>X</v>
      </c>
      <c r="MX411" s="58" t="str">
        <f t="shared" ca="1" si="1811"/>
        <v>X</v>
      </c>
      <c r="MY411" s="58" t="str">
        <f t="shared" ca="1" si="1811"/>
        <v>X</v>
      </c>
      <c r="MZ411" s="58" t="str">
        <f t="shared" ca="1" si="1811"/>
        <v>X</v>
      </c>
      <c r="NA411" s="58" t="str">
        <f t="shared" ca="1" si="1811"/>
        <v>X</v>
      </c>
      <c r="NB411" s="58" t="str">
        <f t="shared" ca="1" si="1811"/>
        <v>X</v>
      </c>
      <c r="NC411" s="58" t="str">
        <f t="shared" ca="1" si="1811"/>
        <v>X</v>
      </c>
      <c r="ND411" s="58" t="str">
        <f t="shared" ca="1" si="1811"/>
        <v>X</v>
      </c>
      <c r="NE411" s="58" t="str">
        <f t="shared" ca="1" si="1811"/>
        <v>X</v>
      </c>
      <c r="NF411" s="58" t="str">
        <f t="shared" ca="1" si="1773"/>
        <v>X</v>
      </c>
      <c r="NG411" s="58" t="str">
        <f t="shared" ca="1" si="1774"/>
        <v>X</v>
      </c>
    </row>
    <row r="412" spans="1:371" ht="18" customHeight="1">
      <c r="A412" s="230" t="s">
        <v>97</v>
      </c>
      <c r="B412" s="231"/>
      <c r="C412" s="231"/>
      <c r="D412" s="231"/>
      <c r="E412" s="231"/>
      <c r="F412" s="231"/>
      <c r="G412" s="231"/>
      <c r="H412" s="231"/>
      <c r="I412" s="231"/>
      <c r="J412" s="232"/>
      <c r="K412" s="237" t="s">
        <v>46</v>
      </c>
      <c r="L412" s="303"/>
      <c r="M412" s="181">
        <v>162</v>
      </c>
      <c r="N412" s="225" t="s">
        <v>86</v>
      </c>
      <c r="O412" s="304"/>
      <c r="P412" s="304"/>
      <c r="Q412" s="304"/>
      <c r="R412" s="303"/>
      <c r="S412" s="226">
        <v>202629</v>
      </c>
      <c r="T412" s="304"/>
      <c r="U412" s="303"/>
      <c r="V412" s="227" t="s">
        <v>89</v>
      </c>
      <c r="W412" s="303"/>
      <c r="X412" s="56">
        <f t="shared" ca="1" si="1775"/>
        <v>46245</v>
      </c>
      <c r="Y412" s="56">
        <f t="shared" ca="1" si="1776"/>
        <v>46373</v>
      </c>
      <c r="Z412" s="228" t="str">
        <f t="shared" ca="1" si="1612"/>
        <v>EM ANDAMENTO</v>
      </c>
      <c r="AA412" s="304"/>
      <c r="AB412" s="303"/>
      <c r="AC412" s="224">
        <f t="shared" si="1777"/>
        <v>162</v>
      </c>
      <c r="AD412" s="303"/>
      <c r="AE412" s="229">
        <f t="shared" si="1778"/>
        <v>0</v>
      </c>
      <c r="AF412" s="303"/>
      <c r="AG412" s="57" t="str">
        <f t="shared" si="1615"/>
        <v>OK</v>
      </c>
      <c r="AH412" s="21"/>
      <c r="AI412" s="70"/>
      <c r="AJ412" s="58" t="str">
        <f t="shared" ref="AJ412:GT412" ca="1" si="1812">IF($K412=INDIRECT(CONCATENATE("$C$"&amp;AJ$392)), INDIRECT(CONCATENATE("$C$"&amp;AJ$391)),
IF($K412=INDIRECT(CONCATENATE("$D$"&amp;AJ$392)), INDIRECT(CONCATENATE("$D$"&amp;AJ$391)),
IF($K412=INDIRECT(CONCATENATE("$E$"&amp;AJ$392)), INDIRECT(CONCATENATE("$E$"&amp;AJ$391)),
IF($K412=INDIRECT(CONCATENATE("$F$"&amp;AJ$392)), INDIRECT(CONCATENATE("$F$"&amp;AJ$391)),
IF($K412=INDIRECT(CONCATENATE("$G$"&amp;AJ$392)), INDIRECT(CONCATENATE("$G$"&amp;AJ$391)),
IF($K412=INDIRECT(CONCATENATE("$H$"&amp;AJ$392)), INDIRECT(CONCATENATE("$H$"&amp;AJ$391)),
IF($K412=INDIRECT(CONCATENATE("$I$"&amp;AJ$392)), INDIRECT(CONCATENATE("$I$"&amp;AJ$391)),
IF($K412=INDIRECT(CONCATENATE("$J$"&amp;AJ$392)), INDIRECT(CONCATENATE("$J$"&amp;AJ$391)),
IF($K412=INDIRECT(CONCATENATE("$K$"&amp;AJ$392)), INDIRECT(CONCATENATE("$K$"&amp;AJ$391)),
IF($K412=INDIRECT(CONCATENATE("$L$"&amp;AJ$392)), INDIRECT(CONCATENATE("$L$"&amp;AJ$391)),
IF($K412=INDIRECT(CONCATENATE("$M$"&amp;AJ$392)), INDIRECT(CONCATENATE("$M$"&amp;AJ$391)),
IF($K412=INDIRECT(CONCATENATE("$N$"&amp;AJ$392)), INDIRECT(CONCATENATE("$N$"&amp;AJ$391)),
IF($K412=INDIRECT(CONCATENATE("$O$"&amp;AJ$392)), INDIRECT(CONCATENATE("$O$"&amp;AJ$391)),
IF($K412=INDIRECT(CONCATENATE("$P$"&amp;AJ$392)), INDIRECT(CONCATENATE("$P$"&amp;AJ$391)),
IF($K412=INDIRECT(CONCATENATE("$Q$"&amp;AJ$392)), INDIRECT(CONCATENATE("$Q$"&amp;AJ$391)),
IF($K412=INDIRECT(CONCATENATE("$R$"&amp;AJ$392)), INDIRECT(CONCATENATE("$R$"&amp;AJ$391)),
IF($K412=INDIRECT(CONCATENATE("$S$"&amp;AJ$392)), INDIRECT(CONCATENATE("$S$"&amp;AJ$391)),
IF($K412=INDIRECT(CONCATENATE("$T$"&amp;AJ$392)), INDIRECT(CONCATENATE("$T$"&amp;AJ$391)),
IF($K412=INDIRECT(CONCATENATE("$U$"&amp;AJ$392)), INDIRECT(CONCATENATE("$U$"&amp;AJ$391)),
IF($K412=INDIRECT(CONCATENATE("$V$"&amp;AJ$392)), INDIRECT(CONCATENATE("$V$"&amp;AJ$391)),
IF($K412=INDIRECT(CONCATENATE("$W$"&amp;AJ$392)), INDIRECT(CONCATENATE("$W$"&amp;AJ$391)),
IF($K412=INDIRECT(CONCATENATE("$X$"&amp;AJ$392)), INDIRECT(CONCATENATE("$X$"&amp;AJ$391)),
IF($K412=INDIRECT(CONCATENATE("$Y$"&amp;AJ$392)), INDIRECT(CONCATENATE("$Y$"&amp;AJ$391)),
IF($K412=INDIRECT(CONCATENATE("$Z$"&amp;AJ$392)), INDIRECT(CONCATENATE("$Z$"&amp;AJ$391)),
IF($K412=INDIRECT(CONCATENATE("$AA$"&amp;AJ$392)), INDIRECT(CONCATENATE("$AA$"&amp;AJ$391)),
IF($K412=INDIRECT(CONCATENATE("$AB$"&amp;AJ$392)), INDIRECT(CONCATENATE("$AB$"&amp;AJ$391)),
IF($K412=INDIRECT(CONCATENATE("$AC$"&amp;AJ$392)), INDIRECT(CONCATENATE("$AC$"&amp;AJ$391)),
IF($K412=INDIRECT(CONCATENATE("$AD$"&amp;AJ$392)), INDIRECT(CONCATENATE("$AD$"&amp;AJ$391)),
IF($K412=INDIRECT(CONCATENATE("$AE$"&amp;AJ$392)), INDIRECT(CONCATENATE("$AE$"&amp;AJ$391)),
IF($K412=INDIRECT(CONCATENATE("$AF$"&amp;AJ$392)), INDIRECT(CONCATENATE("$AF$"&amp;AJ$391)),
IF($K412=INDIRECT(CONCATENATE("$AG$"&amp;AJ$392)), INDIRECT(CONCATENATE("$AG$"&amp;AJ$391)),"X")))))))))))))))))))))))))))))))</f>
        <v>X</v>
      </c>
      <c r="AK412" s="58" t="str">
        <f t="shared" ca="1" si="1812"/>
        <v>X</v>
      </c>
      <c r="AL412" s="58" t="str">
        <f t="shared" ca="1" si="1812"/>
        <v>X</v>
      </c>
      <c r="AM412" s="58" t="str">
        <f t="shared" ca="1" si="1812"/>
        <v>X</v>
      </c>
      <c r="AN412" s="58" t="str">
        <f t="shared" ca="1" si="1812"/>
        <v>X</v>
      </c>
      <c r="AO412" s="58" t="str">
        <f t="shared" ca="1" si="1812"/>
        <v>X</v>
      </c>
      <c r="AP412" s="58" t="str">
        <f t="shared" ca="1" si="1812"/>
        <v>X</v>
      </c>
      <c r="AQ412" s="58" t="str">
        <f t="shared" ca="1" si="1812"/>
        <v>X</v>
      </c>
      <c r="AR412" s="58" t="str">
        <f t="shared" ca="1" si="1812"/>
        <v>X</v>
      </c>
      <c r="AS412" s="58" t="str">
        <f t="shared" ca="1" si="1812"/>
        <v>X</v>
      </c>
      <c r="AT412" s="58" t="str">
        <f t="shared" ca="1" si="1812"/>
        <v>X</v>
      </c>
      <c r="AU412" s="58" t="str">
        <f t="shared" ca="1" si="1812"/>
        <v>X</v>
      </c>
      <c r="AV412" s="58" t="str">
        <f t="shared" ca="1" si="1812"/>
        <v>X</v>
      </c>
      <c r="AW412" s="58" t="str">
        <f t="shared" ca="1" si="1812"/>
        <v>X</v>
      </c>
      <c r="AX412" s="58" t="str">
        <f t="shared" ca="1" si="1812"/>
        <v>X</v>
      </c>
      <c r="AY412" s="58" t="str">
        <f t="shared" ca="1" si="1812"/>
        <v>X</v>
      </c>
      <c r="AZ412" s="58" t="str">
        <f t="shared" ca="1" si="1812"/>
        <v>X</v>
      </c>
      <c r="BA412" s="58" t="str">
        <f t="shared" ca="1" si="1812"/>
        <v>X</v>
      </c>
      <c r="BB412" s="58" t="str">
        <f t="shared" ca="1" si="1812"/>
        <v>X</v>
      </c>
      <c r="BC412" s="58" t="str">
        <f t="shared" ca="1" si="1812"/>
        <v>X</v>
      </c>
      <c r="BD412" s="58" t="str">
        <f t="shared" ca="1" si="1812"/>
        <v>X</v>
      </c>
      <c r="BE412" s="58" t="str">
        <f t="shared" ca="1" si="1812"/>
        <v>X</v>
      </c>
      <c r="BF412" s="58" t="str">
        <f t="shared" ca="1" si="1812"/>
        <v>X</v>
      </c>
      <c r="BG412" s="58" t="str">
        <f t="shared" ca="1" si="1812"/>
        <v>X</v>
      </c>
      <c r="BH412" s="58" t="str">
        <f t="shared" ca="1" si="1812"/>
        <v>X</v>
      </c>
      <c r="BI412" s="58" t="str">
        <f t="shared" ca="1" si="1812"/>
        <v>X</v>
      </c>
      <c r="BJ412" s="58" t="str">
        <f t="shared" ca="1" si="1812"/>
        <v>X</v>
      </c>
      <c r="BK412" s="58" t="str">
        <f t="shared" ca="1" si="1812"/>
        <v>X</v>
      </c>
      <c r="BL412" s="58" t="str">
        <f t="shared" ca="1" si="1812"/>
        <v>X</v>
      </c>
      <c r="BM412" s="58" t="str">
        <f t="shared" ca="1" si="1812"/>
        <v>X</v>
      </c>
      <c r="BN412" s="58" t="str">
        <f t="shared" ca="1" si="1812"/>
        <v>X</v>
      </c>
      <c r="BO412" s="58" t="str">
        <f t="shared" ca="1" si="1812"/>
        <v>X</v>
      </c>
      <c r="BP412" s="58" t="str">
        <f t="shared" ca="1" si="1812"/>
        <v>X</v>
      </c>
      <c r="BQ412" s="58" t="str">
        <f t="shared" ca="1" si="1812"/>
        <v>X</v>
      </c>
      <c r="BR412" s="58" t="str">
        <f t="shared" ca="1" si="1812"/>
        <v>X</v>
      </c>
      <c r="BS412" s="58" t="str">
        <f t="shared" ca="1" si="1812"/>
        <v>X</v>
      </c>
      <c r="BT412" s="58" t="str">
        <f t="shared" ca="1" si="1812"/>
        <v>X</v>
      </c>
      <c r="BU412" s="58" t="str">
        <f t="shared" ca="1" si="1812"/>
        <v>X</v>
      </c>
      <c r="BV412" s="58" t="str">
        <f t="shared" ca="1" si="1812"/>
        <v>X</v>
      </c>
      <c r="BW412" s="58" t="str">
        <f t="shared" ca="1" si="1812"/>
        <v>X</v>
      </c>
      <c r="BX412" s="58" t="str">
        <f t="shared" ca="1" si="1812"/>
        <v>X</v>
      </c>
      <c r="BY412" s="58" t="str">
        <f t="shared" ca="1" si="1812"/>
        <v>X</v>
      </c>
      <c r="BZ412" s="58" t="str">
        <f t="shared" ca="1" si="1812"/>
        <v>X</v>
      </c>
      <c r="CA412" s="58" t="str">
        <f t="shared" ca="1" si="1812"/>
        <v>X</v>
      </c>
      <c r="CB412" s="58" t="str">
        <f t="shared" ca="1" si="1812"/>
        <v>X</v>
      </c>
      <c r="CC412" s="58" t="str">
        <f t="shared" ca="1" si="1812"/>
        <v>X</v>
      </c>
      <c r="CD412" s="58" t="str">
        <f t="shared" ca="1" si="1812"/>
        <v>X</v>
      </c>
      <c r="CE412" s="58" t="str">
        <f t="shared" ca="1" si="1812"/>
        <v>X</v>
      </c>
      <c r="CF412" s="58" t="str">
        <f t="shared" ca="1" si="1812"/>
        <v>X</v>
      </c>
      <c r="CG412" s="58" t="str">
        <f t="shared" ca="1" si="1812"/>
        <v>X</v>
      </c>
      <c r="CH412" s="58" t="str">
        <f t="shared" ca="1" si="1812"/>
        <v>X</v>
      </c>
      <c r="CI412" s="58" t="str">
        <f t="shared" ca="1" si="1812"/>
        <v>X</v>
      </c>
      <c r="CJ412" s="58" t="str">
        <f t="shared" ca="1" si="1812"/>
        <v>X</v>
      </c>
      <c r="CK412" s="58" t="str">
        <f t="shared" ca="1" si="1812"/>
        <v>X</v>
      </c>
      <c r="CL412" s="58" t="str">
        <f t="shared" ca="1" si="1812"/>
        <v>X</v>
      </c>
      <c r="CM412" s="58" t="str">
        <f t="shared" ca="1" si="1812"/>
        <v>X</v>
      </c>
      <c r="CN412" s="58" t="str">
        <f t="shared" ca="1" si="1812"/>
        <v>X</v>
      </c>
      <c r="CO412" s="58" t="str">
        <f t="shared" ca="1" si="1812"/>
        <v>X</v>
      </c>
      <c r="CP412" s="58" t="str">
        <f t="shared" ca="1" si="1812"/>
        <v>X</v>
      </c>
      <c r="CQ412" s="58" t="str">
        <f t="shared" ca="1" si="1812"/>
        <v>X</v>
      </c>
      <c r="CR412" s="58" t="str">
        <f t="shared" ca="1" si="1812"/>
        <v>X</v>
      </c>
      <c r="CS412" s="58" t="str">
        <f t="shared" ca="1" si="1812"/>
        <v>X</v>
      </c>
      <c r="CT412" s="58" t="str">
        <f t="shared" ca="1" si="1812"/>
        <v>X</v>
      </c>
      <c r="CU412" s="58" t="str">
        <f t="shared" ca="1" si="1812"/>
        <v>X</v>
      </c>
      <c r="CV412" s="58" t="str">
        <f t="shared" ca="1" si="1812"/>
        <v>X</v>
      </c>
      <c r="CW412" s="58" t="str">
        <f t="shared" ca="1" si="1812"/>
        <v>X</v>
      </c>
      <c r="CX412" s="58" t="str">
        <f t="shared" ca="1" si="1812"/>
        <v>X</v>
      </c>
      <c r="CY412" s="58" t="str">
        <f t="shared" ca="1" si="1812"/>
        <v>X</v>
      </c>
      <c r="CZ412" s="58" t="str">
        <f t="shared" ca="1" si="1812"/>
        <v>X</v>
      </c>
      <c r="DA412" s="58" t="str">
        <f t="shared" ca="1" si="1812"/>
        <v>X</v>
      </c>
      <c r="DB412" s="58" t="str">
        <f t="shared" ca="1" si="1812"/>
        <v>X</v>
      </c>
      <c r="DC412" s="58" t="str">
        <f t="shared" ca="1" si="1812"/>
        <v>X</v>
      </c>
      <c r="DD412" s="58" t="str">
        <f t="shared" ca="1" si="1812"/>
        <v>X</v>
      </c>
      <c r="DE412" s="58" t="str">
        <f t="shared" ca="1" si="1812"/>
        <v>X</v>
      </c>
      <c r="DF412" s="58" t="str">
        <f t="shared" ca="1" si="1812"/>
        <v>X</v>
      </c>
      <c r="DG412" s="58" t="str">
        <f t="shared" ca="1" si="1812"/>
        <v>X</v>
      </c>
      <c r="DH412" s="58" t="str">
        <f t="shared" ca="1" si="1812"/>
        <v>X</v>
      </c>
      <c r="DI412" s="58" t="str">
        <f t="shared" ca="1" si="1812"/>
        <v>X</v>
      </c>
      <c r="DJ412" s="58" t="str">
        <f t="shared" ca="1" si="1812"/>
        <v>X</v>
      </c>
      <c r="DK412" s="58" t="str">
        <f t="shared" ca="1" si="1812"/>
        <v>X</v>
      </c>
      <c r="DL412" s="58" t="str">
        <f t="shared" ca="1" si="1812"/>
        <v>X</v>
      </c>
      <c r="DM412" s="58" t="str">
        <f t="shared" ca="1" si="1812"/>
        <v>X</v>
      </c>
      <c r="DN412" s="58" t="str">
        <f t="shared" ca="1" si="1812"/>
        <v>X</v>
      </c>
      <c r="DO412" s="58" t="str">
        <f t="shared" ca="1" si="1812"/>
        <v>X</v>
      </c>
      <c r="DP412" s="58" t="str">
        <f t="shared" ca="1" si="1812"/>
        <v>X</v>
      </c>
      <c r="DQ412" s="58" t="str">
        <f t="shared" ca="1" si="1812"/>
        <v>X</v>
      </c>
      <c r="DR412" s="58" t="str">
        <f t="shared" ca="1" si="1812"/>
        <v>X</v>
      </c>
      <c r="DS412" s="58" t="str">
        <f t="shared" ca="1" si="1812"/>
        <v>X</v>
      </c>
      <c r="DT412" s="58" t="str">
        <f t="shared" ca="1" si="1812"/>
        <v>X</v>
      </c>
      <c r="DU412" s="58" t="str">
        <f t="shared" ca="1" si="1812"/>
        <v>X</v>
      </c>
      <c r="DV412" s="58" t="str">
        <f t="shared" ca="1" si="1812"/>
        <v>X</v>
      </c>
      <c r="DW412" s="58" t="str">
        <f t="shared" ca="1" si="1812"/>
        <v>X</v>
      </c>
      <c r="DX412" s="58" t="str">
        <f t="shared" ca="1" si="1812"/>
        <v>X</v>
      </c>
      <c r="DY412" s="58" t="str">
        <f t="shared" ca="1" si="1812"/>
        <v>X</v>
      </c>
      <c r="DZ412" s="58" t="str">
        <f t="shared" ca="1" si="1812"/>
        <v>X</v>
      </c>
      <c r="EA412" s="58" t="str">
        <f t="shared" ca="1" si="1812"/>
        <v>X</v>
      </c>
      <c r="EB412" s="58" t="str">
        <f t="shared" ca="1" si="1812"/>
        <v>X</v>
      </c>
      <c r="EC412" s="58" t="str">
        <f t="shared" ca="1" si="1812"/>
        <v>X</v>
      </c>
      <c r="ED412" s="58">
        <f t="shared" ca="1" si="1812"/>
        <v>46245</v>
      </c>
      <c r="EE412" s="58">
        <f t="shared" ca="1" si="1812"/>
        <v>46245</v>
      </c>
      <c r="EF412" s="58">
        <f t="shared" ca="1" si="1812"/>
        <v>46245</v>
      </c>
      <c r="EG412" s="58">
        <f t="shared" ca="1" si="1812"/>
        <v>46245</v>
      </c>
      <c r="EH412" s="58" t="str">
        <f t="shared" ca="1" si="1812"/>
        <v>X</v>
      </c>
      <c r="EI412" s="58" t="str">
        <f t="shared" ca="1" si="1812"/>
        <v>X</v>
      </c>
      <c r="EJ412" s="58" t="str">
        <f t="shared" ca="1" si="1812"/>
        <v>X</v>
      </c>
      <c r="EK412" s="58" t="str">
        <f t="shared" ca="1" si="1812"/>
        <v>X</v>
      </c>
      <c r="EL412" s="58" t="str">
        <f t="shared" ca="1" si="1812"/>
        <v>X</v>
      </c>
      <c r="EM412" s="58" t="str">
        <f t="shared" ca="1" si="1812"/>
        <v>X</v>
      </c>
      <c r="EN412" s="58" t="str">
        <f t="shared" ca="1" si="1812"/>
        <v>X</v>
      </c>
      <c r="EO412" s="58" t="str">
        <f t="shared" ca="1" si="1812"/>
        <v>X</v>
      </c>
      <c r="EP412" s="58" t="str">
        <f t="shared" ca="1" si="1812"/>
        <v>X</v>
      </c>
      <c r="EQ412" s="58" t="str">
        <f t="shared" ca="1" si="1812"/>
        <v>X</v>
      </c>
      <c r="ER412" s="58">
        <f t="shared" ca="1" si="1812"/>
        <v>46266</v>
      </c>
      <c r="ES412" s="58">
        <f t="shared" ca="1" si="1812"/>
        <v>46266</v>
      </c>
      <c r="ET412" s="58">
        <f t="shared" ca="1" si="1812"/>
        <v>46266</v>
      </c>
      <c r="EU412" s="58">
        <f t="shared" ca="1" si="1812"/>
        <v>46266</v>
      </c>
      <c r="EV412" s="58" t="str">
        <f t="shared" ca="1" si="1812"/>
        <v>X</v>
      </c>
      <c r="EW412" s="58" t="str">
        <f t="shared" ca="1" si="1812"/>
        <v>X</v>
      </c>
      <c r="EX412" s="58" t="str">
        <f t="shared" ca="1" si="1812"/>
        <v>X</v>
      </c>
      <c r="EY412" s="58" t="str">
        <f t="shared" ca="1" si="1812"/>
        <v>X</v>
      </c>
      <c r="EZ412" s="58" t="str">
        <f t="shared" ca="1" si="1812"/>
        <v>X</v>
      </c>
      <c r="FA412" s="58" t="str">
        <f t="shared" ca="1" si="1812"/>
        <v>X</v>
      </c>
      <c r="FB412" s="58" t="str">
        <f t="shared" ca="1" si="1812"/>
        <v>X</v>
      </c>
      <c r="FC412" s="58" t="str">
        <f t="shared" ca="1" si="1812"/>
        <v>X</v>
      </c>
      <c r="FD412" s="58" t="str">
        <f t="shared" ca="1" si="1812"/>
        <v>X</v>
      </c>
      <c r="FE412" s="58" t="str">
        <f t="shared" ca="1" si="1812"/>
        <v>X</v>
      </c>
      <c r="FF412" s="58">
        <f t="shared" ca="1" si="1812"/>
        <v>46300</v>
      </c>
      <c r="FG412" s="58">
        <f t="shared" ca="1" si="1812"/>
        <v>46300</v>
      </c>
      <c r="FH412" s="58">
        <f t="shared" ca="1" si="1812"/>
        <v>46300</v>
      </c>
      <c r="FI412" s="58">
        <f t="shared" ca="1" si="1812"/>
        <v>46300</v>
      </c>
      <c r="FJ412" s="58" t="str">
        <f t="shared" ca="1" si="1812"/>
        <v>X</v>
      </c>
      <c r="FK412" s="58" t="str">
        <f t="shared" ca="1" si="1812"/>
        <v>X</v>
      </c>
      <c r="FL412" s="58" t="str">
        <f t="shared" ca="1" si="1812"/>
        <v>X</v>
      </c>
      <c r="FM412" s="58" t="str">
        <f t="shared" ca="1" si="1812"/>
        <v>X</v>
      </c>
      <c r="FN412" s="58" t="str">
        <f t="shared" ca="1" si="1812"/>
        <v>X</v>
      </c>
      <c r="FO412" s="58" t="str">
        <f t="shared" ca="1" si="1812"/>
        <v>X</v>
      </c>
      <c r="FP412" s="58" t="str">
        <f t="shared" ca="1" si="1812"/>
        <v>X</v>
      </c>
      <c r="FQ412" s="58" t="str">
        <f t="shared" ca="1" si="1812"/>
        <v>X</v>
      </c>
      <c r="FR412" s="58" t="str">
        <f t="shared" ca="1" si="1812"/>
        <v>X</v>
      </c>
      <c r="FS412" s="58" t="str">
        <f t="shared" ca="1" si="1812"/>
        <v>X</v>
      </c>
      <c r="FT412" s="58">
        <f t="shared" ca="1" si="1812"/>
        <v>46329</v>
      </c>
      <c r="FU412" s="58">
        <f t="shared" ca="1" si="1812"/>
        <v>46329</v>
      </c>
      <c r="FV412" s="58">
        <f t="shared" ca="1" si="1812"/>
        <v>46329</v>
      </c>
      <c r="FW412" s="58">
        <f t="shared" ca="1" si="1812"/>
        <v>46329</v>
      </c>
      <c r="FX412" s="58" t="str">
        <f t="shared" ca="1" si="1812"/>
        <v>X</v>
      </c>
      <c r="FY412" s="58" t="str">
        <f t="shared" ca="1" si="1812"/>
        <v>X</v>
      </c>
      <c r="FZ412" s="58" t="str">
        <f t="shared" ca="1" si="1812"/>
        <v>X</v>
      </c>
      <c r="GA412" s="58" t="str">
        <f t="shared" ca="1" si="1812"/>
        <v>X</v>
      </c>
      <c r="GB412" s="58" t="str">
        <f t="shared" ca="1" si="1812"/>
        <v>X</v>
      </c>
      <c r="GC412" s="58" t="str">
        <f t="shared" ca="1" si="1812"/>
        <v>X</v>
      </c>
      <c r="GD412" s="58" t="str">
        <f t="shared" ca="1" si="1812"/>
        <v>X</v>
      </c>
      <c r="GE412" s="58" t="str">
        <f t="shared" ca="1" si="1812"/>
        <v>X</v>
      </c>
      <c r="GF412" s="58" t="str">
        <f t="shared" ca="1" si="1812"/>
        <v>X</v>
      </c>
      <c r="GG412" s="58" t="str">
        <f t="shared" ca="1" si="1812"/>
        <v>X</v>
      </c>
      <c r="GH412" s="58">
        <f t="shared" ca="1" si="1812"/>
        <v>46357</v>
      </c>
      <c r="GI412" s="58">
        <f t="shared" ca="1" si="1812"/>
        <v>46357</v>
      </c>
      <c r="GJ412" s="58">
        <f t="shared" ca="1" si="1812"/>
        <v>46357</v>
      </c>
      <c r="GK412" s="58">
        <f t="shared" ca="1" si="1812"/>
        <v>46357</v>
      </c>
      <c r="GL412" s="58" t="str">
        <f t="shared" ca="1" si="1812"/>
        <v>X</v>
      </c>
      <c r="GM412" s="58" t="str">
        <f t="shared" ca="1" si="1812"/>
        <v>X</v>
      </c>
      <c r="GN412" s="58" t="str">
        <f t="shared" ca="1" si="1812"/>
        <v>X</v>
      </c>
      <c r="GO412" s="58" t="str">
        <f t="shared" ca="1" si="1812"/>
        <v>X</v>
      </c>
      <c r="GP412" s="58" t="str">
        <f t="shared" ca="1" si="1812"/>
        <v>X</v>
      </c>
      <c r="GQ412" s="58" t="str">
        <f t="shared" ca="1" si="1812"/>
        <v>X</v>
      </c>
      <c r="GR412" s="58" t="str">
        <f t="shared" ca="1" si="1812"/>
        <v>X</v>
      </c>
      <c r="GS412" s="80" t="str">
        <f t="shared" ca="1" si="1812"/>
        <v>X</v>
      </c>
      <c r="GT412" s="58" t="str">
        <f t="shared" ca="1" si="1812"/>
        <v>X</v>
      </c>
      <c r="GU412" s="82" t="str">
        <f t="shared" ca="1" si="1617"/>
        <v>X</v>
      </c>
      <c r="GV412" s="58" t="str">
        <f t="shared" ca="1" si="1618"/>
        <v>X</v>
      </c>
      <c r="GW412" s="58" t="str">
        <f t="shared" ca="1" si="1619"/>
        <v>X</v>
      </c>
      <c r="GX412" s="58" t="str">
        <f t="shared" ca="1" si="1620"/>
        <v>X</v>
      </c>
      <c r="GY412" s="58" t="str">
        <f t="shared" ca="1" si="1621"/>
        <v>X</v>
      </c>
      <c r="GZ412" s="58" t="str">
        <f t="shared" ca="1" si="1622"/>
        <v>X</v>
      </c>
      <c r="HA412" s="58" t="str">
        <f t="shared" ca="1" si="1623"/>
        <v>X</v>
      </c>
      <c r="HB412" s="58" t="str">
        <f t="shared" ca="1" si="1624"/>
        <v>X</v>
      </c>
      <c r="HC412" s="58" t="str">
        <f t="shared" ca="1" si="1625"/>
        <v>X</v>
      </c>
      <c r="HD412" s="58" t="str">
        <f t="shared" ca="1" si="1626"/>
        <v>X</v>
      </c>
      <c r="HE412" s="58" t="str">
        <f t="shared" ca="1" si="1627"/>
        <v>X</v>
      </c>
      <c r="HF412" s="58" t="str">
        <f t="shared" ca="1" si="1628"/>
        <v>X</v>
      </c>
      <c r="HG412" s="58" t="str">
        <f t="shared" ca="1" si="1629"/>
        <v>X</v>
      </c>
      <c r="HH412" s="58" t="str">
        <f t="shared" ca="1" si="1630"/>
        <v>X</v>
      </c>
      <c r="HI412" s="58" t="str">
        <f t="shared" ca="1" si="1631"/>
        <v>X</v>
      </c>
      <c r="HJ412" s="58" t="str">
        <f t="shared" ca="1" si="1632"/>
        <v>X</v>
      </c>
      <c r="HK412" s="58" t="str">
        <f t="shared" ca="1" si="1633"/>
        <v>X</v>
      </c>
      <c r="HL412" s="58" t="str">
        <f t="shared" ca="1" si="1634"/>
        <v>X</v>
      </c>
      <c r="HM412" s="58" t="str">
        <f t="shared" ca="1" si="1635"/>
        <v>X</v>
      </c>
      <c r="HN412" s="58" t="str">
        <f t="shared" ca="1" si="1636"/>
        <v>X</v>
      </c>
      <c r="HO412" s="58" t="str">
        <f t="shared" ca="1" si="1637"/>
        <v>X</v>
      </c>
      <c r="HP412" s="58" t="str">
        <f t="shared" ca="1" si="1638"/>
        <v>X</v>
      </c>
      <c r="HQ412" s="58" t="str">
        <f t="shared" ca="1" si="1639"/>
        <v>X</v>
      </c>
      <c r="HR412" s="58" t="str">
        <f t="shared" ca="1" si="1640"/>
        <v>X</v>
      </c>
      <c r="HS412" s="58" t="str">
        <f t="shared" ca="1" si="1641"/>
        <v>X</v>
      </c>
      <c r="HT412" s="58" t="str">
        <f t="shared" ca="1" si="1642"/>
        <v>X</v>
      </c>
      <c r="HU412" s="58" t="str">
        <f t="shared" ca="1" si="1643"/>
        <v>X</v>
      </c>
      <c r="HV412" s="58" t="str">
        <f t="shared" ca="1" si="1644"/>
        <v>X</v>
      </c>
      <c r="HW412" s="58" t="str">
        <f t="shared" ca="1" si="1645"/>
        <v>X</v>
      </c>
      <c r="HX412" s="58" t="str">
        <f t="shared" ca="1" si="1646"/>
        <v>X</v>
      </c>
      <c r="HY412" s="58" t="str">
        <f t="shared" ca="1" si="1647"/>
        <v>X</v>
      </c>
      <c r="HZ412" s="58" t="str">
        <f t="shared" ca="1" si="1648"/>
        <v>X</v>
      </c>
      <c r="IA412" s="58" t="str">
        <f t="shared" ca="1" si="1649"/>
        <v>X</v>
      </c>
      <c r="IB412" s="58" t="str">
        <f t="shared" ca="1" si="1650"/>
        <v>X</v>
      </c>
      <c r="IC412" s="58" t="str">
        <f t="shared" ca="1" si="1651"/>
        <v>X</v>
      </c>
      <c r="ID412" s="58" t="str">
        <f t="shared" ca="1" si="1652"/>
        <v>X</v>
      </c>
      <c r="IE412" s="58" t="str">
        <f t="shared" ca="1" si="1653"/>
        <v>X</v>
      </c>
      <c r="IF412" s="58" t="str">
        <f t="shared" ca="1" si="1654"/>
        <v>X</v>
      </c>
      <c r="IG412" s="58" t="str">
        <f t="shared" ca="1" si="1655"/>
        <v>X</v>
      </c>
      <c r="IH412" s="58" t="str">
        <f t="shared" ca="1" si="1656"/>
        <v>X</v>
      </c>
      <c r="II412" s="58" t="str">
        <f t="shared" ca="1" si="1657"/>
        <v>X</v>
      </c>
      <c r="IJ412" s="58" t="str">
        <f t="shared" ca="1" si="1658"/>
        <v>X</v>
      </c>
      <c r="IK412" s="58" t="str">
        <f t="shared" ca="1" si="1659"/>
        <v>X</v>
      </c>
      <c r="IL412" s="58" t="str">
        <f t="shared" ca="1" si="1660"/>
        <v>X</v>
      </c>
      <c r="IM412" s="58" t="str">
        <f t="shared" ca="1" si="1661"/>
        <v>X</v>
      </c>
      <c r="IN412" s="58" t="str">
        <f t="shared" ca="1" si="1662"/>
        <v>X</v>
      </c>
      <c r="IO412" s="58" t="str">
        <f t="shared" ca="1" si="1663"/>
        <v>X</v>
      </c>
      <c r="IP412" s="58" t="str">
        <f t="shared" ca="1" si="1664"/>
        <v>X</v>
      </c>
      <c r="IQ412" s="58" t="str">
        <f t="shared" ca="1" si="1665"/>
        <v>X</v>
      </c>
      <c r="IR412" s="58" t="str">
        <f t="shared" ca="1" si="1666"/>
        <v>X</v>
      </c>
      <c r="IS412" s="58" t="str">
        <f t="shared" ca="1" si="1667"/>
        <v>X</v>
      </c>
      <c r="IT412" s="58" t="str">
        <f t="shared" ca="1" si="1668"/>
        <v>X</v>
      </c>
      <c r="IU412" s="58" t="str">
        <f t="shared" ca="1" si="1669"/>
        <v>X</v>
      </c>
      <c r="IV412" s="58" t="str">
        <f t="shared" ca="1" si="1670"/>
        <v>X</v>
      </c>
      <c r="IW412" s="58" t="str">
        <f t="shared" ca="1" si="1671"/>
        <v>X</v>
      </c>
      <c r="IX412" s="58" t="str">
        <f t="shared" ca="1" si="1672"/>
        <v>X</v>
      </c>
      <c r="IY412" s="58" t="str">
        <f t="shared" ca="1" si="1673"/>
        <v>X</v>
      </c>
      <c r="IZ412" s="58" t="str">
        <f t="shared" ca="1" si="1674"/>
        <v>X</v>
      </c>
      <c r="JA412" s="58" t="str">
        <f t="shared" ca="1" si="1675"/>
        <v>X</v>
      </c>
      <c r="JB412" s="58" t="str">
        <f t="shared" ca="1" si="1676"/>
        <v>X</v>
      </c>
      <c r="JC412" s="58" t="str">
        <f t="shared" ca="1" si="1677"/>
        <v>X</v>
      </c>
      <c r="JD412" s="58" t="str">
        <f t="shared" ca="1" si="1678"/>
        <v>X</v>
      </c>
      <c r="JE412" s="58" t="str">
        <f t="shared" ca="1" si="1679"/>
        <v>X</v>
      </c>
      <c r="JF412" s="58" t="str">
        <f t="shared" ca="1" si="1680"/>
        <v>X</v>
      </c>
      <c r="JG412" s="58" t="str">
        <f t="shared" ca="1" si="1681"/>
        <v>X</v>
      </c>
      <c r="JH412" s="58" t="str">
        <f t="shared" ca="1" si="1682"/>
        <v>X</v>
      </c>
      <c r="JI412" s="58" t="str">
        <f t="shared" ca="1" si="1683"/>
        <v>X</v>
      </c>
      <c r="JJ412" s="58" t="str">
        <f t="shared" ca="1" si="1684"/>
        <v>X</v>
      </c>
      <c r="JK412" s="58" t="str">
        <f t="shared" ca="1" si="1685"/>
        <v>X</v>
      </c>
      <c r="JL412" s="58" t="str">
        <f t="shared" ca="1" si="1686"/>
        <v>X</v>
      </c>
      <c r="JM412" s="58" t="str">
        <f t="shared" ca="1" si="1687"/>
        <v>X</v>
      </c>
      <c r="JN412" s="58" t="str">
        <f t="shared" ca="1" si="1688"/>
        <v>X</v>
      </c>
      <c r="JO412" s="58" t="str">
        <f t="shared" ca="1" si="1689"/>
        <v>X</v>
      </c>
      <c r="JP412" s="58" t="str">
        <f t="shared" ca="1" si="1690"/>
        <v>X</v>
      </c>
      <c r="JQ412" s="58" t="str">
        <f t="shared" ca="1" si="1691"/>
        <v>X</v>
      </c>
      <c r="JR412" s="58" t="str">
        <f t="shared" ca="1" si="1692"/>
        <v>X</v>
      </c>
      <c r="JS412" s="58" t="str">
        <f t="shared" ca="1" si="1693"/>
        <v>X</v>
      </c>
      <c r="JT412" s="58" t="str">
        <f t="shared" ca="1" si="1694"/>
        <v>X</v>
      </c>
      <c r="JU412" s="58" t="str">
        <f t="shared" ca="1" si="1695"/>
        <v>X</v>
      </c>
      <c r="JV412" s="58" t="str">
        <f t="shared" ca="1" si="1696"/>
        <v>X</v>
      </c>
      <c r="JW412" s="58" t="str">
        <f t="shared" ca="1" si="1697"/>
        <v>X</v>
      </c>
      <c r="JX412" s="58" t="str">
        <f t="shared" ca="1" si="1698"/>
        <v>X</v>
      </c>
      <c r="JY412" s="58" t="str">
        <f t="shared" ca="1" si="1699"/>
        <v>X</v>
      </c>
      <c r="JZ412" s="58" t="str">
        <f t="shared" ca="1" si="1700"/>
        <v>X</v>
      </c>
      <c r="KA412" s="58" t="str">
        <f t="shared" ca="1" si="1701"/>
        <v>X</v>
      </c>
      <c r="KB412" s="58" t="str">
        <f t="shared" ca="1" si="1702"/>
        <v>X</v>
      </c>
      <c r="KC412" s="58" t="str">
        <f t="shared" ca="1" si="1703"/>
        <v>X</v>
      </c>
      <c r="KD412" s="58" t="str">
        <f t="shared" ca="1" si="1704"/>
        <v>X</v>
      </c>
      <c r="KE412" s="58" t="str">
        <f t="shared" ca="1" si="1705"/>
        <v>X</v>
      </c>
      <c r="KF412" s="58" t="str">
        <f t="shared" ca="1" si="1706"/>
        <v>X</v>
      </c>
      <c r="KG412" s="58" t="str">
        <f t="shared" ca="1" si="1707"/>
        <v>X</v>
      </c>
      <c r="KH412" s="58" t="str">
        <f t="shared" ca="1" si="1708"/>
        <v>X</v>
      </c>
      <c r="KI412" s="58" t="str">
        <f t="shared" ca="1" si="1709"/>
        <v>X</v>
      </c>
      <c r="KJ412" s="58" t="str">
        <f t="shared" ca="1" si="1710"/>
        <v>X</v>
      </c>
      <c r="KK412" s="58" t="str">
        <f t="shared" ca="1" si="1711"/>
        <v>X</v>
      </c>
      <c r="KL412" s="58" t="str">
        <f t="shared" ca="1" si="1712"/>
        <v>X</v>
      </c>
      <c r="KM412" s="58" t="str">
        <f t="shared" ca="1" si="1713"/>
        <v>X</v>
      </c>
      <c r="KN412" s="58" t="str">
        <f t="shared" ca="1" si="1714"/>
        <v>X</v>
      </c>
      <c r="KO412" s="58" t="str">
        <f t="shared" ca="1" si="1715"/>
        <v>X</v>
      </c>
      <c r="KP412" s="58">
        <f t="shared" ca="1" si="1716"/>
        <v>46265</v>
      </c>
      <c r="KQ412" s="58">
        <f t="shared" ca="1" si="1717"/>
        <v>46265</v>
      </c>
      <c r="KR412" s="58">
        <f t="shared" ca="1" si="1718"/>
        <v>46265</v>
      </c>
      <c r="KS412" s="58">
        <f t="shared" ca="1" si="1719"/>
        <v>46265</v>
      </c>
      <c r="KT412" s="58" t="str">
        <f t="shared" ca="1" si="1720"/>
        <v>X</v>
      </c>
      <c r="KU412" s="58" t="str">
        <f t="shared" ca="1" si="1721"/>
        <v>X</v>
      </c>
      <c r="KV412" s="58" t="str">
        <f t="shared" ca="1" si="1722"/>
        <v>X</v>
      </c>
      <c r="KW412" s="58" t="str">
        <f t="shared" ca="1" si="1723"/>
        <v>X</v>
      </c>
      <c r="KX412" s="58" t="str">
        <f t="shared" ca="1" si="1724"/>
        <v>X</v>
      </c>
      <c r="KY412" s="58" t="str">
        <f t="shared" ca="1" si="1725"/>
        <v>X</v>
      </c>
      <c r="KZ412" s="58" t="str">
        <f t="shared" ca="1" si="1726"/>
        <v>X</v>
      </c>
      <c r="LA412" s="58" t="str">
        <f t="shared" ca="1" si="1727"/>
        <v>X</v>
      </c>
      <c r="LB412" s="58" t="str">
        <f t="shared" ca="1" si="1728"/>
        <v>X</v>
      </c>
      <c r="LC412" s="58" t="str">
        <f t="shared" ca="1" si="1729"/>
        <v>X</v>
      </c>
      <c r="LD412" s="58">
        <f t="shared" ca="1" si="1730"/>
        <v>46294</v>
      </c>
      <c r="LE412" s="58">
        <f t="shared" ca="1" si="1731"/>
        <v>46294</v>
      </c>
      <c r="LF412" s="58">
        <f t="shared" ca="1" si="1732"/>
        <v>46294</v>
      </c>
      <c r="LG412" s="58">
        <f t="shared" ca="1" si="1733"/>
        <v>46294</v>
      </c>
      <c r="LH412" s="58" t="str">
        <f t="shared" ca="1" si="1734"/>
        <v>X</v>
      </c>
      <c r="LI412" s="58" t="str">
        <f t="shared" ca="1" si="1735"/>
        <v>X</v>
      </c>
      <c r="LJ412" s="58" t="str">
        <f t="shared" ca="1" si="1736"/>
        <v>X</v>
      </c>
      <c r="LK412" s="58" t="str">
        <f t="shared" ca="1" si="1737"/>
        <v>X</v>
      </c>
      <c r="LL412" s="58" t="str">
        <f t="shared" ca="1" si="1738"/>
        <v>X</v>
      </c>
      <c r="LM412" s="58" t="str">
        <f t="shared" ca="1" si="1739"/>
        <v>X</v>
      </c>
      <c r="LN412" s="58" t="str">
        <f t="shared" ca="1" si="1740"/>
        <v>X</v>
      </c>
      <c r="LO412" s="58" t="str">
        <f t="shared" ca="1" si="1741"/>
        <v>X</v>
      </c>
      <c r="LP412" s="58" t="str">
        <f t="shared" ca="1" si="1742"/>
        <v>X</v>
      </c>
      <c r="LQ412" s="58" t="str">
        <f t="shared" ca="1" si="1743"/>
        <v>X</v>
      </c>
      <c r="LR412" s="58">
        <f t="shared" ca="1" si="1744"/>
        <v>46322</v>
      </c>
      <c r="LS412" s="58">
        <f t="shared" ca="1" si="1745"/>
        <v>46322</v>
      </c>
      <c r="LT412" s="58">
        <f t="shared" ca="1" si="1746"/>
        <v>46322</v>
      </c>
      <c r="LU412" s="58">
        <f t="shared" ca="1" si="1747"/>
        <v>46322</v>
      </c>
      <c r="LV412" s="58" t="str">
        <f t="shared" ca="1" si="1748"/>
        <v>X</v>
      </c>
      <c r="LW412" s="58" t="str">
        <f t="shared" ca="1" si="1749"/>
        <v>X</v>
      </c>
      <c r="LX412" s="58" t="str">
        <f t="shared" ca="1" si="1750"/>
        <v>X</v>
      </c>
      <c r="LY412" s="58" t="str">
        <f t="shared" ca="1" si="1751"/>
        <v>X</v>
      </c>
      <c r="LZ412" s="58" t="str">
        <f t="shared" ca="1" si="1752"/>
        <v>X</v>
      </c>
      <c r="MA412" s="58" t="str">
        <f t="shared" ca="1" si="1753"/>
        <v>X</v>
      </c>
      <c r="MB412" s="58" t="str">
        <f t="shared" ca="1" si="1754"/>
        <v>X</v>
      </c>
      <c r="MC412" s="58" t="str">
        <f t="shared" ca="1" si="1755"/>
        <v>X</v>
      </c>
      <c r="MD412" s="58" t="str">
        <f t="shared" ca="1" si="1756"/>
        <v>X</v>
      </c>
      <c r="ME412" s="58" t="str">
        <f t="shared" ca="1" si="1757"/>
        <v>X</v>
      </c>
      <c r="MF412" s="58">
        <f t="shared" ca="1" si="1758"/>
        <v>46350</v>
      </c>
      <c r="MG412" s="58">
        <f t="shared" ca="1" si="1759"/>
        <v>46350</v>
      </c>
      <c r="MH412" s="58">
        <f t="shared" ca="1" si="1760"/>
        <v>46350</v>
      </c>
      <c r="MI412" s="58">
        <f t="shared" ca="1" si="1761"/>
        <v>46350</v>
      </c>
      <c r="MJ412" s="58" t="str">
        <f t="shared" ca="1" si="1762"/>
        <v>X</v>
      </c>
      <c r="MK412" s="58" t="str">
        <f t="shared" ca="1" si="1763"/>
        <v>X</v>
      </c>
      <c r="ML412" s="58" t="str">
        <f t="shared" ca="1" si="1764"/>
        <v>X</v>
      </c>
      <c r="MM412" s="58" t="str">
        <f t="shared" ca="1" si="1765"/>
        <v>X</v>
      </c>
      <c r="MN412" s="58" t="str">
        <f t="shared" ca="1" si="1766"/>
        <v>X</v>
      </c>
      <c r="MO412" s="58" t="str">
        <f t="shared" ca="1" si="1767"/>
        <v>X</v>
      </c>
      <c r="MP412" s="58" t="str">
        <f t="shared" ca="1" si="1768"/>
        <v>X</v>
      </c>
      <c r="MQ412" s="58" t="str">
        <f t="shared" ca="1" si="1769"/>
        <v>X</v>
      </c>
      <c r="MR412" s="58" t="str">
        <f t="shared" ca="1" si="1770"/>
        <v>X</v>
      </c>
      <c r="MS412" s="58" t="str">
        <f t="shared" ca="1" si="1771"/>
        <v>X</v>
      </c>
      <c r="MT412" s="58">
        <f t="shared" ref="MT412:NE412" ca="1" si="1813">IF($K412=INDIRECT(CONCATENATE("$AG$"&amp;GH$392)),INDIRECT(CONCATENATE("$AG$"&amp;GH$391)),
IF($K412=INDIRECT(CONCATENATE("$AF$"&amp;GH$392)),INDIRECT(CONCATENATE("$AF$"&amp;GH$391)),
IF($K412=INDIRECT(CONCATENATE("$AE$"&amp;GH$392)),INDIRECT(CONCATENATE("$AE$"&amp;GH$391)),
IF($K412=INDIRECT(CONCATENATE("$AD$"&amp;GH$392)),INDIRECT(CONCATENATE("$AD$"&amp;GH$391)),
IF($K412=INDIRECT(CONCATENATE("$AC$"&amp;GH$392)),INDIRECT(CONCATENATE("$AC$"&amp;GH$391)),
IF($K412=INDIRECT(CONCATENATE("$AB$"&amp;GH$392)),INDIRECT(CONCATENATE("$AB$"&amp;GH$391)),
IF($K412=INDIRECT(CONCATENATE("$AA$"&amp;GH$392)),INDIRECT(CONCATENATE("$AA$"&amp;GH$391)),
IF($K412=INDIRECT(CONCATENATE("$Z$"&amp;GH$392)),INDIRECT(CONCATENATE("$Z$"&amp;GH$391)),
IF($K412=INDIRECT(CONCATENATE("$Y$"&amp;GH$392)),INDIRECT(CONCATENATE("$Y$"&amp;GH$391)),
IF($K412=INDIRECT(CONCATENATE("$X$"&amp;GH$392)),INDIRECT(CONCATENATE("$X$"&amp;GH$391)),
IF($K412=INDIRECT(CONCATENATE("$W$"&amp;GH$392)),INDIRECT(CONCATENATE("$W$"&amp;GH$391)),
IF($K412=INDIRECT(CONCATENATE("$V$"&amp;GH$392)),INDIRECT(CONCATENATE("$V$"&amp;GH$391)),
IF($K412=INDIRECT(CONCATENATE("$U$"&amp;GH$392)),INDIRECT(CONCATENATE("$U$"&amp;GH$391)),
IF($K412=INDIRECT(CONCATENATE("$T$"&amp;GH$392)),INDIRECT(CONCATENATE("$T$"&amp;GH$391)),
IF($K412=INDIRECT(CONCATENATE("$S$"&amp;GH$392)),INDIRECT(CONCATENATE("$S$"&amp;GH$391)),
IF($K412=INDIRECT(CONCATENATE("$R$"&amp;GH$392)),INDIRECT(CONCATENATE("$R$"&amp;GH$391)),
IF($K412=INDIRECT(CONCATENATE("$Q$"&amp;GH$392)),INDIRECT(CONCATENATE("$Q$"&amp;GH$391)),
IF($K412=INDIRECT(CONCATENATE("$P$"&amp;GH$392)),INDIRECT(CONCATENATE("$P$"&amp;GH$391)),
IF($K412=INDIRECT(CONCATENATE("$O$"&amp;GH$392)),INDIRECT(CONCATENATE("$O$"&amp;GH$391)),
IF($K412=INDIRECT(CONCATENATE("$N$"&amp;GH$392)),INDIRECT(CONCATENATE("$N$"&amp;GH$391)),
IF($K412=INDIRECT(CONCATENATE("$M$"&amp;GH$392)),INDIRECT(CONCATENATE("$M$"&amp;GH$391)),
IF($K412=INDIRECT(CONCATENATE("$L$"&amp;GH$392)),INDIRECT(CONCATENATE("$L$"&amp;GH$391)),
IF($K412=INDIRECT(CONCATENATE("$K$"&amp;GH$392)),INDIRECT(CONCATENATE("$K$"&amp;GH$391)),
IF($K412=INDIRECT(CONCATENATE("$J$"&amp;GH$392)),INDIRECT(CONCATENATE("$J$"&amp;GH$391)),
IF($K412=INDIRECT(CONCATENATE("$I$"&amp;GH$392)),INDIRECT(CONCATENATE("$I$"&amp;GH$391)),
IF($K412=INDIRECT(CONCATENATE("$H$"&amp;GH$392)),INDIRECT(CONCATENATE("$H$"&amp;GH$391)),
IF($K412=INDIRECT(CONCATENATE("$G$"&amp;GH$392)),INDIRECT(CONCATENATE("$G$"&amp;GH$391)),
IF($K412=INDIRECT(CONCATENATE("$F$"&amp;GH$392)),INDIRECT(CONCATENATE("$F$"&amp;GH$391)),
IF($K412=INDIRECT(CONCATENATE("$E$"&amp;GH$392)),INDIRECT(CONCATENATE("$E$"&amp;GH$391)),
IF($K412=INDIRECT(CONCATENATE("$D$"&amp;GH$392)),INDIRECT(CONCATENATE("$D$"&amp;GH$391)),
IF($K412=INDIRECT(CONCATENATE("$C$"&amp;GH$392)),INDIRECT(CONCATENATE("$C$"&amp;GH$391)),"X")))))))))))))))))))))))))))))))</f>
        <v>46373</v>
      </c>
      <c r="MU412" s="58">
        <f t="shared" ca="1" si="1813"/>
        <v>46373</v>
      </c>
      <c r="MV412" s="58">
        <f t="shared" ca="1" si="1813"/>
        <v>46372</v>
      </c>
      <c r="MW412" s="58">
        <f t="shared" ca="1" si="1813"/>
        <v>46372</v>
      </c>
      <c r="MX412" s="58" t="str">
        <f t="shared" ca="1" si="1813"/>
        <v>X</v>
      </c>
      <c r="MY412" s="58" t="str">
        <f t="shared" ca="1" si="1813"/>
        <v>X</v>
      </c>
      <c r="MZ412" s="58" t="str">
        <f t="shared" ca="1" si="1813"/>
        <v>X</v>
      </c>
      <c r="NA412" s="58" t="str">
        <f t="shared" ca="1" si="1813"/>
        <v>X</v>
      </c>
      <c r="NB412" s="58" t="str">
        <f t="shared" ca="1" si="1813"/>
        <v>X</v>
      </c>
      <c r="NC412" s="58" t="str">
        <f t="shared" ca="1" si="1813"/>
        <v>X</v>
      </c>
      <c r="ND412" s="58" t="str">
        <f t="shared" ca="1" si="1813"/>
        <v>X</v>
      </c>
      <c r="NE412" s="58" t="str">
        <f t="shared" ca="1" si="1813"/>
        <v>X</v>
      </c>
      <c r="NF412" s="58" t="str">
        <f t="shared" ca="1" si="1773"/>
        <v>X</v>
      </c>
      <c r="NG412" s="58" t="str">
        <f t="shared" ca="1" si="1774"/>
        <v>X</v>
      </c>
    </row>
    <row r="413" spans="1:371" ht="18" customHeight="1">
      <c r="A413" s="230" t="s">
        <v>85</v>
      </c>
      <c r="B413" s="231"/>
      <c r="C413" s="231"/>
      <c r="D413" s="231"/>
      <c r="E413" s="231"/>
      <c r="F413" s="231"/>
      <c r="G413" s="231"/>
      <c r="H413" s="231"/>
      <c r="I413" s="231"/>
      <c r="J413" s="232"/>
      <c r="K413" s="269" t="s">
        <v>47</v>
      </c>
      <c r="L413" s="270"/>
      <c r="M413" s="181">
        <v>80</v>
      </c>
      <c r="N413" s="225" t="s">
        <v>86</v>
      </c>
      <c r="O413" s="304"/>
      <c r="P413" s="304"/>
      <c r="Q413" s="304"/>
      <c r="R413" s="303"/>
      <c r="S413" s="226">
        <v>202629</v>
      </c>
      <c r="T413" s="304"/>
      <c r="U413" s="303"/>
      <c r="V413" s="227" t="s">
        <v>89</v>
      </c>
      <c r="W413" s="303"/>
      <c r="X413" s="56">
        <f t="shared" ca="1" si="1775"/>
        <v>46247</v>
      </c>
      <c r="Y413" s="56">
        <f t="shared" ca="1" si="1776"/>
        <v>46366</v>
      </c>
      <c r="Z413" s="228" t="str">
        <f t="shared" ca="1" si="1612"/>
        <v>EM ANDAMENTO</v>
      </c>
      <c r="AA413" s="304"/>
      <c r="AB413" s="303"/>
      <c r="AC413" s="224">
        <f t="shared" si="1777"/>
        <v>80</v>
      </c>
      <c r="AD413" s="303"/>
      <c r="AE413" s="229">
        <f t="shared" si="1778"/>
        <v>0</v>
      </c>
      <c r="AF413" s="303"/>
      <c r="AG413" s="57" t="str">
        <f t="shared" si="1615"/>
        <v>OK</v>
      </c>
      <c r="AH413" s="21"/>
      <c r="AI413" s="70"/>
      <c r="AJ413" s="58" t="str">
        <f t="shared" ref="AJ413:GT413" ca="1" si="1814">IF($K413=INDIRECT(CONCATENATE("$C$"&amp;AJ$392)), INDIRECT(CONCATENATE("$C$"&amp;AJ$391)),
IF($K413=INDIRECT(CONCATENATE("$D$"&amp;AJ$392)), INDIRECT(CONCATENATE("$D$"&amp;AJ$391)),
IF($K413=INDIRECT(CONCATENATE("$E$"&amp;AJ$392)), INDIRECT(CONCATENATE("$E$"&amp;AJ$391)),
IF($K413=INDIRECT(CONCATENATE("$F$"&amp;AJ$392)), INDIRECT(CONCATENATE("$F$"&amp;AJ$391)),
IF($K413=INDIRECT(CONCATENATE("$G$"&amp;AJ$392)), INDIRECT(CONCATENATE("$G$"&amp;AJ$391)),
IF($K413=INDIRECT(CONCATENATE("$H$"&amp;AJ$392)), INDIRECT(CONCATENATE("$H$"&amp;AJ$391)),
IF($K413=INDIRECT(CONCATENATE("$I$"&amp;AJ$392)), INDIRECT(CONCATENATE("$I$"&amp;AJ$391)),
IF($K413=INDIRECT(CONCATENATE("$J$"&amp;AJ$392)), INDIRECT(CONCATENATE("$J$"&amp;AJ$391)),
IF($K413=INDIRECT(CONCATENATE("$K$"&amp;AJ$392)), INDIRECT(CONCATENATE("$K$"&amp;AJ$391)),
IF($K413=INDIRECT(CONCATENATE("$L$"&amp;AJ$392)), INDIRECT(CONCATENATE("$L$"&amp;AJ$391)),
IF($K413=INDIRECT(CONCATENATE("$M$"&amp;AJ$392)), INDIRECT(CONCATENATE("$M$"&amp;AJ$391)),
IF($K413=INDIRECT(CONCATENATE("$N$"&amp;AJ$392)), INDIRECT(CONCATENATE("$N$"&amp;AJ$391)),
IF($K413=INDIRECT(CONCATENATE("$O$"&amp;AJ$392)), INDIRECT(CONCATENATE("$O$"&amp;AJ$391)),
IF($K413=INDIRECT(CONCATENATE("$P$"&amp;AJ$392)), INDIRECT(CONCATENATE("$P$"&amp;AJ$391)),
IF($K413=INDIRECT(CONCATENATE("$Q$"&amp;AJ$392)), INDIRECT(CONCATENATE("$Q$"&amp;AJ$391)),
IF($K413=INDIRECT(CONCATENATE("$R$"&amp;AJ$392)), INDIRECT(CONCATENATE("$R$"&amp;AJ$391)),
IF($K413=INDIRECT(CONCATENATE("$S$"&amp;AJ$392)), INDIRECT(CONCATENATE("$S$"&amp;AJ$391)),
IF($K413=INDIRECT(CONCATENATE("$T$"&amp;AJ$392)), INDIRECT(CONCATENATE("$T$"&amp;AJ$391)),
IF($K413=INDIRECT(CONCATENATE("$U$"&amp;AJ$392)), INDIRECT(CONCATENATE("$U$"&amp;AJ$391)),
IF($K413=INDIRECT(CONCATENATE("$V$"&amp;AJ$392)), INDIRECT(CONCATENATE("$V$"&amp;AJ$391)),
IF($K413=INDIRECT(CONCATENATE("$W$"&amp;AJ$392)), INDIRECT(CONCATENATE("$W$"&amp;AJ$391)),
IF($K413=INDIRECT(CONCATENATE("$X$"&amp;AJ$392)), INDIRECT(CONCATENATE("$X$"&amp;AJ$391)),
IF($K413=INDIRECT(CONCATENATE("$Y$"&amp;AJ$392)), INDIRECT(CONCATENATE("$Y$"&amp;AJ$391)),
IF($K413=INDIRECT(CONCATENATE("$Z$"&amp;AJ$392)), INDIRECT(CONCATENATE("$Z$"&amp;AJ$391)),
IF($K413=INDIRECT(CONCATENATE("$AA$"&amp;AJ$392)), INDIRECT(CONCATENATE("$AA$"&amp;AJ$391)),
IF($K413=INDIRECT(CONCATENATE("$AB$"&amp;AJ$392)), INDIRECT(CONCATENATE("$AB$"&amp;AJ$391)),
IF($K413=INDIRECT(CONCATENATE("$AC$"&amp;AJ$392)), INDIRECT(CONCATENATE("$AC$"&amp;AJ$391)),
IF($K413=INDIRECT(CONCATENATE("$AD$"&amp;AJ$392)), INDIRECT(CONCATENATE("$AD$"&amp;AJ$391)),
IF($K413=INDIRECT(CONCATENATE("$AE$"&amp;AJ$392)), INDIRECT(CONCATENATE("$AE$"&amp;AJ$391)),
IF($K413=INDIRECT(CONCATENATE("$AF$"&amp;AJ$392)), INDIRECT(CONCATENATE("$AF$"&amp;AJ$391)),
IF($K413=INDIRECT(CONCATENATE("$AG$"&amp;AJ$392)), INDIRECT(CONCATENATE("$AG$"&amp;AJ$391)),"X")))))))))))))))))))))))))))))))</f>
        <v>X</v>
      </c>
      <c r="AK413" s="58" t="str">
        <f t="shared" ca="1" si="1814"/>
        <v>X</v>
      </c>
      <c r="AL413" s="58" t="str">
        <f t="shared" ca="1" si="1814"/>
        <v>X</v>
      </c>
      <c r="AM413" s="58" t="str">
        <f t="shared" ca="1" si="1814"/>
        <v>X</v>
      </c>
      <c r="AN413" s="58" t="str">
        <f t="shared" ca="1" si="1814"/>
        <v>X</v>
      </c>
      <c r="AO413" s="58" t="str">
        <f t="shared" ca="1" si="1814"/>
        <v>X</v>
      </c>
      <c r="AP413" s="58" t="str">
        <f t="shared" ca="1" si="1814"/>
        <v>X</v>
      </c>
      <c r="AQ413" s="58" t="str">
        <f t="shared" ca="1" si="1814"/>
        <v>X</v>
      </c>
      <c r="AR413" s="58" t="str">
        <f t="shared" ca="1" si="1814"/>
        <v>X</v>
      </c>
      <c r="AS413" s="58" t="str">
        <f t="shared" ca="1" si="1814"/>
        <v>X</v>
      </c>
      <c r="AT413" s="58" t="str">
        <f t="shared" ca="1" si="1814"/>
        <v>X</v>
      </c>
      <c r="AU413" s="58" t="str">
        <f t="shared" ca="1" si="1814"/>
        <v>X</v>
      </c>
      <c r="AV413" s="58" t="str">
        <f t="shared" ca="1" si="1814"/>
        <v>X</v>
      </c>
      <c r="AW413" s="58" t="str">
        <f t="shared" ca="1" si="1814"/>
        <v>X</v>
      </c>
      <c r="AX413" s="58" t="str">
        <f t="shared" ca="1" si="1814"/>
        <v>X</v>
      </c>
      <c r="AY413" s="58" t="str">
        <f t="shared" ca="1" si="1814"/>
        <v>X</v>
      </c>
      <c r="AZ413" s="58" t="str">
        <f t="shared" ca="1" si="1814"/>
        <v>X</v>
      </c>
      <c r="BA413" s="58" t="str">
        <f t="shared" ca="1" si="1814"/>
        <v>X</v>
      </c>
      <c r="BB413" s="58" t="str">
        <f t="shared" ca="1" si="1814"/>
        <v>X</v>
      </c>
      <c r="BC413" s="58" t="str">
        <f t="shared" ca="1" si="1814"/>
        <v>X</v>
      </c>
      <c r="BD413" s="58" t="str">
        <f t="shared" ca="1" si="1814"/>
        <v>X</v>
      </c>
      <c r="BE413" s="58" t="str">
        <f t="shared" ca="1" si="1814"/>
        <v>X</v>
      </c>
      <c r="BF413" s="58" t="str">
        <f t="shared" ca="1" si="1814"/>
        <v>X</v>
      </c>
      <c r="BG413" s="58" t="str">
        <f t="shared" ca="1" si="1814"/>
        <v>X</v>
      </c>
      <c r="BH413" s="58" t="str">
        <f t="shared" ca="1" si="1814"/>
        <v>X</v>
      </c>
      <c r="BI413" s="58" t="str">
        <f t="shared" ca="1" si="1814"/>
        <v>X</v>
      </c>
      <c r="BJ413" s="58" t="str">
        <f t="shared" ca="1" si="1814"/>
        <v>X</v>
      </c>
      <c r="BK413" s="58" t="str">
        <f t="shared" ca="1" si="1814"/>
        <v>X</v>
      </c>
      <c r="BL413" s="58" t="str">
        <f t="shared" ca="1" si="1814"/>
        <v>X</v>
      </c>
      <c r="BM413" s="58" t="str">
        <f t="shared" ca="1" si="1814"/>
        <v>X</v>
      </c>
      <c r="BN413" s="58" t="str">
        <f t="shared" ca="1" si="1814"/>
        <v>X</v>
      </c>
      <c r="BO413" s="58" t="str">
        <f t="shared" ca="1" si="1814"/>
        <v>X</v>
      </c>
      <c r="BP413" s="58" t="str">
        <f t="shared" ca="1" si="1814"/>
        <v>X</v>
      </c>
      <c r="BQ413" s="58" t="str">
        <f t="shared" ca="1" si="1814"/>
        <v>X</v>
      </c>
      <c r="BR413" s="58" t="str">
        <f t="shared" ca="1" si="1814"/>
        <v>X</v>
      </c>
      <c r="BS413" s="58" t="str">
        <f t="shared" ca="1" si="1814"/>
        <v>X</v>
      </c>
      <c r="BT413" s="58" t="str">
        <f t="shared" ca="1" si="1814"/>
        <v>X</v>
      </c>
      <c r="BU413" s="58" t="str">
        <f t="shared" ca="1" si="1814"/>
        <v>X</v>
      </c>
      <c r="BV413" s="58" t="str">
        <f t="shared" ca="1" si="1814"/>
        <v>X</v>
      </c>
      <c r="BW413" s="58" t="str">
        <f t="shared" ca="1" si="1814"/>
        <v>X</v>
      </c>
      <c r="BX413" s="58" t="str">
        <f t="shared" ca="1" si="1814"/>
        <v>X</v>
      </c>
      <c r="BY413" s="58" t="str">
        <f t="shared" ca="1" si="1814"/>
        <v>X</v>
      </c>
      <c r="BZ413" s="58" t="str">
        <f t="shared" ca="1" si="1814"/>
        <v>X</v>
      </c>
      <c r="CA413" s="58" t="str">
        <f t="shared" ca="1" si="1814"/>
        <v>X</v>
      </c>
      <c r="CB413" s="58" t="str">
        <f t="shared" ca="1" si="1814"/>
        <v>X</v>
      </c>
      <c r="CC413" s="58" t="str">
        <f t="shared" ca="1" si="1814"/>
        <v>X</v>
      </c>
      <c r="CD413" s="58" t="str">
        <f t="shared" ca="1" si="1814"/>
        <v>X</v>
      </c>
      <c r="CE413" s="58" t="str">
        <f t="shared" ca="1" si="1814"/>
        <v>X</v>
      </c>
      <c r="CF413" s="58" t="str">
        <f t="shared" ca="1" si="1814"/>
        <v>X</v>
      </c>
      <c r="CG413" s="58" t="str">
        <f t="shared" ca="1" si="1814"/>
        <v>X</v>
      </c>
      <c r="CH413" s="58" t="str">
        <f t="shared" ca="1" si="1814"/>
        <v>X</v>
      </c>
      <c r="CI413" s="58" t="str">
        <f t="shared" ca="1" si="1814"/>
        <v>X</v>
      </c>
      <c r="CJ413" s="58" t="str">
        <f t="shared" ca="1" si="1814"/>
        <v>X</v>
      </c>
      <c r="CK413" s="58" t="str">
        <f t="shared" ca="1" si="1814"/>
        <v>X</v>
      </c>
      <c r="CL413" s="58" t="str">
        <f t="shared" ca="1" si="1814"/>
        <v>X</v>
      </c>
      <c r="CM413" s="58" t="str">
        <f t="shared" ca="1" si="1814"/>
        <v>X</v>
      </c>
      <c r="CN413" s="58" t="str">
        <f t="shared" ca="1" si="1814"/>
        <v>X</v>
      </c>
      <c r="CO413" s="58" t="str">
        <f t="shared" ca="1" si="1814"/>
        <v>X</v>
      </c>
      <c r="CP413" s="58" t="str">
        <f t="shared" ca="1" si="1814"/>
        <v>X</v>
      </c>
      <c r="CQ413" s="58" t="str">
        <f t="shared" ca="1" si="1814"/>
        <v>X</v>
      </c>
      <c r="CR413" s="58" t="str">
        <f t="shared" ca="1" si="1814"/>
        <v>X</v>
      </c>
      <c r="CS413" s="58" t="str">
        <f t="shared" ca="1" si="1814"/>
        <v>X</v>
      </c>
      <c r="CT413" s="58" t="str">
        <f t="shared" ca="1" si="1814"/>
        <v>X</v>
      </c>
      <c r="CU413" s="58" t="str">
        <f t="shared" ca="1" si="1814"/>
        <v>X</v>
      </c>
      <c r="CV413" s="58" t="str">
        <f t="shared" ca="1" si="1814"/>
        <v>X</v>
      </c>
      <c r="CW413" s="58" t="str">
        <f t="shared" ca="1" si="1814"/>
        <v>X</v>
      </c>
      <c r="CX413" s="58" t="str">
        <f t="shared" ca="1" si="1814"/>
        <v>X</v>
      </c>
      <c r="CY413" s="58" t="str">
        <f t="shared" ca="1" si="1814"/>
        <v>X</v>
      </c>
      <c r="CZ413" s="58" t="str">
        <f t="shared" ca="1" si="1814"/>
        <v>X</v>
      </c>
      <c r="DA413" s="58" t="str">
        <f t="shared" ca="1" si="1814"/>
        <v>X</v>
      </c>
      <c r="DB413" s="58" t="str">
        <f t="shared" ca="1" si="1814"/>
        <v>X</v>
      </c>
      <c r="DC413" s="58" t="str">
        <f t="shared" ca="1" si="1814"/>
        <v>X</v>
      </c>
      <c r="DD413" s="58" t="str">
        <f t="shared" ca="1" si="1814"/>
        <v>X</v>
      </c>
      <c r="DE413" s="58" t="str">
        <f t="shared" ca="1" si="1814"/>
        <v>X</v>
      </c>
      <c r="DF413" s="58" t="str">
        <f t="shared" ca="1" si="1814"/>
        <v>X</v>
      </c>
      <c r="DG413" s="58" t="str">
        <f t="shared" ca="1" si="1814"/>
        <v>X</v>
      </c>
      <c r="DH413" s="58" t="str">
        <f t="shared" ca="1" si="1814"/>
        <v>X</v>
      </c>
      <c r="DI413" s="58" t="str">
        <f t="shared" ca="1" si="1814"/>
        <v>X</v>
      </c>
      <c r="DJ413" s="58" t="str">
        <f t="shared" ca="1" si="1814"/>
        <v>X</v>
      </c>
      <c r="DK413" s="58" t="str">
        <f t="shared" ca="1" si="1814"/>
        <v>X</v>
      </c>
      <c r="DL413" s="58" t="str">
        <f t="shared" ca="1" si="1814"/>
        <v>X</v>
      </c>
      <c r="DM413" s="58" t="str">
        <f t="shared" ca="1" si="1814"/>
        <v>X</v>
      </c>
      <c r="DN413" s="58" t="str">
        <f t="shared" ca="1" si="1814"/>
        <v>X</v>
      </c>
      <c r="DO413" s="58" t="str">
        <f t="shared" ca="1" si="1814"/>
        <v>X</v>
      </c>
      <c r="DP413" s="58" t="str">
        <f t="shared" ca="1" si="1814"/>
        <v>X</v>
      </c>
      <c r="DQ413" s="58" t="str">
        <f t="shared" ca="1" si="1814"/>
        <v>X</v>
      </c>
      <c r="DR413" s="58" t="str">
        <f t="shared" ca="1" si="1814"/>
        <v>X</v>
      </c>
      <c r="DS413" s="58" t="str">
        <f t="shared" ca="1" si="1814"/>
        <v>X</v>
      </c>
      <c r="DT413" s="58" t="str">
        <f t="shared" ca="1" si="1814"/>
        <v>X</v>
      </c>
      <c r="DU413" s="58" t="str">
        <f t="shared" ca="1" si="1814"/>
        <v>X</v>
      </c>
      <c r="DV413" s="58" t="str">
        <f t="shared" ca="1" si="1814"/>
        <v>X</v>
      </c>
      <c r="DW413" s="58" t="str">
        <f t="shared" ca="1" si="1814"/>
        <v>X</v>
      </c>
      <c r="DX413" s="58" t="str">
        <f t="shared" ca="1" si="1814"/>
        <v>X</v>
      </c>
      <c r="DY413" s="58" t="str">
        <f t="shared" ca="1" si="1814"/>
        <v>X</v>
      </c>
      <c r="DZ413" s="58" t="str">
        <f t="shared" ca="1" si="1814"/>
        <v>X</v>
      </c>
      <c r="EA413" s="58" t="str">
        <f t="shared" ca="1" si="1814"/>
        <v>X</v>
      </c>
      <c r="EB413" s="58" t="str">
        <f t="shared" ca="1" si="1814"/>
        <v>X</v>
      </c>
      <c r="EC413" s="58" t="str">
        <f t="shared" ca="1" si="1814"/>
        <v>X</v>
      </c>
      <c r="ED413" s="58">
        <f t="shared" ca="1" si="1814"/>
        <v>46247</v>
      </c>
      <c r="EE413" s="58">
        <f t="shared" ca="1" si="1814"/>
        <v>46247</v>
      </c>
      <c r="EF413" s="58">
        <f t="shared" ca="1" si="1814"/>
        <v>46247</v>
      </c>
      <c r="EG413" s="58">
        <f t="shared" ca="1" si="1814"/>
        <v>46247</v>
      </c>
      <c r="EH413" s="58" t="str">
        <f t="shared" ca="1" si="1814"/>
        <v>X</v>
      </c>
      <c r="EI413" s="58" t="str">
        <f t="shared" ca="1" si="1814"/>
        <v>X</v>
      </c>
      <c r="EJ413" s="58" t="str">
        <f t="shared" ca="1" si="1814"/>
        <v>X</v>
      </c>
      <c r="EK413" s="58" t="str">
        <f t="shared" ca="1" si="1814"/>
        <v>X</v>
      </c>
      <c r="EL413" s="58" t="str">
        <f t="shared" ca="1" si="1814"/>
        <v>X</v>
      </c>
      <c r="EM413" s="58" t="str">
        <f t="shared" ca="1" si="1814"/>
        <v>X</v>
      </c>
      <c r="EN413" s="58" t="str">
        <f t="shared" ca="1" si="1814"/>
        <v>X</v>
      </c>
      <c r="EO413" s="58" t="str">
        <f t="shared" ca="1" si="1814"/>
        <v>X</v>
      </c>
      <c r="EP413" s="58" t="str">
        <f t="shared" ca="1" si="1814"/>
        <v>X</v>
      </c>
      <c r="EQ413" s="58" t="str">
        <f t="shared" ca="1" si="1814"/>
        <v>X</v>
      </c>
      <c r="ER413" s="58">
        <f t="shared" ca="1" si="1814"/>
        <v>46267</v>
      </c>
      <c r="ES413" s="58">
        <f t="shared" ca="1" si="1814"/>
        <v>46267</v>
      </c>
      <c r="ET413" s="58">
        <f t="shared" ca="1" si="1814"/>
        <v>46267</v>
      </c>
      <c r="EU413" s="58">
        <f t="shared" ca="1" si="1814"/>
        <v>46267</v>
      </c>
      <c r="EV413" s="58" t="str">
        <f t="shared" ca="1" si="1814"/>
        <v>X</v>
      </c>
      <c r="EW413" s="58" t="str">
        <f t="shared" ca="1" si="1814"/>
        <v>X</v>
      </c>
      <c r="EX413" s="58" t="str">
        <f t="shared" ca="1" si="1814"/>
        <v>X</v>
      </c>
      <c r="EY413" s="58" t="str">
        <f t="shared" ca="1" si="1814"/>
        <v>X</v>
      </c>
      <c r="EZ413" s="58" t="str">
        <f t="shared" ca="1" si="1814"/>
        <v>X</v>
      </c>
      <c r="FA413" s="58" t="str">
        <f t="shared" ca="1" si="1814"/>
        <v>X</v>
      </c>
      <c r="FB413" s="58" t="str">
        <f t="shared" ca="1" si="1814"/>
        <v>X</v>
      </c>
      <c r="FC413" s="58" t="str">
        <f t="shared" ca="1" si="1814"/>
        <v>X</v>
      </c>
      <c r="FD413" s="58" t="str">
        <f t="shared" ca="1" si="1814"/>
        <v>X</v>
      </c>
      <c r="FE413" s="58" t="str">
        <f t="shared" ca="1" si="1814"/>
        <v>X</v>
      </c>
      <c r="FF413" s="58">
        <f t="shared" ca="1" si="1814"/>
        <v>46302</v>
      </c>
      <c r="FG413" s="58">
        <f t="shared" ca="1" si="1814"/>
        <v>46302</v>
      </c>
      <c r="FH413" s="58">
        <f t="shared" ca="1" si="1814"/>
        <v>46302</v>
      </c>
      <c r="FI413" s="58">
        <f t="shared" ca="1" si="1814"/>
        <v>46302</v>
      </c>
      <c r="FJ413" s="58" t="str">
        <f t="shared" ca="1" si="1814"/>
        <v>X</v>
      </c>
      <c r="FK413" s="58" t="str">
        <f t="shared" ca="1" si="1814"/>
        <v>X</v>
      </c>
      <c r="FL413" s="58" t="str">
        <f t="shared" ca="1" si="1814"/>
        <v>X</v>
      </c>
      <c r="FM413" s="58" t="str">
        <f t="shared" ca="1" si="1814"/>
        <v>X</v>
      </c>
      <c r="FN413" s="58" t="str">
        <f t="shared" ca="1" si="1814"/>
        <v>X</v>
      </c>
      <c r="FO413" s="58" t="str">
        <f t="shared" ca="1" si="1814"/>
        <v>X</v>
      </c>
      <c r="FP413" s="58" t="str">
        <f t="shared" ca="1" si="1814"/>
        <v>X</v>
      </c>
      <c r="FQ413" s="58" t="str">
        <f t="shared" ca="1" si="1814"/>
        <v>X</v>
      </c>
      <c r="FR413" s="58" t="str">
        <f t="shared" ca="1" si="1814"/>
        <v>X</v>
      </c>
      <c r="FS413" s="58" t="str">
        <f t="shared" ca="1" si="1814"/>
        <v>X</v>
      </c>
      <c r="FT413" s="58">
        <f t="shared" ca="1" si="1814"/>
        <v>46337</v>
      </c>
      <c r="FU413" s="58">
        <f t="shared" ca="1" si="1814"/>
        <v>46337</v>
      </c>
      <c r="FV413" s="58">
        <f t="shared" ca="1" si="1814"/>
        <v>46337</v>
      </c>
      <c r="FW413" s="58">
        <f t="shared" ca="1" si="1814"/>
        <v>46337</v>
      </c>
      <c r="FX413" s="58" t="str">
        <f t="shared" ca="1" si="1814"/>
        <v>X</v>
      </c>
      <c r="FY413" s="58" t="str">
        <f t="shared" ca="1" si="1814"/>
        <v>X</v>
      </c>
      <c r="FZ413" s="58" t="str">
        <f t="shared" ca="1" si="1814"/>
        <v>X</v>
      </c>
      <c r="GA413" s="58" t="str">
        <f t="shared" ca="1" si="1814"/>
        <v>X</v>
      </c>
      <c r="GB413" s="58" t="str">
        <f t="shared" ca="1" si="1814"/>
        <v>X</v>
      </c>
      <c r="GC413" s="58" t="str">
        <f t="shared" ca="1" si="1814"/>
        <v>X</v>
      </c>
      <c r="GD413" s="58" t="str">
        <f t="shared" ca="1" si="1814"/>
        <v>X</v>
      </c>
      <c r="GE413" s="58" t="str">
        <f t="shared" ca="1" si="1814"/>
        <v>X</v>
      </c>
      <c r="GF413" s="58" t="str">
        <f t="shared" ca="1" si="1814"/>
        <v>X</v>
      </c>
      <c r="GG413" s="58" t="str">
        <f t="shared" ca="1" si="1814"/>
        <v>X</v>
      </c>
      <c r="GH413" s="58">
        <f t="shared" ca="1" si="1814"/>
        <v>46359</v>
      </c>
      <c r="GI413" s="58">
        <f t="shared" ca="1" si="1814"/>
        <v>46359</v>
      </c>
      <c r="GJ413" s="58">
        <f t="shared" ca="1" si="1814"/>
        <v>46359</v>
      </c>
      <c r="GK413" s="58">
        <f t="shared" ca="1" si="1814"/>
        <v>46359</v>
      </c>
      <c r="GL413" s="58" t="str">
        <f t="shared" ca="1" si="1814"/>
        <v>X</v>
      </c>
      <c r="GM413" s="58" t="str">
        <f t="shared" ca="1" si="1814"/>
        <v>X</v>
      </c>
      <c r="GN413" s="58" t="str">
        <f t="shared" ca="1" si="1814"/>
        <v>X</v>
      </c>
      <c r="GO413" s="58" t="str">
        <f t="shared" ca="1" si="1814"/>
        <v>X</v>
      </c>
      <c r="GP413" s="58" t="str">
        <f t="shared" ca="1" si="1814"/>
        <v>X</v>
      </c>
      <c r="GQ413" s="58" t="str">
        <f t="shared" ca="1" si="1814"/>
        <v>X</v>
      </c>
      <c r="GR413" s="58" t="str">
        <f t="shared" ca="1" si="1814"/>
        <v>X</v>
      </c>
      <c r="GS413" s="80" t="str">
        <f t="shared" ca="1" si="1814"/>
        <v>X</v>
      </c>
      <c r="GT413" s="58" t="str">
        <f t="shared" ca="1" si="1814"/>
        <v>X</v>
      </c>
      <c r="GU413" s="82" t="str">
        <f t="shared" ca="1" si="1617"/>
        <v>X</v>
      </c>
      <c r="GV413" s="58" t="str">
        <f t="shared" ca="1" si="1618"/>
        <v>X</v>
      </c>
      <c r="GW413" s="58" t="str">
        <f t="shared" ca="1" si="1619"/>
        <v>X</v>
      </c>
      <c r="GX413" s="58" t="str">
        <f t="shared" ca="1" si="1620"/>
        <v>X</v>
      </c>
      <c r="GY413" s="58" t="str">
        <f t="shared" ca="1" si="1621"/>
        <v>X</v>
      </c>
      <c r="GZ413" s="58" t="str">
        <f t="shared" ca="1" si="1622"/>
        <v>X</v>
      </c>
      <c r="HA413" s="58" t="str">
        <f t="shared" ca="1" si="1623"/>
        <v>X</v>
      </c>
      <c r="HB413" s="58" t="str">
        <f t="shared" ca="1" si="1624"/>
        <v>X</v>
      </c>
      <c r="HC413" s="58" t="str">
        <f t="shared" ca="1" si="1625"/>
        <v>X</v>
      </c>
      <c r="HD413" s="58" t="str">
        <f t="shared" ca="1" si="1626"/>
        <v>X</v>
      </c>
      <c r="HE413" s="58" t="str">
        <f t="shared" ca="1" si="1627"/>
        <v>X</v>
      </c>
      <c r="HF413" s="58" t="str">
        <f t="shared" ca="1" si="1628"/>
        <v>X</v>
      </c>
      <c r="HG413" s="58" t="str">
        <f t="shared" ca="1" si="1629"/>
        <v>X</v>
      </c>
      <c r="HH413" s="58" t="str">
        <f t="shared" ca="1" si="1630"/>
        <v>X</v>
      </c>
      <c r="HI413" s="58" t="str">
        <f t="shared" ca="1" si="1631"/>
        <v>X</v>
      </c>
      <c r="HJ413" s="58" t="str">
        <f t="shared" ca="1" si="1632"/>
        <v>X</v>
      </c>
      <c r="HK413" s="58" t="str">
        <f t="shared" ca="1" si="1633"/>
        <v>X</v>
      </c>
      <c r="HL413" s="58" t="str">
        <f t="shared" ca="1" si="1634"/>
        <v>X</v>
      </c>
      <c r="HM413" s="58" t="str">
        <f t="shared" ca="1" si="1635"/>
        <v>X</v>
      </c>
      <c r="HN413" s="58" t="str">
        <f t="shared" ca="1" si="1636"/>
        <v>X</v>
      </c>
      <c r="HO413" s="58" t="str">
        <f t="shared" ca="1" si="1637"/>
        <v>X</v>
      </c>
      <c r="HP413" s="58" t="str">
        <f t="shared" ca="1" si="1638"/>
        <v>X</v>
      </c>
      <c r="HQ413" s="58" t="str">
        <f t="shared" ca="1" si="1639"/>
        <v>X</v>
      </c>
      <c r="HR413" s="58" t="str">
        <f t="shared" ca="1" si="1640"/>
        <v>X</v>
      </c>
      <c r="HS413" s="58" t="str">
        <f t="shared" ca="1" si="1641"/>
        <v>X</v>
      </c>
      <c r="HT413" s="58" t="str">
        <f t="shared" ca="1" si="1642"/>
        <v>X</v>
      </c>
      <c r="HU413" s="58" t="str">
        <f t="shared" ca="1" si="1643"/>
        <v>X</v>
      </c>
      <c r="HV413" s="58" t="str">
        <f t="shared" ca="1" si="1644"/>
        <v>X</v>
      </c>
      <c r="HW413" s="58" t="str">
        <f t="shared" ca="1" si="1645"/>
        <v>X</v>
      </c>
      <c r="HX413" s="58" t="str">
        <f t="shared" ca="1" si="1646"/>
        <v>X</v>
      </c>
      <c r="HY413" s="58" t="str">
        <f t="shared" ca="1" si="1647"/>
        <v>X</v>
      </c>
      <c r="HZ413" s="58" t="str">
        <f t="shared" ca="1" si="1648"/>
        <v>X</v>
      </c>
      <c r="IA413" s="58" t="str">
        <f t="shared" ca="1" si="1649"/>
        <v>X</v>
      </c>
      <c r="IB413" s="58" t="str">
        <f t="shared" ca="1" si="1650"/>
        <v>X</v>
      </c>
      <c r="IC413" s="58" t="str">
        <f t="shared" ca="1" si="1651"/>
        <v>X</v>
      </c>
      <c r="ID413" s="58" t="str">
        <f t="shared" ca="1" si="1652"/>
        <v>X</v>
      </c>
      <c r="IE413" s="58" t="str">
        <f t="shared" ca="1" si="1653"/>
        <v>X</v>
      </c>
      <c r="IF413" s="58" t="str">
        <f t="shared" ca="1" si="1654"/>
        <v>X</v>
      </c>
      <c r="IG413" s="58" t="str">
        <f t="shared" ca="1" si="1655"/>
        <v>X</v>
      </c>
      <c r="IH413" s="58" t="str">
        <f t="shared" ca="1" si="1656"/>
        <v>X</v>
      </c>
      <c r="II413" s="58" t="str">
        <f t="shared" ca="1" si="1657"/>
        <v>X</v>
      </c>
      <c r="IJ413" s="58" t="str">
        <f t="shared" ca="1" si="1658"/>
        <v>X</v>
      </c>
      <c r="IK413" s="58" t="str">
        <f t="shared" ca="1" si="1659"/>
        <v>X</v>
      </c>
      <c r="IL413" s="58" t="str">
        <f t="shared" ca="1" si="1660"/>
        <v>X</v>
      </c>
      <c r="IM413" s="58" t="str">
        <f t="shared" ca="1" si="1661"/>
        <v>X</v>
      </c>
      <c r="IN413" s="58" t="str">
        <f t="shared" ca="1" si="1662"/>
        <v>X</v>
      </c>
      <c r="IO413" s="58" t="str">
        <f t="shared" ca="1" si="1663"/>
        <v>X</v>
      </c>
      <c r="IP413" s="58" t="str">
        <f t="shared" ca="1" si="1664"/>
        <v>X</v>
      </c>
      <c r="IQ413" s="58" t="str">
        <f t="shared" ca="1" si="1665"/>
        <v>X</v>
      </c>
      <c r="IR413" s="58" t="str">
        <f t="shared" ca="1" si="1666"/>
        <v>X</v>
      </c>
      <c r="IS413" s="58" t="str">
        <f t="shared" ca="1" si="1667"/>
        <v>X</v>
      </c>
      <c r="IT413" s="58" t="str">
        <f t="shared" ca="1" si="1668"/>
        <v>X</v>
      </c>
      <c r="IU413" s="58" t="str">
        <f t="shared" ca="1" si="1669"/>
        <v>X</v>
      </c>
      <c r="IV413" s="58" t="str">
        <f t="shared" ca="1" si="1670"/>
        <v>X</v>
      </c>
      <c r="IW413" s="58" t="str">
        <f t="shared" ca="1" si="1671"/>
        <v>X</v>
      </c>
      <c r="IX413" s="58" t="str">
        <f t="shared" ca="1" si="1672"/>
        <v>X</v>
      </c>
      <c r="IY413" s="58" t="str">
        <f t="shared" ca="1" si="1673"/>
        <v>X</v>
      </c>
      <c r="IZ413" s="58" t="str">
        <f t="shared" ca="1" si="1674"/>
        <v>X</v>
      </c>
      <c r="JA413" s="58" t="str">
        <f t="shared" ca="1" si="1675"/>
        <v>X</v>
      </c>
      <c r="JB413" s="58" t="str">
        <f t="shared" ca="1" si="1676"/>
        <v>X</v>
      </c>
      <c r="JC413" s="58" t="str">
        <f t="shared" ca="1" si="1677"/>
        <v>X</v>
      </c>
      <c r="JD413" s="58" t="str">
        <f t="shared" ca="1" si="1678"/>
        <v>X</v>
      </c>
      <c r="JE413" s="58" t="str">
        <f t="shared" ca="1" si="1679"/>
        <v>X</v>
      </c>
      <c r="JF413" s="58" t="str">
        <f t="shared" ca="1" si="1680"/>
        <v>X</v>
      </c>
      <c r="JG413" s="58" t="str">
        <f t="shared" ca="1" si="1681"/>
        <v>X</v>
      </c>
      <c r="JH413" s="58" t="str">
        <f t="shared" ca="1" si="1682"/>
        <v>X</v>
      </c>
      <c r="JI413" s="58" t="str">
        <f t="shared" ca="1" si="1683"/>
        <v>X</v>
      </c>
      <c r="JJ413" s="58" t="str">
        <f t="shared" ca="1" si="1684"/>
        <v>X</v>
      </c>
      <c r="JK413" s="58" t="str">
        <f t="shared" ca="1" si="1685"/>
        <v>X</v>
      </c>
      <c r="JL413" s="58" t="str">
        <f t="shared" ca="1" si="1686"/>
        <v>X</v>
      </c>
      <c r="JM413" s="58" t="str">
        <f t="shared" ca="1" si="1687"/>
        <v>X</v>
      </c>
      <c r="JN413" s="58" t="str">
        <f t="shared" ca="1" si="1688"/>
        <v>X</v>
      </c>
      <c r="JO413" s="58" t="str">
        <f t="shared" ca="1" si="1689"/>
        <v>X</v>
      </c>
      <c r="JP413" s="58" t="str">
        <f t="shared" ca="1" si="1690"/>
        <v>X</v>
      </c>
      <c r="JQ413" s="58" t="str">
        <f t="shared" ca="1" si="1691"/>
        <v>X</v>
      </c>
      <c r="JR413" s="58" t="str">
        <f t="shared" ca="1" si="1692"/>
        <v>X</v>
      </c>
      <c r="JS413" s="58" t="str">
        <f t="shared" ca="1" si="1693"/>
        <v>X</v>
      </c>
      <c r="JT413" s="58" t="str">
        <f t="shared" ca="1" si="1694"/>
        <v>X</v>
      </c>
      <c r="JU413" s="58" t="str">
        <f t="shared" ca="1" si="1695"/>
        <v>X</v>
      </c>
      <c r="JV413" s="58" t="str">
        <f t="shared" ca="1" si="1696"/>
        <v>X</v>
      </c>
      <c r="JW413" s="58" t="str">
        <f t="shared" ca="1" si="1697"/>
        <v>X</v>
      </c>
      <c r="JX413" s="58" t="str">
        <f t="shared" ca="1" si="1698"/>
        <v>X</v>
      </c>
      <c r="JY413" s="58" t="str">
        <f t="shared" ca="1" si="1699"/>
        <v>X</v>
      </c>
      <c r="JZ413" s="58" t="str">
        <f t="shared" ca="1" si="1700"/>
        <v>X</v>
      </c>
      <c r="KA413" s="58" t="str">
        <f t="shared" ca="1" si="1701"/>
        <v>X</v>
      </c>
      <c r="KB413" s="58" t="str">
        <f t="shared" ca="1" si="1702"/>
        <v>X</v>
      </c>
      <c r="KC413" s="58" t="str">
        <f t="shared" ca="1" si="1703"/>
        <v>X</v>
      </c>
      <c r="KD413" s="58" t="str">
        <f t="shared" ca="1" si="1704"/>
        <v>X</v>
      </c>
      <c r="KE413" s="58" t="str">
        <f t="shared" ca="1" si="1705"/>
        <v>X</v>
      </c>
      <c r="KF413" s="58" t="str">
        <f t="shared" ca="1" si="1706"/>
        <v>X</v>
      </c>
      <c r="KG413" s="58" t="str">
        <f t="shared" ca="1" si="1707"/>
        <v>X</v>
      </c>
      <c r="KH413" s="58" t="str">
        <f t="shared" ca="1" si="1708"/>
        <v>X</v>
      </c>
      <c r="KI413" s="58" t="str">
        <f t="shared" ca="1" si="1709"/>
        <v>X</v>
      </c>
      <c r="KJ413" s="58" t="str">
        <f t="shared" ca="1" si="1710"/>
        <v>X</v>
      </c>
      <c r="KK413" s="58" t="str">
        <f t="shared" ca="1" si="1711"/>
        <v>X</v>
      </c>
      <c r="KL413" s="58" t="str">
        <f t="shared" ca="1" si="1712"/>
        <v>X</v>
      </c>
      <c r="KM413" s="58" t="str">
        <f t="shared" ca="1" si="1713"/>
        <v>X</v>
      </c>
      <c r="KN413" s="58" t="str">
        <f t="shared" ca="1" si="1714"/>
        <v>X</v>
      </c>
      <c r="KO413" s="58" t="str">
        <f t="shared" ca="1" si="1715"/>
        <v>X</v>
      </c>
      <c r="KP413" s="58">
        <f t="shared" ca="1" si="1716"/>
        <v>46260</v>
      </c>
      <c r="KQ413" s="58">
        <f t="shared" ca="1" si="1717"/>
        <v>46260</v>
      </c>
      <c r="KR413" s="58">
        <f t="shared" ca="1" si="1718"/>
        <v>46260</v>
      </c>
      <c r="KS413" s="58">
        <f t="shared" ca="1" si="1719"/>
        <v>46260</v>
      </c>
      <c r="KT413" s="58" t="str">
        <f t="shared" ca="1" si="1720"/>
        <v>X</v>
      </c>
      <c r="KU413" s="58" t="str">
        <f t="shared" ca="1" si="1721"/>
        <v>X</v>
      </c>
      <c r="KV413" s="58" t="str">
        <f t="shared" ca="1" si="1722"/>
        <v>X</v>
      </c>
      <c r="KW413" s="58" t="str">
        <f t="shared" ca="1" si="1723"/>
        <v>X</v>
      </c>
      <c r="KX413" s="58" t="str">
        <f t="shared" ca="1" si="1724"/>
        <v>X</v>
      </c>
      <c r="KY413" s="58" t="str">
        <f t="shared" ca="1" si="1725"/>
        <v>X</v>
      </c>
      <c r="KZ413" s="58" t="str">
        <f t="shared" ca="1" si="1726"/>
        <v>X</v>
      </c>
      <c r="LA413" s="58" t="str">
        <f t="shared" ca="1" si="1727"/>
        <v>X</v>
      </c>
      <c r="LB413" s="58" t="str">
        <f t="shared" ca="1" si="1728"/>
        <v>X</v>
      </c>
      <c r="LC413" s="58" t="str">
        <f t="shared" ca="1" si="1729"/>
        <v>X</v>
      </c>
      <c r="LD413" s="58">
        <f t="shared" ca="1" si="1730"/>
        <v>46295</v>
      </c>
      <c r="LE413" s="58">
        <f t="shared" ca="1" si="1731"/>
        <v>46295</v>
      </c>
      <c r="LF413" s="58">
        <f t="shared" ca="1" si="1732"/>
        <v>46295</v>
      </c>
      <c r="LG413" s="58">
        <f t="shared" ca="1" si="1733"/>
        <v>46295</v>
      </c>
      <c r="LH413" s="58" t="str">
        <f t="shared" ca="1" si="1734"/>
        <v>X</v>
      </c>
      <c r="LI413" s="58" t="str">
        <f t="shared" ca="1" si="1735"/>
        <v>X</v>
      </c>
      <c r="LJ413" s="58" t="str">
        <f t="shared" ca="1" si="1736"/>
        <v>X</v>
      </c>
      <c r="LK413" s="58" t="str">
        <f t="shared" ca="1" si="1737"/>
        <v>X</v>
      </c>
      <c r="LL413" s="58" t="str">
        <f t="shared" ca="1" si="1738"/>
        <v>X</v>
      </c>
      <c r="LM413" s="58" t="str">
        <f t="shared" ca="1" si="1739"/>
        <v>X</v>
      </c>
      <c r="LN413" s="58" t="str">
        <f t="shared" ca="1" si="1740"/>
        <v>X</v>
      </c>
      <c r="LO413" s="58" t="str">
        <f t="shared" ca="1" si="1741"/>
        <v>X</v>
      </c>
      <c r="LP413" s="58" t="str">
        <f t="shared" ca="1" si="1742"/>
        <v>X</v>
      </c>
      <c r="LQ413" s="58" t="str">
        <f t="shared" ca="1" si="1743"/>
        <v>X</v>
      </c>
      <c r="LR413" s="58">
        <f t="shared" ca="1" si="1744"/>
        <v>46323</v>
      </c>
      <c r="LS413" s="58">
        <f t="shared" ca="1" si="1745"/>
        <v>46323</v>
      </c>
      <c r="LT413" s="58">
        <f t="shared" ca="1" si="1746"/>
        <v>46323</v>
      </c>
      <c r="LU413" s="58">
        <f t="shared" ca="1" si="1747"/>
        <v>46323</v>
      </c>
      <c r="LV413" s="58" t="str">
        <f t="shared" ca="1" si="1748"/>
        <v>X</v>
      </c>
      <c r="LW413" s="58" t="str">
        <f t="shared" ca="1" si="1749"/>
        <v>X</v>
      </c>
      <c r="LX413" s="58" t="str">
        <f t="shared" ca="1" si="1750"/>
        <v>X</v>
      </c>
      <c r="LY413" s="58" t="str">
        <f t="shared" ca="1" si="1751"/>
        <v>X</v>
      </c>
      <c r="LZ413" s="58" t="str">
        <f t="shared" ca="1" si="1752"/>
        <v>X</v>
      </c>
      <c r="MA413" s="58" t="str">
        <f t="shared" ca="1" si="1753"/>
        <v>X</v>
      </c>
      <c r="MB413" s="58" t="str">
        <f t="shared" ca="1" si="1754"/>
        <v>X</v>
      </c>
      <c r="MC413" s="58" t="str">
        <f t="shared" ca="1" si="1755"/>
        <v>X</v>
      </c>
      <c r="MD413" s="58" t="str">
        <f t="shared" ca="1" si="1756"/>
        <v>X</v>
      </c>
      <c r="ME413" s="58" t="str">
        <f t="shared" ca="1" si="1757"/>
        <v>X</v>
      </c>
      <c r="MF413" s="58">
        <f t="shared" ca="1" si="1758"/>
        <v>46352</v>
      </c>
      <c r="MG413" s="58">
        <f t="shared" ca="1" si="1759"/>
        <v>46352</v>
      </c>
      <c r="MH413" s="58">
        <f t="shared" ca="1" si="1760"/>
        <v>46352</v>
      </c>
      <c r="MI413" s="58">
        <f t="shared" ca="1" si="1761"/>
        <v>46352</v>
      </c>
      <c r="MJ413" s="58" t="str">
        <f t="shared" ca="1" si="1762"/>
        <v>X</v>
      </c>
      <c r="MK413" s="58" t="str">
        <f t="shared" ca="1" si="1763"/>
        <v>X</v>
      </c>
      <c r="ML413" s="58" t="str">
        <f t="shared" ca="1" si="1764"/>
        <v>X</v>
      </c>
      <c r="MM413" s="58" t="str">
        <f t="shared" ca="1" si="1765"/>
        <v>X</v>
      </c>
      <c r="MN413" s="58" t="str">
        <f t="shared" ca="1" si="1766"/>
        <v>X</v>
      </c>
      <c r="MO413" s="58" t="str">
        <f t="shared" ca="1" si="1767"/>
        <v>X</v>
      </c>
      <c r="MP413" s="58" t="str">
        <f t="shared" ca="1" si="1768"/>
        <v>X</v>
      </c>
      <c r="MQ413" s="58" t="str">
        <f t="shared" ca="1" si="1769"/>
        <v>X</v>
      </c>
      <c r="MR413" s="58" t="str">
        <f t="shared" ca="1" si="1770"/>
        <v>X</v>
      </c>
      <c r="MS413" s="58" t="str">
        <f t="shared" ca="1" si="1771"/>
        <v>X</v>
      </c>
      <c r="MT413" s="58">
        <f t="shared" ref="MT413:NE413" ca="1" si="1815">IF($K413=INDIRECT(CONCATENATE("$AG$"&amp;GH$392)),INDIRECT(CONCATENATE("$AG$"&amp;GH$391)),
IF($K413=INDIRECT(CONCATENATE("$AF$"&amp;GH$392)),INDIRECT(CONCATENATE("$AF$"&amp;GH$391)),
IF($K413=INDIRECT(CONCATENATE("$AE$"&amp;GH$392)),INDIRECT(CONCATENATE("$AE$"&amp;GH$391)),
IF($K413=INDIRECT(CONCATENATE("$AD$"&amp;GH$392)),INDIRECT(CONCATENATE("$AD$"&amp;GH$391)),
IF($K413=INDIRECT(CONCATENATE("$AC$"&amp;GH$392)),INDIRECT(CONCATENATE("$AC$"&amp;GH$391)),
IF($K413=INDIRECT(CONCATENATE("$AB$"&amp;GH$392)),INDIRECT(CONCATENATE("$AB$"&amp;GH$391)),
IF($K413=INDIRECT(CONCATENATE("$AA$"&amp;GH$392)),INDIRECT(CONCATENATE("$AA$"&amp;GH$391)),
IF($K413=INDIRECT(CONCATENATE("$Z$"&amp;GH$392)),INDIRECT(CONCATENATE("$Z$"&amp;GH$391)),
IF($K413=INDIRECT(CONCATENATE("$Y$"&amp;GH$392)),INDIRECT(CONCATENATE("$Y$"&amp;GH$391)),
IF($K413=INDIRECT(CONCATENATE("$X$"&amp;GH$392)),INDIRECT(CONCATENATE("$X$"&amp;GH$391)),
IF($K413=INDIRECT(CONCATENATE("$W$"&amp;GH$392)),INDIRECT(CONCATENATE("$W$"&amp;GH$391)),
IF($K413=INDIRECT(CONCATENATE("$V$"&amp;GH$392)),INDIRECT(CONCATENATE("$V$"&amp;GH$391)),
IF($K413=INDIRECT(CONCATENATE("$U$"&amp;GH$392)),INDIRECT(CONCATENATE("$U$"&amp;GH$391)),
IF($K413=INDIRECT(CONCATENATE("$T$"&amp;GH$392)),INDIRECT(CONCATENATE("$T$"&amp;GH$391)),
IF($K413=INDIRECT(CONCATENATE("$S$"&amp;GH$392)),INDIRECT(CONCATENATE("$S$"&amp;GH$391)),
IF($K413=INDIRECT(CONCATENATE("$R$"&amp;GH$392)),INDIRECT(CONCATENATE("$R$"&amp;GH$391)),
IF($K413=INDIRECT(CONCATENATE("$Q$"&amp;GH$392)),INDIRECT(CONCATENATE("$Q$"&amp;GH$391)),
IF($K413=INDIRECT(CONCATENATE("$P$"&amp;GH$392)),INDIRECT(CONCATENATE("$P$"&amp;GH$391)),
IF($K413=INDIRECT(CONCATENATE("$O$"&amp;GH$392)),INDIRECT(CONCATENATE("$O$"&amp;GH$391)),
IF($K413=INDIRECT(CONCATENATE("$N$"&amp;GH$392)),INDIRECT(CONCATENATE("$N$"&amp;GH$391)),
IF($K413=INDIRECT(CONCATENATE("$M$"&amp;GH$392)),INDIRECT(CONCATENATE("$M$"&amp;GH$391)),
IF($K413=INDIRECT(CONCATENATE("$L$"&amp;GH$392)),INDIRECT(CONCATENATE("$L$"&amp;GH$391)),
IF($K413=INDIRECT(CONCATENATE("$K$"&amp;GH$392)),INDIRECT(CONCATENATE("$K$"&amp;GH$391)),
IF($K413=INDIRECT(CONCATENATE("$J$"&amp;GH$392)),INDIRECT(CONCATENATE("$J$"&amp;GH$391)),
IF($K413=INDIRECT(CONCATENATE("$I$"&amp;GH$392)),INDIRECT(CONCATENATE("$I$"&amp;GH$391)),
IF($K413=INDIRECT(CONCATENATE("$H$"&amp;GH$392)),INDIRECT(CONCATENATE("$H$"&amp;GH$391)),
IF($K413=INDIRECT(CONCATENATE("$G$"&amp;GH$392)),INDIRECT(CONCATENATE("$G$"&amp;GH$391)),
IF($K413=INDIRECT(CONCATENATE("$F$"&amp;GH$392)),INDIRECT(CONCATENATE("$F$"&amp;GH$391)),
IF($K413=INDIRECT(CONCATENATE("$E$"&amp;GH$392)),INDIRECT(CONCATENATE("$E$"&amp;GH$391)),
IF($K413=INDIRECT(CONCATENATE("$D$"&amp;GH$392)),INDIRECT(CONCATENATE("$D$"&amp;GH$391)),
IF($K413=INDIRECT(CONCATENATE("$C$"&amp;GH$392)),INDIRECT(CONCATENATE("$C$"&amp;GH$391)),"X")))))))))))))))))))))))))))))))</f>
        <v>46366</v>
      </c>
      <c r="MU413" s="58">
        <f t="shared" ca="1" si="1815"/>
        <v>46366</v>
      </c>
      <c r="MV413" s="58">
        <f t="shared" ca="1" si="1815"/>
        <v>46366</v>
      </c>
      <c r="MW413" s="58">
        <f t="shared" ca="1" si="1815"/>
        <v>46366</v>
      </c>
      <c r="MX413" s="58" t="str">
        <f t="shared" ca="1" si="1815"/>
        <v>X</v>
      </c>
      <c r="MY413" s="58" t="str">
        <f t="shared" ca="1" si="1815"/>
        <v>X</v>
      </c>
      <c r="MZ413" s="58" t="str">
        <f t="shared" ca="1" si="1815"/>
        <v>X</v>
      </c>
      <c r="NA413" s="58" t="str">
        <f t="shared" ca="1" si="1815"/>
        <v>X</v>
      </c>
      <c r="NB413" s="58" t="str">
        <f t="shared" ca="1" si="1815"/>
        <v>X</v>
      </c>
      <c r="NC413" s="58" t="str">
        <f t="shared" ca="1" si="1815"/>
        <v>X</v>
      </c>
      <c r="ND413" s="58" t="str">
        <f t="shared" ca="1" si="1815"/>
        <v>X</v>
      </c>
      <c r="NE413" s="58" t="str">
        <f t="shared" ca="1" si="1815"/>
        <v>X</v>
      </c>
      <c r="NF413" s="58" t="str">
        <f t="shared" ca="1" si="1773"/>
        <v>X</v>
      </c>
      <c r="NG413" s="58" t="str">
        <f t="shared" ca="1" si="1774"/>
        <v>X</v>
      </c>
    </row>
    <row r="414" spans="1:371" ht="18" customHeight="1">
      <c r="A414" s="230" t="s">
        <v>108</v>
      </c>
      <c r="B414" s="231"/>
      <c r="C414" s="231"/>
      <c r="D414" s="231"/>
      <c r="E414" s="231"/>
      <c r="F414" s="231"/>
      <c r="G414" s="231"/>
      <c r="H414" s="231"/>
      <c r="I414" s="231"/>
      <c r="J414" s="232"/>
      <c r="K414" s="264" t="s">
        <v>48</v>
      </c>
      <c r="L414" s="265"/>
      <c r="M414" s="60">
        <v>82</v>
      </c>
      <c r="N414" s="225" t="s">
        <v>91</v>
      </c>
      <c r="O414" s="304"/>
      <c r="P414" s="304"/>
      <c r="Q414" s="304"/>
      <c r="R414" s="303"/>
      <c r="S414" s="226">
        <v>96378</v>
      </c>
      <c r="T414" s="304"/>
      <c r="U414" s="303"/>
      <c r="V414" s="227" t="s">
        <v>87</v>
      </c>
      <c r="W414" s="303"/>
      <c r="X414" s="56">
        <f t="shared" ca="1" si="1775"/>
        <v>46245</v>
      </c>
      <c r="Y414" s="56">
        <f t="shared" ca="1" si="1776"/>
        <v>46282</v>
      </c>
      <c r="Z414" s="228" t="str">
        <f t="shared" ca="1" si="1612"/>
        <v>CONCLUÍDA</v>
      </c>
      <c r="AA414" s="304"/>
      <c r="AB414" s="303"/>
      <c r="AC414" s="224">
        <f t="shared" si="1777"/>
        <v>82</v>
      </c>
      <c r="AD414" s="303"/>
      <c r="AE414" s="229">
        <f t="shared" si="1778"/>
        <v>0</v>
      </c>
      <c r="AF414" s="303"/>
      <c r="AG414" s="57" t="str">
        <f t="shared" si="1615"/>
        <v>OK</v>
      </c>
      <c r="AH414" s="21"/>
      <c r="AI414" s="70"/>
      <c r="AJ414" s="58" t="str">
        <f t="shared" ref="AJ414:GT414" ca="1" si="1816">IF($K414=INDIRECT(CONCATENATE("$C$"&amp;AJ$392)), INDIRECT(CONCATENATE("$C$"&amp;AJ$391)),
IF($K414=INDIRECT(CONCATENATE("$D$"&amp;AJ$392)), INDIRECT(CONCATENATE("$D$"&amp;AJ$391)),
IF($K414=INDIRECT(CONCATENATE("$E$"&amp;AJ$392)), INDIRECT(CONCATENATE("$E$"&amp;AJ$391)),
IF($K414=INDIRECT(CONCATENATE("$F$"&amp;AJ$392)), INDIRECT(CONCATENATE("$F$"&amp;AJ$391)),
IF($K414=INDIRECT(CONCATENATE("$G$"&amp;AJ$392)), INDIRECT(CONCATENATE("$G$"&amp;AJ$391)),
IF($K414=INDIRECT(CONCATENATE("$H$"&amp;AJ$392)), INDIRECT(CONCATENATE("$H$"&amp;AJ$391)),
IF($K414=INDIRECT(CONCATENATE("$I$"&amp;AJ$392)), INDIRECT(CONCATENATE("$I$"&amp;AJ$391)),
IF($K414=INDIRECT(CONCATENATE("$J$"&amp;AJ$392)), INDIRECT(CONCATENATE("$J$"&amp;AJ$391)),
IF($K414=INDIRECT(CONCATENATE("$K$"&amp;AJ$392)), INDIRECT(CONCATENATE("$K$"&amp;AJ$391)),
IF($K414=INDIRECT(CONCATENATE("$L$"&amp;AJ$392)), INDIRECT(CONCATENATE("$L$"&amp;AJ$391)),
IF($K414=INDIRECT(CONCATENATE("$M$"&amp;AJ$392)), INDIRECT(CONCATENATE("$M$"&amp;AJ$391)),
IF($K414=INDIRECT(CONCATENATE("$N$"&amp;AJ$392)), INDIRECT(CONCATENATE("$N$"&amp;AJ$391)),
IF($K414=INDIRECT(CONCATENATE("$O$"&amp;AJ$392)), INDIRECT(CONCATENATE("$O$"&amp;AJ$391)),
IF($K414=INDIRECT(CONCATENATE("$P$"&amp;AJ$392)), INDIRECT(CONCATENATE("$P$"&amp;AJ$391)),
IF($K414=INDIRECT(CONCATENATE("$Q$"&amp;AJ$392)), INDIRECT(CONCATENATE("$Q$"&amp;AJ$391)),
IF($K414=INDIRECT(CONCATENATE("$R$"&amp;AJ$392)), INDIRECT(CONCATENATE("$R$"&amp;AJ$391)),
IF($K414=INDIRECT(CONCATENATE("$S$"&amp;AJ$392)), INDIRECT(CONCATENATE("$S$"&amp;AJ$391)),
IF($K414=INDIRECT(CONCATENATE("$T$"&amp;AJ$392)), INDIRECT(CONCATENATE("$T$"&amp;AJ$391)),
IF($K414=INDIRECT(CONCATENATE("$U$"&amp;AJ$392)), INDIRECT(CONCATENATE("$U$"&amp;AJ$391)),
IF($K414=INDIRECT(CONCATENATE("$V$"&amp;AJ$392)), INDIRECT(CONCATENATE("$V$"&amp;AJ$391)),
IF($K414=INDIRECT(CONCATENATE("$W$"&amp;AJ$392)), INDIRECT(CONCATENATE("$W$"&amp;AJ$391)),
IF($K414=INDIRECT(CONCATENATE("$X$"&amp;AJ$392)), INDIRECT(CONCATENATE("$X$"&amp;AJ$391)),
IF($K414=INDIRECT(CONCATENATE("$Y$"&amp;AJ$392)), INDIRECT(CONCATENATE("$Y$"&amp;AJ$391)),
IF($K414=INDIRECT(CONCATENATE("$Z$"&amp;AJ$392)), INDIRECT(CONCATENATE("$Z$"&amp;AJ$391)),
IF($K414=INDIRECT(CONCATENATE("$AA$"&amp;AJ$392)), INDIRECT(CONCATENATE("$AA$"&amp;AJ$391)),
IF($K414=INDIRECT(CONCATENATE("$AB$"&amp;AJ$392)), INDIRECT(CONCATENATE("$AB$"&amp;AJ$391)),
IF($K414=INDIRECT(CONCATENATE("$AC$"&amp;AJ$392)), INDIRECT(CONCATENATE("$AC$"&amp;AJ$391)),
IF($K414=INDIRECT(CONCATENATE("$AD$"&amp;AJ$392)), INDIRECT(CONCATENATE("$AD$"&amp;AJ$391)),
IF($K414=INDIRECT(CONCATENATE("$AE$"&amp;AJ$392)), INDIRECT(CONCATENATE("$AE$"&amp;AJ$391)),
IF($K414=INDIRECT(CONCATENATE("$AF$"&amp;AJ$392)), INDIRECT(CONCATENATE("$AF$"&amp;AJ$391)),
IF($K414=INDIRECT(CONCATENATE("$AG$"&amp;AJ$392)), INDIRECT(CONCATENATE("$AG$"&amp;AJ$391)),"X")))))))))))))))))))))))))))))))</f>
        <v>X</v>
      </c>
      <c r="AK414" s="58" t="str">
        <f t="shared" ca="1" si="1816"/>
        <v>X</v>
      </c>
      <c r="AL414" s="58" t="str">
        <f t="shared" ca="1" si="1816"/>
        <v>X</v>
      </c>
      <c r="AM414" s="58" t="str">
        <f t="shared" ca="1" si="1816"/>
        <v>X</v>
      </c>
      <c r="AN414" s="58" t="str">
        <f t="shared" ca="1" si="1816"/>
        <v>X</v>
      </c>
      <c r="AO414" s="58" t="str">
        <f t="shared" ca="1" si="1816"/>
        <v>X</v>
      </c>
      <c r="AP414" s="58" t="str">
        <f t="shared" ca="1" si="1816"/>
        <v>X</v>
      </c>
      <c r="AQ414" s="58" t="str">
        <f t="shared" ca="1" si="1816"/>
        <v>X</v>
      </c>
      <c r="AR414" s="58" t="str">
        <f t="shared" ca="1" si="1816"/>
        <v>X</v>
      </c>
      <c r="AS414" s="58" t="str">
        <f t="shared" ca="1" si="1816"/>
        <v>X</v>
      </c>
      <c r="AT414" s="58" t="str">
        <f t="shared" ca="1" si="1816"/>
        <v>X</v>
      </c>
      <c r="AU414" s="58" t="str">
        <f t="shared" ca="1" si="1816"/>
        <v>X</v>
      </c>
      <c r="AV414" s="58" t="str">
        <f t="shared" ca="1" si="1816"/>
        <v>X</v>
      </c>
      <c r="AW414" s="58" t="str">
        <f t="shared" ca="1" si="1816"/>
        <v>X</v>
      </c>
      <c r="AX414" s="58" t="str">
        <f t="shared" ca="1" si="1816"/>
        <v>X</v>
      </c>
      <c r="AY414" s="58" t="str">
        <f t="shared" ca="1" si="1816"/>
        <v>X</v>
      </c>
      <c r="AZ414" s="58" t="str">
        <f t="shared" ca="1" si="1816"/>
        <v>X</v>
      </c>
      <c r="BA414" s="58" t="str">
        <f t="shared" ca="1" si="1816"/>
        <v>X</v>
      </c>
      <c r="BB414" s="58" t="str">
        <f t="shared" ca="1" si="1816"/>
        <v>X</v>
      </c>
      <c r="BC414" s="58" t="str">
        <f t="shared" ca="1" si="1816"/>
        <v>X</v>
      </c>
      <c r="BD414" s="58" t="str">
        <f t="shared" ca="1" si="1816"/>
        <v>X</v>
      </c>
      <c r="BE414" s="58" t="str">
        <f t="shared" ca="1" si="1816"/>
        <v>X</v>
      </c>
      <c r="BF414" s="58" t="str">
        <f t="shared" ca="1" si="1816"/>
        <v>X</v>
      </c>
      <c r="BG414" s="58" t="str">
        <f t="shared" ca="1" si="1816"/>
        <v>X</v>
      </c>
      <c r="BH414" s="58" t="str">
        <f t="shared" ca="1" si="1816"/>
        <v>X</v>
      </c>
      <c r="BI414" s="58" t="str">
        <f t="shared" ca="1" si="1816"/>
        <v>X</v>
      </c>
      <c r="BJ414" s="58" t="str">
        <f t="shared" ca="1" si="1816"/>
        <v>X</v>
      </c>
      <c r="BK414" s="58" t="str">
        <f t="shared" ca="1" si="1816"/>
        <v>X</v>
      </c>
      <c r="BL414" s="58" t="str">
        <f t="shared" ca="1" si="1816"/>
        <v>X</v>
      </c>
      <c r="BM414" s="58" t="str">
        <f t="shared" ca="1" si="1816"/>
        <v>X</v>
      </c>
      <c r="BN414" s="58" t="str">
        <f t="shared" ca="1" si="1816"/>
        <v>X</v>
      </c>
      <c r="BO414" s="58" t="str">
        <f t="shared" ca="1" si="1816"/>
        <v>X</v>
      </c>
      <c r="BP414" s="58" t="str">
        <f t="shared" ca="1" si="1816"/>
        <v>X</v>
      </c>
      <c r="BQ414" s="58" t="str">
        <f t="shared" ca="1" si="1816"/>
        <v>X</v>
      </c>
      <c r="BR414" s="58" t="str">
        <f t="shared" ca="1" si="1816"/>
        <v>X</v>
      </c>
      <c r="BS414" s="58" t="str">
        <f t="shared" ca="1" si="1816"/>
        <v>X</v>
      </c>
      <c r="BT414" s="58" t="str">
        <f t="shared" ca="1" si="1816"/>
        <v>X</v>
      </c>
      <c r="BU414" s="58" t="str">
        <f t="shared" ca="1" si="1816"/>
        <v>X</v>
      </c>
      <c r="BV414" s="58" t="str">
        <f t="shared" ca="1" si="1816"/>
        <v>X</v>
      </c>
      <c r="BW414" s="58" t="str">
        <f t="shared" ca="1" si="1816"/>
        <v>X</v>
      </c>
      <c r="BX414" s="58" t="str">
        <f t="shared" ca="1" si="1816"/>
        <v>X</v>
      </c>
      <c r="BY414" s="58" t="str">
        <f t="shared" ca="1" si="1816"/>
        <v>X</v>
      </c>
      <c r="BZ414" s="58" t="str">
        <f t="shared" ca="1" si="1816"/>
        <v>X</v>
      </c>
      <c r="CA414" s="58" t="str">
        <f t="shared" ca="1" si="1816"/>
        <v>X</v>
      </c>
      <c r="CB414" s="58" t="str">
        <f t="shared" ca="1" si="1816"/>
        <v>X</v>
      </c>
      <c r="CC414" s="58" t="str">
        <f t="shared" ca="1" si="1816"/>
        <v>X</v>
      </c>
      <c r="CD414" s="58" t="str">
        <f t="shared" ca="1" si="1816"/>
        <v>X</v>
      </c>
      <c r="CE414" s="58" t="str">
        <f t="shared" ca="1" si="1816"/>
        <v>X</v>
      </c>
      <c r="CF414" s="58" t="str">
        <f t="shared" ca="1" si="1816"/>
        <v>X</v>
      </c>
      <c r="CG414" s="58" t="str">
        <f t="shared" ca="1" si="1816"/>
        <v>X</v>
      </c>
      <c r="CH414" s="58" t="str">
        <f t="shared" ca="1" si="1816"/>
        <v>X</v>
      </c>
      <c r="CI414" s="58" t="str">
        <f t="shared" ca="1" si="1816"/>
        <v>X</v>
      </c>
      <c r="CJ414" s="58" t="str">
        <f t="shared" ca="1" si="1816"/>
        <v>X</v>
      </c>
      <c r="CK414" s="58" t="str">
        <f t="shared" ca="1" si="1816"/>
        <v>X</v>
      </c>
      <c r="CL414" s="58" t="str">
        <f t="shared" ca="1" si="1816"/>
        <v>X</v>
      </c>
      <c r="CM414" s="58" t="str">
        <f t="shared" ca="1" si="1816"/>
        <v>X</v>
      </c>
      <c r="CN414" s="58" t="str">
        <f t="shared" ca="1" si="1816"/>
        <v>X</v>
      </c>
      <c r="CO414" s="58" t="str">
        <f t="shared" ca="1" si="1816"/>
        <v>X</v>
      </c>
      <c r="CP414" s="58" t="str">
        <f t="shared" ca="1" si="1816"/>
        <v>X</v>
      </c>
      <c r="CQ414" s="58" t="str">
        <f t="shared" ca="1" si="1816"/>
        <v>X</v>
      </c>
      <c r="CR414" s="58" t="str">
        <f t="shared" ca="1" si="1816"/>
        <v>X</v>
      </c>
      <c r="CS414" s="58" t="str">
        <f t="shared" ca="1" si="1816"/>
        <v>X</v>
      </c>
      <c r="CT414" s="58" t="str">
        <f t="shared" ca="1" si="1816"/>
        <v>X</v>
      </c>
      <c r="CU414" s="58" t="str">
        <f t="shared" ca="1" si="1816"/>
        <v>X</v>
      </c>
      <c r="CV414" s="58" t="str">
        <f t="shared" ca="1" si="1816"/>
        <v>X</v>
      </c>
      <c r="CW414" s="58" t="str">
        <f t="shared" ca="1" si="1816"/>
        <v>X</v>
      </c>
      <c r="CX414" s="58" t="str">
        <f t="shared" ca="1" si="1816"/>
        <v>X</v>
      </c>
      <c r="CY414" s="58" t="str">
        <f t="shared" ca="1" si="1816"/>
        <v>X</v>
      </c>
      <c r="CZ414" s="58" t="str">
        <f t="shared" ca="1" si="1816"/>
        <v>X</v>
      </c>
      <c r="DA414" s="58" t="str">
        <f t="shared" ca="1" si="1816"/>
        <v>X</v>
      </c>
      <c r="DB414" s="58" t="str">
        <f t="shared" ca="1" si="1816"/>
        <v>X</v>
      </c>
      <c r="DC414" s="58" t="str">
        <f t="shared" ca="1" si="1816"/>
        <v>X</v>
      </c>
      <c r="DD414" s="58" t="str">
        <f t="shared" ca="1" si="1816"/>
        <v>X</v>
      </c>
      <c r="DE414" s="58" t="str">
        <f t="shared" ca="1" si="1816"/>
        <v>X</v>
      </c>
      <c r="DF414" s="58" t="str">
        <f t="shared" ca="1" si="1816"/>
        <v>X</v>
      </c>
      <c r="DG414" s="58" t="str">
        <f t="shared" ca="1" si="1816"/>
        <v>X</v>
      </c>
      <c r="DH414" s="58" t="str">
        <f t="shared" ca="1" si="1816"/>
        <v>X</v>
      </c>
      <c r="DI414" s="58" t="str">
        <f t="shared" ca="1" si="1816"/>
        <v>X</v>
      </c>
      <c r="DJ414" s="58" t="str">
        <f t="shared" ca="1" si="1816"/>
        <v>X</v>
      </c>
      <c r="DK414" s="58" t="str">
        <f t="shared" ca="1" si="1816"/>
        <v>X</v>
      </c>
      <c r="DL414" s="58" t="str">
        <f t="shared" ca="1" si="1816"/>
        <v>X</v>
      </c>
      <c r="DM414" s="58" t="str">
        <f t="shared" ca="1" si="1816"/>
        <v>X</v>
      </c>
      <c r="DN414" s="58" t="str">
        <f t="shared" ca="1" si="1816"/>
        <v>X</v>
      </c>
      <c r="DO414" s="58" t="str">
        <f t="shared" ca="1" si="1816"/>
        <v>X</v>
      </c>
      <c r="DP414" s="58" t="str">
        <f t="shared" ca="1" si="1816"/>
        <v>X</v>
      </c>
      <c r="DQ414" s="58" t="str">
        <f t="shared" ca="1" si="1816"/>
        <v>X</v>
      </c>
      <c r="DR414" s="58" t="str">
        <f t="shared" ca="1" si="1816"/>
        <v>X</v>
      </c>
      <c r="DS414" s="58" t="str">
        <f t="shared" ca="1" si="1816"/>
        <v>X</v>
      </c>
      <c r="DT414" s="58" t="str">
        <f t="shared" ca="1" si="1816"/>
        <v>X</v>
      </c>
      <c r="DU414" s="58" t="str">
        <f t="shared" ca="1" si="1816"/>
        <v>X</v>
      </c>
      <c r="DV414" s="58" t="str">
        <f t="shared" ca="1" si="1816"/>
        <v>X</v>
      </c>
      <c r="DW414" s="58" t="str">
        <f t="shared" ca="1" si="1816"/>
        <v>X</v>
      </c>
      <c r="DX414" s="58" t="str">
        <f t="shared" ca="1" si="1816"/>
        <v>X</v>
      </c>
      <c r="DY414" s="58" t="str">
        <f t="shared" ca="1" si="1816"/>
        <v>X</v>
      </c>
      <c r="DZ414" s="58" t="str">
        <f t="shared" ca="1" si="1816"/>
        <v>X</v>
      </c>
      <c r="EA414" s="58" t="str">
        <f t="shared" ca="1" si="1816"/>
        <v>X</v>
      </c>
      <c r="EB414" s="58" t="str">
        <f t="shared" ca="1" si="1816"/>
        <v>X</v>
      </c>
      <c r="EC414" s="58" t="str">
        <f t="shared" ca="1" si="1816"/>
        <v>X</v>
      </c>
      <c r="ED414" s="58" t="str">
        <f t="shared" ca="1" si="1816"/>
        <v>X</v>
      </c>
      <c r="EE414" s="58" t="str">
        <f t="shared" ca="1" si="1816"/>
        <v>X</v>
      </c>
      <c r="EF414" s="58" t="str">
        <f t="shared" ca="1" si="1816"/>
        <v>X</v>
      </c>
      <c r="EG414" s="58" t="str">
        <f t="shared" ca="1" si="1816"/>
        <v>X</v>
      </c>
      <c r="EH414" s="58" t="str">
        <f t="shared" ca="1" si="1816"/>
        <v>X</v>
      </c>
      <c r="EI414" s="58">
        <f t="shared" ca="1" si="1816"/>
        <v>46245</v>
      </c>
      <c r="EJ414" s="58">
        <f t="shared" ca="1" si="1816"/>
        <v>46245</v>
      </c>
      <c r="EK414" s="58">
        <f t="shared" ca="1" si="1816"/>
        <v>46245</v>
      </c>
      <c r="EL414" s="58">
        <f t="shared" ca="1" si="1816"/>
        <v>46245</v>
      </c>
      <c r="EM414" s="58" t="str">
        <f t="shared" ca="1" si="1816"/>
        <v>X</v>
      </c>
      <c r="EN414" s="58" t="str">
        <f t="shared" ca="1" si="1816"/>
        <v>X</v>
      </c>
      <c r="EO414" s="58" t="str">
        <f t="shared" ca="1" si="1816"/>
        <v>X</v>
      </c>
      <c r="EP414" s="58" t="str">
        <f t="shared" ca="1" si="1816"/>
        <v>X</v>
      </c>
      <c r="EQ414" s="58" t="str">
        <f t="shared" ca="1" si="1816"/>
        <v>X</v>
      </c>
      <c r="ER414" s="58" t="str">
        <f t="shared" ca="1" si="1816"/>
        <v>X</v>
      </c>
      <c r="ES414" s="58" t="str">
        <f t="shared" ca="1" si="1816"/>
        <v>X</v>
      </c>
      <c r="ET414" s="58" t="str">
        <f t="shared" ca="1" si="1816"/>
        <v>X</v>
      </c>
      <c r="EU414" s="58" t="str">
        <f t="shared" ca="1" si="1816"/>
        <v>X</v>
      </c>
      <c r="EV414" s="58" t="str">
        <f t="shared" ca="1" si="1816"/>
        <v>X</v>
      </c>
      <c r="EW414" s="58">
        <f t="shared" ca="1" si="1816"/>
        <v>46266</v>
      </c>
      <c r="EX414" s="58">
        <f t="shared" ca="1" si="1816"/>
        <v>46266</v>
      </c>
      <c r="EY414" s="58">
        <f t="shared" ca="1" si="1816"/>
        <v>46266</v>
      </c>
      <c r="EZ414" s="58">
        <f t="shared" ca="1" si="1816"/>
        <v>46266</v>
      </c>
      <c r="FA414" s="58" t="str">
        <f t="shared" ca="1" si="1816"/>
        <v>X</v>
      </c>
      <c r="FB414" s="58" t="str">
        <f t="shared" ca="1" si="1816"/>
        <v>X</v>
      </c>
      <c r="FC414" s="58" t="str">
        <f t="shared" ca="1" si="1816"/>
        <v>X</v>
      </c>
      <c r="FD414" s="58" t="str">
        <f t="shared" ca="1" si="1816"/>
        <v>X</v>
      </c>
      <c r="FE414" s="58" t="str">
        <f t="shared" ca="1" si="1816"/>
        <v>X</v>
      </c>
      <c r="FF414" s="58" t="str">
        <f t="shared" ca="1" si="1816"/>
        <v>X</v>
      </c>
      <c r="FG414" s="58" t="str">
        <f t="shared" ca="1" si="1816"/>
        <v>X</v>
      </c>
      <c r="FH414" s="58" t="str">
        <f t="shared" ca="1" si="1816"/>
        <v>X</v>
      </c>
      <c r="FI414" s="58" t="str">
        <f t="shared" ca="1" si="1816"/>
        <v>X</v>
      </c>
      <c r="FJ414" s="58" t="str">
        <f t="shared" ca="1" si="1816"/>
        <v>X</v>
      </c>
      <c r="FK414" s="58" t="str">
        <f t="shared" ca="1" si="1816"/>
        <v>X</v>
      </c>
      <c r="FL414" s="58" t="str">
        <f t="shared" ca="1" si="1816"/>
        <v>X</v>
      </c>
      <c r="FM414" s="58" t="str">
        <f t="shared" ca="1" si="1816"/>
        <v>X</v>
      </c>
      <c r="FN414" s="58" t="str">
        <f t="shared" ca="1" si="1816"/>
        <v>X</v>
      </c>
      <c r="FO414" s="58" t="str">
        <f t="shared" ca="1" si="1816"/>
        <v>X</v>
      </c>
      <c r="FP414" s="58" t="str">
        <f t="shared" ca="1" si="1816"/>
        <v>X</v>
      </c>
      <c r="FQ414" s="58" t="str">
        <f t="shared" ca="1" si="1816"/>
        <v>X</v>
      </c>
      <c r="FR414" s="58" t="str">
        <f t="shared" ca="1" si="1816"/>
        <v>X</v>
      </c>
      <c r="FS414" s="58" t="str">
        <f t="shared" ca="1" si="1816"/>
        <v>X</v>
      </c>
      <c r="FT414" s="58" t="str">
        <f t="shared" ca="1" si="1816"/>
        <v>X</v>
      </c>
      <c r="FU414" s="58" t="str">
        <f t="shared" ca="1" si="1816"/>
        <v>X</v>
      </c>
      <c r="FV414" s="58" t="str">
        <f t="shared" ca="1" si="1816"/>
        <v>X</v>
      </c>
      <c r="FW414" s="58" t="str">
        <f t="shared" ca="1" si="1816"/>
        <v>X</v>
      </c>
      <c r="FX414" s="58" t="str">
        <f t="shared" ca="1" si="1816"/>
        <v>X</v>
      </c>
      <c r="FY414" s="58" t="str">
        <f t="shared" ca="1" si="1816"/>
        <v>X</v>
      </c>
      <c r="FZ414" s="58" t="str">
        <f t="shared" ca="1" si="1816"/>
        <v>X</v>
      </c>
      <c r="GA414" s="58" t="str">
        <f t="shared" ca="1" si="1816"/>
        <v>X</v>
      </c>
      <c r="GB414" s="58" t="str">
        <f t="shared" ca="1" si="1816"/>
        <v>X</v>
      </c>
      <c r="GC414" s="58" t="str">
        <f t="shared" ca="1" si="1816"/>
        <v>X</v>
      </c>
      <c r="GD414" s="58" t="str">
        <f t="shared" ca="1" si="1816"/>
        <v>X</v>
      </c>
      <c r="GE414" s="58" t="str">
        <f t="shared" ca="1" si="1816"/>
        <v>X</v>
      </c>
      <c r="GF414" s="58" t="str">
        <f t="shared" ca="1" si="1816"/>
        <v>X</v>
      </c>
      <c r="GG414" s="58" t="str">
        <f t="shared" ca="1" si="1816"/>
        <v>X</v>
      </c>
      <c r="GH414" s="58" t="str">
        <f t="shared" ca="1" si="1816"/>
        <v>X</v>
      </c>
      <c r="GI414" s="58" t="str">
        <f t="shared" ca="1" si="1816"/>
        <v>X</v>
      </c>
      <c r="GJ414" s="58" t="str">
        <f t="shared" ca="1" si="1816"/>
        <v>X</v>
      </c>
      <c r="GK414" s="58" t="str">
        <f t="shared" ca="1" si="1816"/>
        <v>X</v>
      </c>
      <c r="GL414" s="58" t="str">
        <f t="shared" ca="1" si="1816"/>
        <v>X</v>
      </c>
      <c r="GM414" s="58" t="str">
        <f t="shared" ca="1" si="1816"/>
        <v>X</v>
      </c>
      <c r="GN414" s="58" t="str">
        <f t="shared" ca="1" si="1816"/>
        <v>X</v>
      </c>
      <c r="GO414" s="58" t="str">
        <f t="shared" ca="1" si="1816"/>
        <v>X</v>
      </c>
      <c r="GP414" s="58" t="str">
        <f t="shared" ca="1" si="1816"/>
        <v>X</v>
      </c>
      <c r="GQ414" s="58" t="str">
        <f t="shared" ca="1" si="1816"/>
        <v>X</v>
      </c>
      <c r="GR414" s="58" t="str">
        <f t="shared" ca="1" si="1816"/>
        <v>X</v>
      </c>
      <c r="GS414" s="80" t="str">
        <f t="shared" ca="1" si="1816"/>
        <v>X</v>
      </c>
      <c r="GT414" s="58" t="str">
        <f t="shared" ca="1" si="1816"/>
        <v>X</v>
      </c>
      <c r="GU414" s="82" t="str">
        <f t="shared" ca="1" si="1617"/>
        <v>X</v>
      </c>
      <c r="GV414" s="58" t="str">
        <f t="shared" ca="1" si="1618"/>
        <v>X</v>
      </c>
      <c r="GW414" s="58" t="str">
        <f t="shared" ca="1" si="1619"/>
        <v>X</v>
      </c>
      <c r="GX414" s="58" t="str">
        <f t="shared" ca="1" si="1620"/>
        <v>X</v>
      </c>
      <c r="GY414" s="58" t="str">
        <f t="shared" ca="1" si="1621"/>
        <v>X</v>
      </c>
      <c r="GZ414" s="58" t="str">
        <f t="shared" ca="1" si="1622"/>
        <v>X</v>
      </c>
      <c r="HA414" s="58" t="str">
        <f t="shared" ca="1" si="1623"/>
        <v>X</v>
      </c>
      <c r="HB414" s="58" t="str">
        <f t="shared" ca="1" si="1624"/>
        <v>X</v>
      </c>
      <c r="HC414" s="58" t="str">
        <f t="shared" ca="1" si="1625"/>
        <v>X</v>
      </c>
      <c r="HD414" s="58" t="str">
        <f t="shared" ca="1" si="1626"/>
        <v>X</v>
      </c>
      <c r="HE414" s="58" t="str">
        <f t="shared" ca="1" si="1627"/>
        <v>X</v>
      </c>
      <c r="HF414" s="58" t="str">
        <f t="shared" ca="1" si="1628"/>
        <v>X</v>
      </c>
      <c r="HG414" s="58" t="str">
        <f t="shared" ca="1" si="1629"/>
        <v>X</v>
      </c>
      <c r="HH414" s="58" t="str">
        <f t="shared" ca="1" si="1630"/>
        <v>X</v>
      </c>
      <c r="HI414" s="58" t="str">
        <f t="shared" ca="1" si="1631"/>
        <v>X</v>
      </c>
      <c r="HJ414" s="58" t="str">
        <f t="shared" ca="1" si="1632"/>
        <v>X</v>
      </c>
      <c r="HK414" s="58" t="str">
        <f t="shared" ca="1" si="1633"/>
        <v>X</v>
      </c>
      <c r="HL414" s="58" t="str">
        <f t="shared" ca="1" si="1634"/>
        <v>X</v>
      </c>
      <c r="HM414" s="58" t="str">
        <f t="shared" ca="1" si="1635"/>
        <v>X</v>
      </c>
      <c r="HN414" s="58" t="str">
        <f t="shared" ca="1" si="1636"/>
        <v>X</v>
      </c>
      <c r="HO414" s="58" t="str">
        <f t="shared" ca="1" si="1637"/>
        <v>X</v>
      </c>
      <c r="HP414" s="58" t="str">
        <f t="shared" ca="1" si="1638"/>
        <v>X</v>
      </c>
      <c r="HQ414" s="58" t="str">
        <f t="shared" ca="1" si="1639"/>
        <v>X</v>
      </c>
      <c r="HR414" s="58" t="str">
        <f t="shared" ca="1" si="1640"/>
        <v>X</v>
      </c>
      <c r="HS414" s="58" t="str">
        <f t="shared" ca="1" si="1641"/>
        <v>X</v>
      </c>
      <c r="HT414" s="58" t="str">
        <f t="shared" ca="1" si="1642"/>
        <v>X</v>
      </c>
      <c r="HU414" s="58" t="str">
        <f t="shared" ca="1" si="1643"/>
        <v>X</v>
      </c>
      <c r="HV414" s="58" t="str">
        <f t="shared" ca="1" si="1644"/>
        <v>X</v>
      </c>
      <c r="HW414" s="58" t="str">
        <f t="shared" ca="1" si="1645"/>
        <v>X</v>
      </c>
      <c r="HX414" s="58" t="str">
        <f t="shared" ca="1" si="1646"/>
        <v>X</v>
      </c>
      <c r="HY414" s="58" t="str">
        <f t="shared" ca="1" si="1647"/>
        <v>X</v>
      </c>
      <c r="HZ414" s="58" t="str">
        <f t="shared" ca="1" si="1648"/>
        <v>X</v>
      </c>
      <c r="IA414" s="58" t="str">
        <f t="shared" ca="1" si="1649"/>
        <v>X</v>
      </c>
      <c r="IB414" s="58" t="str">
        <f t="shared" ca="1" si="1650"/>
        <v>X</v>
      </c>
      <c r="IC414" s="58" t="str">
        <f t="shared" ca="1" si="1651"/>
        <v>X</v>
      </c>
      <c r="ID414" s="58" t="str">
        <f t="shared" ca="1" si="1652"/>
        <v>X</v>
      </c>
      <c r="IE414" s="58" t="str">
        <f t="shared" ca="1" si="1653"/>
        <v>X</v>
      </c>
      <c r="IF414" s="58" t="str">
        <f t="shared" ca="1" si="1654"/>
        <v>X</v>
      </c>
      <c r="IG414" s="58" t="str">
        <f t="shared" ca="1" si="1655"/>
        <v>X</v>
      </c>
      <c r="IH414" s="58" t="str">
        <f t="shared" ca="1" si="1656"/>
        <v>X</v>
      </c>
      <c r="II414" s="58" t="str">
        <f t="shared" ca="1" si="1657"/>
        <v>X</v>
      </c>
      <c r="IJ414" s="58" t="str">
        <f t="shared" ca="1" si="1658"/>
        <v>X</v>
      </c>
      <c r="IK414" s="58" t="str">
        <f t="shared" ca="1" si="1659"/>
        <v>X</v>
      </c>
      <c r="IL414" s="58" t="str">
        <f t="shared" ca="1" si="1660"/>
        <v>X</v>
      </c>
      <c r="IM414" s="58" t="str">
        <f t="shared" ca="1" si="1661"/>
        <v>X</v>
      </c>
      <c r="IN414" s="58" t="str">
        <f t="shared" ca="1" si="1662"/>
        <v>X</v>
      </c>
      <c r="IO414" s="58" t="str">
        <f t="shared" ca="1" si="1663"/>
        <v>X</v>
      </c>
      <c r="IP414" s="58" t="str">
        <f t="shared" ca="1" si="1664"/>
        <v>X</v>
      </c>
      <c r="IQ414" s="58" t="str">
        <f t="shared" ca="1" si="1665"/>
        <v>X</v>
      </c>
      <c r="IR414" s="58" t="str">
        <f t="shared" ca="1" si="1666"/>
        <v>X</v>
      </c>
      <c r="IS414" s="58" t="str">
        <f t="shared" ca="1" si="1667"/>
        <v>X</v>
      </c>
      <c r="IT414" s="58" t="str">
        <f t="shared" ca="1" si="1668"/>
        <v>X</v>
      </c>
      <c r="IU414" s="58" t="str">
        <f t="shared" ca="1" si="1669"/>
        <v>X</v>
      </c>
      <c r="IV414" s="58" t="str">
        <f t="shared" ca="1" si="1670"/>
        <v>X</v>
      </c>
      <c r="IW414" s="58" t="str">
        <f t="shared" ca="1" si="1671"/>
        <v>X</v>
      </c>
      <c r="IX414" s="58" t="str">
        <f t="shared" ca="1" si="1672"/>
        <v>X</v>
      </c>
      <c r="IY414" s="58" t="str">
        <f t="shared" ca="1" si="1673"/>
        <v>X</v>
      </c>
      <c r="IZ414" s="58" t="str">
        <f t="shared" ca="1" si="1674"/>
        <v>X</v>
      </c>
      <c r="JA414" s="58" t="str">
        <f t="shared" ca="1" si="1675"/>
        <v>X</v>
      </c>
      <c r="JB414" s="58" t="str">
        <f t="shared" ca="1" si="1676"/>
        <v>X</v>
      </c>
      <c r="JC414" s="58" t="str">
        <f t="shared" ca="1" si="1677"/>
        <v>X</v>
      </c>
      <c r="JD414" s="58" t="str">
        <f t="shared" ca="1" si="1678"/>
        <v>X</v>
      </c>
      <c r="JE414" s="58" t="str">
        <f t="shared" ca="1" si="1679"/>
        <v>X</v>
      </c>
      <c r="JF414" s="58" t="str">
        <f t="shared" ca="1" si="1680"/>
        <v>X</v>
      </c>
      <c r="JG414" s="58" t="str">
        <f t="shared" ca="1" si="1681"/>
        <v>X</v>
      </c>
      <c r="JH414" s="58" t="str">
        <f t="shared" ca="1" si="1682"/>
        <v>X</v>
      </c>
      <c r="JI414" s="58" t="str">
        <f t="shared" ca="1" si="1683"/>
        <v>X</v>
      </c>
      <c r="JJ414" s="58" t="str">
        <f t="shared" ca="1" si="1684"/>
        <v>X</v>
      </c>
      <c r="JK414" s="58" t="str">
        <f t="shared" ca="1" si="1685"/>
        <v>X</v>
      </c>
      <c r="JL414" s="58" t="str">
        <f t="shared" ca="1" si="1686"/>
        <v>X</v>
      </c>
      <c r="JM414" s="58" t="str">
        <f t="shared" ca="1" si="1687"/>
        <v>X</v>
      </c>
      <c r="JN414" s="58" t="str">
        <f t="shared" ca="1" si="1688"/>
        <v>X</v>
      </c>
      <c r="JO414" s="58" t="str">
        <f t="shared" ca="1" si="1689"/>
        <v>X</v>
      </c>
      <c r="JP414" s="58" t="str">
        <f t="shared" ca="1" si="1690"/>
        <v>X</v>
      </c>
      <c r="JQ414" s="58" t="str">
        <f t="shared" ca="1" si="1691"/>
        <v>X</v>
      </c>
      <c r="JR414" s="58" t="str">
        <f t="shared" ca="1" si="1692"/>
        <v>X</v>
      </c>
      <c r="JS414" s="58" t="str">
        <f t="shared" ca="1" si="1693"/>
        <v>X</v>
      </c>
      <c r="JT414" s="58" t="str">
        <f t="shared" ca="1" si="1694"/>
        <v>X</v>
      </c>
      <c r="JU414" s="58" t="str">
        <f t="shared" ca="1" si="1695"/>
        <v>X</v>
      </c>
      <c r="JV414" s="58" t="str">
        <f t="shared" ca="1" si="1696"/>
        <v>X</v>
      </c>
      <c r="JW414" s="58" t="str">
        <f t="shared" ca="1" si="1697"/>
        <v>X</v>
      </c>
      <c r="JX414" s="58" t="str">
        <f t="shared" ca="1" si="1698"/>
        <v>X</v>
      </c>
      <c r="JY414" s="58" t="str">
        <f t="shared" ca="1" si="1699"/>
        <v>X</v>
      </c>
      <c r="JZ414" s="58" t="str">
        <f t="shared" ca="1" si="1700"/>
        <v>X</v>
      </c>
      <c r="KA414" s="58" t="str">
        <f t="shared" ca="1" si="1701"/>
        <v>X</v>
      </c>
      <c r="KB414" s="58" t="str">
        <f t="shared" ca="1" si="1702"/>
        <v>X</v>
      </c>
      <c r="KC414" s="58" t="str">
        <f t="shared" ca="1" si="1703"/>
        <v>X</v>
      </c>
      <c r="KD414" s="58" t="str">
        <f t="shared" ca="1" si="1704"/>
        <v>X</v>
      </c>
      <c r="KE414" s="58" t="str">
        <f t="shared" ca="1" si="1705"/>
        <v>X</v>
      </c>
      <c r="KF414" s="58" t="str">
        <f t="shared" ca="1" si="1706"/>
        <v>X</v>
      </c>
      <c r="KG414" s="58" t="str">
        <f t="shared" ca="1" si="1707"/>
        <v>X</v>
      </c>
      <c r="KH414" s="58" t="str">
        <f t="shared" ca="1" si="1708"/>
        <v>X</v>
      </c>
      <c r="KI414" s="58" t="str">
        <f t="shared" ca="1" si="1709"/>
        <v>X</v>
      </c>
      <c r="KJ414" s="58" t="str">
        <f t="shared" ca="1" si="1710"/>
        <v>X</v>
      </c>
      <c r="KK414" s="58" t="str">
        <f t="shared" ca="1" si="1711"/>
        <v>X</v>
      </c>
      <c r="KL414" s="58" t="str">
        <f t="shared" ca="1" si="1712"/>
        <v>X</v>
      </c>
      <c r="KM414" s="58" t="str">
        <f t="shared" ca="1" si="1713"/>
        <v>X</v>
      </c>
      <c r="KN414" s="58" t="str">
        <f t="shared" ca="1" si="1714"/>
        <v>X</v>
      </c>
      <c r="KO414" s="58" t="str">
        <f t="shared" ca="1" si="1715"/>
        <v>X</v>
      </c>
      <c r="KP414" s="58" t="str">
        <f t="shared" ca="1" si="1716"/>
        <v>X</v>
      </c>
      <c r="KQ414" s="58" t="str">
        <f t="shared" ca="1" si="1717"/>
        <v>X</v>
      </c>
      <c r="KR414" s="58" t="str">
        <f t="shared" ca="1" si="1718"/>
        <v>X</v>
      </c>
      <c r="KS414" s="58" t="str">
        <f t="shared" ca="1" si="1719"/>
        <v>X</v>
      </c>
      <c r="KT414" s="58" t="str">
        <f t="shared" ca="1" si="1720"/>
        <v>X</v>
      </c>
      <c r="KU414" s="58">
        <f t="shared" ca="1" si="1721"/>
        <v>46265</v>
      </c>
      <c r="KV414" s="58">
        <f t="shared" ca="1" si="1722"/>
        <v>46265</v>
      </c>
      <c r="KW414" s="58">
        <f t="shared" ca="1" si="1723"/>
        <v>46265</v>
      </c>
      <c r="KX414" s="58">
        <f t="shared" ca="1" si="1724"/>
        <v>46265</v>
      </c>
      <c r="KY414" s="58" t="str">
        <f t="shared" ca="1" si="1725"/>
        <v>X</v>
      </c>
      <c r="KZ414" s="58" t="str">
        <f t="shared" ca="1" si="1726"/>
        <v>X</v>
      </c>
      <c r="LA414" s="58" t="str">
        <f t="shared" ca="1" si="1727"/>
        <v>X</v>
      </c>
      <c r="LB414" s="58" t="str">
        <f t="shared" ca="1" si="1728"/>
        <v>X</v>
      </c>
      <c r="LC414" s="58" t="str">
        <f t="shared" ca="1" si="1729"/>
        <v>X</v>
      </c>
      <c r="LD414" s="58" t="str">
        <f t="shared" ca="1" si="1730"/>
        <v>X</v>
      </c>
      <c r="LE414" s="58" t="str">
        <f t="shared" ca="1" si="1731"/>
        <v>X</v>
      </c>
      <c r="LF414" s="58" t="str">
        <f t="shared" ca="1" si="1732"/>
        <v>X</v>
      </c>
      <c r="LG414" s="58" t="str">
        <f t="shared" ca="1" si="1733"/>
        <v>X</v>
      </c>
      <c r="LH414" s="58" t="str">
        <f t="shared" ca="1" si="1734"/>
        <v>X</v>
      </c>
      <c r="LI414" s="58">
        <f t="shared" ca="1" si="1735"/>
        <v>46282</v>
      </c>
      <c r="LJ414" s="58">
        <f t="shared" ca="1" si="1736"/>
        <v>46282</v>
      </c>
      <c r="LK414" s="58">
        <f t="shared" ca="1" si="1737"/>
        <v>46282</v>
      </c>
      <c r="LL414" s="58">
        <f t="shared" ca="1" si="1738"/>
        <v>46282</v>
      </c>
      <c r="LM414" s="58" t="str">
        <f t="shared" ca="1" si="1739"/>
        <v>X</v>
      </c>
      <c r="LN414" s="58" t="str">
        <f t="shared" ca="1" si="1740"/>
        <v>X</v>
      </c>
      <c r="LO414" s="58" t="str">
        <f t="shared" ca="1" si="1741"/>
        <v>X</v>
      </c>
      <c r="LP414" s="58" t="str">
        <f t="shared" ca="1" si="1742"/>
        <v>X</v>
      </c>
      <c r="LQ414" s="58" t="str">
        <f t="shared" ca="1" si="1743"/>
        <v>X</v>
      </c>
      <c r="LR414" s="58" t="str">
        <f t="shared" ca="1" si="1744"/>
        <v>X</v>
      </c>
      <c r="LS414" s="58" t="str">
        <f t="shared" ca="1" si="1745"/>
        <v>X</v>
      </c>
      <c r="LT414" s="58" t="str">
        <f t="shared" ca="1" si="1746"/>
        <v>X</v>
      </c>
      <c r="LU414" s="58" t="str">
        <f t="shared" ca="1" si="1747"/>
        <v>X</v>
      </c>
      <c r="LV414" s="58" t="str">
        <f t="shared" ca="1" si="1748"/>
        <v>X</v>
      </c>
      <c r="LW414" s="58" t="str">
        <f t="shared" ca="1" si="1749"/>
        <v>X</v>
      </c>
      <c r="LX414" s="58" t="str">
        <f t="shared" ca="1" si="1750"/>
        <v>X</v>
      </c>
      <c r="LY414" s="58" t="str">
        <f t="shared" ca="1" si="1751"/>
        <v>X</v>
      </c>
      <c r="LZ414" s="58" t="str">
        <f t="shared" ca="1" si="1752"/>
        <v>X</v>
      </c>
      <c r="MA414" s="58" t="str">
        <f t="shared" ca="1" si="1753"/>
        <v>X</v>
      </c>
      <c r="MB414" s="58" t="str">
        <f t="shared" ca="1" si="1754"/>
        <v>X</v>
      </c>
      <c r="MC414" s="58" t="str">
        <f t="shared" ca="1" si="1755"/>
        <v>X</v>
      </c>
      <c r="MD414" s="58" t="str">
        <f t="shared" ca="1" si="1756"/>
        <v>X</v>
      </c>
      <c r="ME414" s="58" t="str">
        <f t="shared" ca="1" si="1757"/>
        <v>X</v>
      </c>
      <c r="MF414" s="58" t="str">
        <f t="shared" ca="1" si="1758"/>
        <v>X</v>
      </c>
      <c r="MG414" s="58" t="str">
        <f t="shared" ca="1" si="1759"/>
        <v>X</v>
      </c>
      <c r="MH414" s="58" t="str">
        <f t="shared" ca="1" si="1760"/>
        <v>X</v>
      </c>
      <c r="MI414" s="58" t="str">
        <f t="shared" ca="1" si="1761"/>
        <v>X</v>
      </c>
      <c r="MJ414" s="58" t="str">
        <f t="shared" ca="1" si="1762"/>
        <v>X</v>
      </c>
      <c r="MK414" s="58" t="str">
        <f t="shared" ca="1" si="1763"/>
        <v>X</v>
      </c>
      <c r="ML414" s="58" t="str">
        <f t="shared" ca="1" si="1764"/>
        <v>X</v>
      </c>
      <c r="MM414" s="58" t="str">
        <f t="shared" ca="1" si="1765"/>
        <v>X</v>
      </c>
      <c r="MN414" s="58" t="str">
        <f t="shared" ca="1" si="1766"/>
        <v>X</v>
      </c>
      <c r="MO414" s="58" t="str">
        <f t="shared" ca="1" si="1767"/>
        <v>X</v>
      </c>
      <c r="MP414" s="58" t="str">
        <f t="shared" ca="1" si="1768"/>
        <v>X</v>
      </c>
      <c r="MQ414" s="58" t="str">
        <f t="shared" ca="1" si="1769"/>
        <v>X</v>
      </c>
      <c r="MR414" s="58" t="str">
        <f t="shared" ca="1" si="1770"/>
        <v>X</v>
      </c>
      <c r="MS414" s="58" t="str">
        <f t="shared" ca="1" si="1771"/>
        <v>X</v>
      </c>
      <c r="MT414" s="58" t="str">
        <f t="shared" ref="MT414:NE414" ca="1" si="1817">IF($K414=INDIRECT(CONCATENATE("$AG$"&amp;GH$392)),INDIRECT(CONCATENATE("$AG$"&amp;GH$391)),
IF($K414=INDIRECT(CONCATENATE("$AF$"&amp;GH$392)),INDIRECT(CONCATENATE("$AF$"&amp;GH$391)),
IF($K414=INDIRECT(CONCATENATE("$AE$"&amp;GH$392)),INDIRECT(CONCATENATE("$AE$"&amp;GH$391)),
IF($K414=INDIRECT(CONCATENATE("$AD$"&amp;GH$392)),INDIRECT(CONCATENATE("$AD$"&amp;GH$391)),
IF($K414=INDIRECT(CONCATENATE("$AC$"&amp;GH$392)),INDIRECT(CONCATENATE("$AC$"&amp;GH$391)),
IF($K414=INDIRECT(CONCATENATE("$AB$"&amp;GH$392)),INDIRECT(CONCATENATE("$AB$"&amp;GH$391)),
IF($K414=INDIRECT(CONCATENATE("$AA$"&amp;GH$392)),INDIRECT(CONCATENATE("$AA$"&amp;GH$391)),
IF($K414=INDIRECT(CONCATENATE("$Z$"&amp;GH$392)),INDIRECT(CONCATENATE("$Z$"&amp;GH$391)),
IF($K414=INDIRECT(CONCATENATE("$Y$"&amp;GH$392)),INDIRECT(CONCATENATE("$Y$"&amp;GH$391)),
IF($K414=INDIRECT(CONCATENATE("$X$"&amp;GH$392)),INDIRECT(CONCATENATE("$X$"&amp;GH$391)),
IF($K414=INDIRECT(CONCATENATE("$W$"&amp;GH$392)),INDIRECT(CONCATENATE("$W$"&amp;GH$391)),
IF($K414=INDIRECT(CONCATENATE("$V$"&amp;GH$392)),INDIRECT(CONCATENATE("$V$"&amp;GH$391)),
IF($K414=INDIRECT(CONCATENATE("$U$"&amp;GH$392)),INDIRECT(CONCATENATE("$U$"&amp;GH$391)),
IF($K414=INDIRECT(CONCATENATE("$T$"&amp;GH$392)),INDIRECT(CONCATENATE("$T$"&amp;GH$391)),
IF($K414=INDIRECT(CONCATENATE("$S$"&amp;GH$392)),INDIRECT(CONCATENATE("$S$"&amp;GH$391)),
IF($K414=INDIRECT(CONCATENATE("$R$"&amp;GH$392)),INDIRECT(CONCATENATE("$R$"&amp;GH$391)),
IF($K414=INDIRECT(CONCATENATE("$Q$"&amp;GH$392)),INDIRECT(CONCATENATE("$Q$"&amp;GH$391)),
IF($K414=INDIRECT(CONCATENATE("$P$"&amp;GH$392)),INDIRECT(CONCATENATE("$P$"&amp;GH$391)),
IF($K414=INDIRECT(CONCATENATE("$O$"&amp;GH$392)),INDIRECT(CONCATENATE("$O$"&amp;GH$391)),
IF($K414=INDIRECT(CONCATENATE("$N$"&amp;GH$392)),INDIRECT(CONCATENATE("$N$"&amp;GH$391)),
IF($K414=INDIRECT(CONCATENATE("$M$"&amp;GH$392)),INDIRECT(CONCATENATE("$M$"&amp;GH$391)),
IF($K414=INDIRECT(CONCATENATE("$L$"&amp;GH$392)),INDIRECT(CONCATENATE("$L$"&amp;GH$391)),
IF($K414=INDIRECT(CONCATENATE("$K$"&amp;GH$392)),INDIRECT(CONCATENATE("$K$"&amp;GH$391)),
IF($K414=INDIRECT(CONCATENATE("$J$"&amp;GH$392)),INDIRECT(CONCATENATE("$J$"&amp;GH$391)),
IF($K414=INDIRECT(CONCATENATE("$I$"&amp;GH$392)),INDIRECT(CONCATENATE("$I$"&amp;GH$391)),
IF($K414=INDIRECT(CONCATENATE("$H$"&amp;GH$392)),INDIRECT(CONCATENATE("$H$"&amp;GH$391)),
IF($K414=INDIRECT(CONCATENATE("$G$"&amp;GH$392)),INDIRECT(CONCATENATE("$G$"&amp;GH$391)),
IF($K414=INDIRECT(CONCATENATE("$F$"&amp;GH$392)),INDIRECT(CONCATENATE("$F$"&amp;GH$391)),
IF($K414=INDIRECT(CONCATENATE("$E$"&amp;GH$392)),INDIRECT(CONCATENATE("$E$"&amp;GH$391)),
IF($K414=INDIRECT(CONCATENATE("$D$"&amp;GH$392)),INDIRECT(CONCATENATE("$D$"&amp;GH$391)),
IF($K414=INDIRECT(CONCATENATE("$C$"&amp;GH$392)),INDIRECT(CONCATENATE("$C$"&amp;GH$391)),"X")))))))))))))))))))))))))))))))</f>
        <v>X</v>
      </c>
      <c r="MU414" s="58" t="str">
        <f t="shared" ca="1" si="1817"/>
        <v>X</v>
      </c>
      <c r="MV414" s="58" t="str">
        <f t="shared" ca="1" si="1817"/>
        <v>X</v>
      </c>
      <c r="MW414" s="58" t="str">
        <f t="shared" ca="1" si="1817"/>
        <v>X</v>
      </c>
      <c r="MX414" s="58" t="str">
        <f t="shared" ca="1" si="1817"/>
        <v>X</v>
      </c>
      <c r="MY414" s="58" t="str">
        <f t="shared" ca="1" si="1817"/>
        <v>X</v>
      </c>
      <c r="MZ414" s="58" t="str">
        <f t="shared" ca="1" si="1817"/>
        <v>X</v>
      </c>
      <c r="NA414" s="58" t="str">
        <f t="shared" ca="1" si="1817"/>
        <v>X</v>
      </c>
      <c r="NB414" s="58" t="str">
        <f t="shared" ca="1" si="1817"/>
        <v>X</v>
      </c>
      <c r="NC414" s="58" t="str">
        <f t="shared" ca="1" si="1817"/>
        <v>X</v>
      </c>
      <c r="ND414" s="58" t="str">
        <f t="shared" ca="1" si="1817"/>
        <v>X</v>
      </c>
      <c r="NE414" s="58" t="str">
        <f t="shared" ca="1" si="1817"/>
        <v>X</v>
      </c>
      <c r="NF414" s="58" t="str">
        <f t="shared" ca="1" si="1773"/>
        <v>X</v>
      </c>
      <c r="NG414" s="58" t="str">
        <f t="shared" ca="1" si="1774"/>
        <v>X</v>
      </c>
    </row>
    <row r="415" spans="1:371" ht="18" customHeight="1">
      <c r="A415" s="230" t="s">
        <v>90</v>
      </c>
      <c r="B415" s="231"/>
      <c r="C415" s="231"/>
      <c r="D415" s="231"/>
      <c r="E415" s="231"/>
      <c r="F415" s="231"/>
      <c r="G415" s="231"/>
      <c r="H415" s="231"/>
      <c r="I415" s="231"/>
      <c r="J415" s="232"/>
      <c r="K415" s="235" t="s">
        <v>53</v>
      </c>
      <c r="L415" s="236"/>
      <c r="M415" s="60">
        <v>66</v>
      </c>
      <c r="N415" s="225" t="s">
        <v>91</v>
      </c>
      <c r="O415" s="304"/>
      <c r="P415" s="304"/>
      <c r="Q415" s="304"/>
      <c r="R415" s="303"/>
      <c r="S415" s="226">
        <v>96378</v>
      </c>
      <c r="T415" s="304"/>
      <c r="U415" s="303"/>
      <c r="V415" s="227" t="s">
        <v>87</v>
      </c>
      <c r="W415" s="303"/>
      <c r="X415" s="56">
        <f t="shared" ca="1" si="1775"/>
        <v>46283</v>
      </c>
      <c r="Y415" s="56">
        <f t="shared" ca="1" si="1776"/>
        <v>46318</v>
      </c>
      <c r="Z415" s="228" t="str">
        <f t="shared" ca="1" si="1612"/>
        <v>EM ANDAMENTO</v>
      </c>
      <c r="AA415" s="304"/>
      <c r="AB415" s="303"/>
      <c r="AC415" s="224">
        <f t="shared" si="1777"/>
        <v>66</v>
      </c>
      <c r="AD415" s="303"/>
      <c r="AE415" s="229">
        <f t="shared" si="1778"/>
        <v>0</v>
      </c>
      <c r="AF415" s="303"/>
      <c r="AG415" s="57" t="str">
        <f t="shared" si="1615"/>
        <v>OK</v>
      </c>
      <c r="AH415" s="21"/>
      <c r="AI415" s="70"/>
      <c r="AJ415" s="58" t="str">
        <f t="shared" ref="AJ415:GT415" ca="1" si="1818">IF($K415=INDIRECT(CONCATENATE("$C$"&amp;AJ$392)), INDIRECT(CONCATENATE("$C$"&amp;AJ$391)),
IF($K415=INDIRECT(CONCATENATE("$D$"&amp;AJ$392)), INDIRECT(CONCATENATE("$D$"&amp;AJ$391)),
IF($K415=INDIRECT(CONCATENATE("$E$"&amp;AJ$392)), INDIRECT(CONCATENATE("$E$"&amp;AJ$391)),
IF($K415=INDIRECT(CONCATENATE("$F$"&amp;AJ$392)), INDIRECT(CONCATENATE("$F$"&amp;AJ$391)),
IF($K415=INDIRECT(CONCATENATE("$G$"&amp;AJ$392)), INDIRECT(CONCATENATE("$G$"&amp;AJ$391)),
IF($K415=INDIRECT(CONCATENATE("$H$"&amp;AJ$392)), INDIRECT(CONCATENATE("$H$"&amp;AJ$391)),
IF($K415=INDIRECT(CONCATENATE("$I$"&amp;AJ$392)), INDIRECT(CONCATENATE("$I$"&amp;AJ$391)),
IF($K415=INDIRECT(CONCATENATE("$J$"&amp;AJ$392)), INDIRECT(CONCATENATE("$J$"&amp;AJ$391)),
IF($K415=INDIRECT(CONCATENATE("$K$"&amp;AJ$392)), INDIRECT(CONCATENATE("$K$"&amp;AJ$391)),
IF($K415=INDIRECT(CONCATENATE("$L$"&amp;AJ$392)), INDIRECT(CONCATENATE("$L$"&amp;AJ$391)),
IF($K415=INDIRECT(CONCATENATE("$M$"&amp;AJ$392)), INDIRECT(CONCATENATE("$M$"&amp;AJ$391)),
IF($K415=INDIRECT(CONCATENATE("$N$"&amp;AJ$392)), INDIRECT(CONCATENATE("$N$"&amp;AJ$391)),
IF($K415=INDIRECT(CONCATENATE("$O$"&amp;AJ$392)), INDIRECT(CONCATENATE("$O$"&amp;AJ$391)),
IF($K415=INDIRECT(CONCATENATE("$P$"&amp;AJ$392)), INDIRECT(CONCATENATE("$P$"&amp;AJ$391)),
IF($K415=INDIRECT(CONCATENATE("$Q$"&amp;AJ$392)), INDIRECT(CONCATENATE("$Q$"&amp;AJ$391)),
IF($K415=INDIRECT(CONCATENATE("$R$"&amp;AJ$392)), INDIRECT(CONCATENATE("$R$"&amp;AJ$391)),
IF($K415=INDIRECT(CONCATENATE("$S$"&amp;AJ$392)), INDIRECT(CONCATENATE("$S$"&amp;AJ$391)),
IF($K415=INDIRECT(CONCATENATE("$T$"&amp;AJ$392)), INDIRECT(CONCATENATE("$T$"&amp;AJ$391)),
IF($K415=INDIRECT(CONCATENATE("$U$"&amp;AJ$392)), INDIRECT(CONCATENATE("$U$"&amp;AJ$391)),
IF($K415=INDIRECT(CONCATENATE("$V$"&amp;AJ$392)), INDIRECT(CONCATENATE("$V$"&amp;AJ$391)),
IF($K415=INDIRECT(CONCATENATE("$W$"&amp;AJ$392)), INDIRECT(CONCATENATE("$W$"&amp;AJ$391)),
IF($K415=INDIRECT(CONCATENATE("$X$"&amp;AJ$392)), INDIRECT(CONCATENATE("$X$"&amp;AJ$391)),
IF($K415=INDIRECT(CONCATENATE("$Y$"&amp;AJ$392)), INDIRECT(CONCATENATE("$Y$"&amp;AJ$391)),
IF($K415=INDIRECT(CONCATENATE("$Z$"&amp;AJ$392)), INDIRECT(CONCATENATE("$Z$"&amp;AJ$391)),
IF($K415=INDIRECT(CONCATENATE("$AA$"&amp;AJ$392)), INDIRECT(CONCATENATE("$AA$"&amp;AJ$391)),
IF($K415=INDIRECT(CONCATENATE("$AB$"&amp;AJ$392)), INDIRECT(CONCATENATE("$AB$"&amp;AJ$391)),
IF($K415=INDIRECT(CONCATENATE("$AC$"&amp;AJ$392)), INDIRECT(CONCATENATE("$AC$"&amp;AJ$391)),
IF($K415=INDIRECT(CONCATENATE("$AD$"&amp;AJ$392)), INDIRECT(CONCATENATE("$AD$"&amp;AJ$391)),
IF($K415=INDIRECT(CONCATENATE("$AE$"&amp;AJ$392)), INDIRECT(CONCATENATE("$AE$"&amp;AJ$391)),
IF($K415=INDIRECT(CONCATENATE("$AF$"&amp;AJ$392)), INDIRECT(CONCATENATE("$AF$"&amp;AJ$391)),
IF($K415=INDIRECT(CONCATENATE("$AG$"&amp;AJ$392)), INDIRECT(CONCATENATE("$AG$"&amp;AJ$391)),"X")))))))))))))))))))))))))))))))</f>
        <v>X</v>
      </c>
      <c r="AK415" s="58" t="str">
        <f t="shared" ca="1" si="1818"/>
        <v>X</v>
      </c>
      <c r="AL415" s="58" t="str">
        <f t="shared" ca="1" si="1818"/>
        <v>X</v>
      </c>
      <c r="AM415" s="58" t="str">
        <f t="shared" ca="1" si="1818"/>
        <v>X</v>
      </c>
      <c r="AN415" s="58" t="str">
        <f t="shared" ca="1" si="1818"/>
        <v>X</v>
      </c>
      <c r="AO415" s="58" t="str">
        <f t="shared" ca="1" si="1818"/>
        <v>X</v>
      </c>
      <c r="AP415" s="58" t="str">
        <f t="shared" ca="1" si="1818"/>
        <v>X</v>
      </c>
      <c r="AQ415" s="58" t="str">
        <f t="shared" ca="1" si="1818"/>
        <v>X</v>
      </c>
      <c r="AR415" s="58" t="str">
        <f t="shared" ca="1" si="1818"/>
        <v>X</v>
      </c>
      <c r="AS415" s="58" t="str">
        <f t="shared" ca="1" si="1818"/>
        <v>X</v>
      </c>
      <c r="AT415" s="58" t="str">
        <f t="shared" ca="1" si="1818"/>
        <v>X</v>
      </c>
      <c r="AU415" s="58" t="str">
        <f t="shared" ca="1" si="1818"/>
        <v>X</v>
      </c>
      <c r="AV415" s="58" t="str">
        <f t="shared" ca="1" si="1818"/>
        <v>X</v>
      </c>
      <c r="AW415" s="58" t="str">
        <f t="shared" ca="1" si="1818"/>
        <v>X</v>
      </c>
      <c r="AX415" s="58" t="str">
        <f t="shared" ca="1" si="1818"/>
        <v>X</v>
      </c>
      <c r="AY415" s="58" t="str">
        <f t="shared" ca="1" si="1818"/>
        <v>X</v>
      </c>
      <c r="AZ415" s="58" t="str">
        <f t="shared" ca="1" si="1818"/>
        <v>X</v>
      </c>
      <c r="BA415" s="58" t="str">
        <f t="shared" ca="1" si="1818"/>
        <v>X</v>
      </c>
      <c r="BB415" s="58" t="str">
        <f t="shared" ca="1" si="1818"/>
        <v>X</v>
      </c>
      <c r="BC415" s="58" t="str">
        <f t="shared" ca="1" si="1818"/>
        <v>X</v>
      </c>
      <c r="BD415" s="58" t="str">
        <f t="shared" ca="1" si="1818"/>
        <v>X</v>
      </c>
      <c r="BE415" s="58" t="str">
        <f t="shared" ca="1" si="1818"/>
        <v>X</v>
      </c>
      <c r="BF415" s="58" t="str">
        <f t="shared" ca="1" si="1818"/>
        <v>X</v>
      </c>
      <c r="BG415" s="58" t="str">
        <f t="shared" ca="1" si="1818"/>
        <v>X</v>
      </c>
      <c r="BH415" s="58" t="str">
        <f t="shared" ca="1" si="1818"/>
        <v>X</v>
      </c>
      <c r="BI415" s="58" t="str">
        <f t="shared" ca="1" si="1818"/>
        <v>X</v>
      </c>
      <c r="BJ415" s="58" t="str">
        <f t="shared" ca="1" si="1818"/>
        <v>X</v>
      </c>
      <c r="BK415" s="58" t="str">
        <f t="shared" ca="1" si="1818"/>
        <v>X</v>
      </c>
      <c r="BL415" s="58" t="str">
        <f t="shared" ca="1" si="1818"/>
        <v>X</v>
      </c>
      <c r="BM415" s="58" t="str">
        <f t="shared" ca="1" si="1818"/>
        <v>X</v>
      </c>
      <c r="BN415" s="58" t="str">
        <f t="shared" ca="1" si="1818"/>
        <v>X</v>
      </c>
      <c r="BO415" s="58" t="str">
        <f t="shared" ca="1" si="1818"/>
        <v>X</v>
      </c>
      <c r="BP415" s="58" t="str">
        <f t="shared" ca="1" si="1818"/>
        <v>X</v>
      </c>
      <c r="BQ415" s="58" t="str">
        <f t="shared" ca="1" si="1818"/>
        <v>X</v>
      </c>
      <c r="BR415" s="58" t="str">
        <f t="shared" ca="1" si="1818"/>
        <v>X</v>
      </c>
      <c r="BS415" s="58" t="str">
        <f t="shared" ca="1" si="1818"/>
        <v>X</v>
      </c>
      <c r="BT415" s="58" t="str">
        <f t="shared" ca="1" si="1818"/>
        <v>X</v>
      </c>
      <c r="BU415" s="58" t="str">
        <f t="shared" ca="1" si="1818"/>
        <v>X</v>
      </c>
      <c r="BV415" s="58" t="str">
        <f t="shared" ca="1" si="1818"/>
        <v>X</v>
      </c>
      <c r="BW415" s="58" t="str">
        <f t="shared" ca="1" si="1818"/>
        <v>X</v>
      </c>
      <c r="BX415" s="58" t="str">
        <f t="shared" ca="1" si="1818"/>
        <v>X</v>
      </c>
      <c r="BY415" s="58" t="str">
        <f t="shared" ca="1" si="1818"/>
        <v>X</v>
      </c>
      <c r="BZ415" s="58" t="str">
        <f t="shared" ca="1" si="1818"/>
        <v>X</v>
      </c>
      <c r="CA415" s="58" t="str">
        <f t="shared" ca="1" si="1818"/>
        <v>X</v>
      </c>
      <c r="CB415" s="58" t="str">
        <f t="shared" ca="1" si="1818"/>
        <v>X</v>
      </c>
      <c r="CC415" s="58" t="str">
        <f t="shared" ca="1" si="1818"/>
        <v>X</v>
      </c>
      <c r="CD415" s="58" t="str">
        <f t="shared" ca="1" si="1818"/>
        <v>X</v>
      </c>
      <c r="CE415" s="58" t="str">
        <f t="shared" ca="1" si="1818"/>
        <v>X</v>
      </c>
      <c r="CF415" s="58" t="str">
        <f t="shared" ca="1" si="1818"/>
        <v>X</v>
      </c>
      <c r="CG415" s="58" t="str">
        <f t="shared" ca="1" si="1818"/>
        <v>X</v>
      </c>
      <c r="CH415" s="58" t="str">
        <f t="shared" ca="1" si="1818"/>
        <v>X</v>
      </c>
      <c r="CI415" s="58" t="str">
        <f t="shared" ca="1" si="1818"/>
        <v>X</v>
      </c>
      <c r="CJ415" s="58" t="str">
        <f t="shared" ca="1" si="1818"/>
        <v>X</v>
      </c>
      <c r="CK415" s="58" t="str">
        <f t="shared" ca="1" si="1818"/>
        <v>X</v>
      </c>
      <c r="CL415" s="58" t="str">
        <f t="shared" ca="1" si="1818"/>
        <v>X</v>
      </c>
      <c r="CM415" s="58" t="str">
        <f t="shared" ca="1" si="1818"/>
        <v>X</v>
      </c>
      <c r="CN415" s="58" t="str">
        <f t="shared" ca="1" si="1818"/>
        <v>X</v>
      </c>
      <c r="CO415" s="58" t="str">
        <f t="shared" ca="1" si="1818"/>
        <v>X</v>
      </c>
      <c r="CP415" s="58" t="str">
        <f t="shared" ca="1" si="1818"/>
        <v>X</v>
      </c>
      <c r="CQ415" s="58" t="str">
        <f t="shared" ca="1" si="1818"/>
        <v>X</v>
      </c>
      <c r="CR415" s="58" t="str">
        <f t="shared" ca="1" si="1818"/>
        <v>X</v>
      </c>
      <c r="CS415" s="58" t="str">
        <f t="shared" ca="1" si="1818"/>
        <v>X</v>
      </c>
      <c r="CT415" s="58" t="str">
        <f t="shared" ca="1" si="1818"/>
        <v>X</v>
      </c>
      <c r="CU415" s="58" t="str">
        <f t="shared" ca="1" si="1818"/>
        <v>X</v>
      </c>
      <c r="CV415" s="58" t="str">
        <f t="shared" ca="1" si="1818"/>
        <v>X</v>
      </c>
      <c r="CW415" s="58" t="str">
        <f t="shared" ca="1" si="1818"/>
        <v>X</v>
      </c>
      <c r="CX415" s="58" t="str">
        <f t="shared" ca="1" si="1818"/>
        <v>X</v>
      </c>
      <c r="CY415" s="58" t="str">
        <f t="shared" ca="1" si="1818"/>
        <v>X</v>
      </c>
      <c r="CZ415" s="58" t="str">
        <f t="shared" ca="1" si="1818"/>
        <v>X</v>
      </c>
      <c r="DA415" s="58" t="str">
        <f t="shared" ca="1" si="1818"/>
        <v>X</v>
      </c>
      <c r="DB415" s="58" t="str">
        <f t="shared" ca="1" si="1818"/>
        <v>X</v>
      </c>
      <c r="DC415" s="58" t="str">
        <f t="shared" ca="1" si="1818"/>
        <v>X</v>
      </c>
      <c r="DD415" s="58" t="str">
        <f t="shared" ca="1" si="1818"/>
        <v>X</v>
      </c>
      <c r="DE415" s="58" t="str">
        <f t="shared" ca="1" si="1818"/>
        <v>X</v>
      </c>
      <c r="DF415" s="58" t="str">
        <f t="shared" ca="1" si="1818"/>
        <v>X</v>
      </c>
      <c r="DG415" s="58" t="str">
        <f t="shared" ca="1" si="1818"/>
        <v>X</v>
      </c>
      <c r="DH415" s="58" t="str">
        <f t="shared" ca="1" si="1818"/>
        <v>X</v>
      </c>
      <c r="DI415" s="58" t="str">
        <f t="shared" ca="1" si="1818"/>
        <v>X</v>
      </c>
      <c r="DJ415" s="58" t="str">
        <f t="shared" ca="1" si="1818"/>
        <v>X</v>
      </c>
      <c r="DK415" s="58" t="str">
        <f t="shared" ca="1" si="1818"/>
        <v>X</v>
      </c>
      <c r="DL415" s="58" t="str">
        <f t="shared" ca="1" si="1818"/>
        <v>X</v>
      </c>
      <c r="DM415" s="58" t="str">
        <f t="shared" ca="1" si="1818"/>
        <v>X</v>
      </c>
      <c r="DN415" s="58" t="str">
        <f t="shared" ca="1" si="1818"/>
        <v>X</v>
      </c>
      <c r="DO415" s="58" t="str">
        <f t="shared" ca="1" si="1818"/>
        <v>X</v>
      </c>
      <c r="DP415" s="58" t="str">
        <f t="shared" ca="1" si="1818"/>
        <v>X</v>
      </c>
      <c r="DQ415" s="58" t="str">
        <f t="shared" ca="1" si="1818"/>
        <v>X</v>
      </c>
      <c r="DR415" s="58" t="str">
        <f t="shared" ca="1" si="1818"/>
        <v>X</v>
      </c>
      <c r="DS415" s="58" t="str">
        <f t="shared" ca="1" si="1818"/>
        <v>X</v>
      </c>
      <c r="DT415" s="58" t="str">
        <f t="shared" ca="1" si="1818"/>
        <v>X</v>
      </c>
      <c r="DU415" s="58" t="str">
        <f t="shared" ca="1" si="1818"/>
        <v>X</v>
      </c>
      <c r="DV415" s="58" t="str">
        <f t="shared" ca="1" si="1818"/>
        <v>X</v>
      </c>
      <c r="DW415" s="58" t="str">
        <f t="shared" ca="1" si="1818"/>
        <v>X</v>
      </c>
      <c r="DX415" s="58" t="str">
        <f t="shared" ca="1" si="1818"/>
        <v>X</v>
      </c>
      <c r="DY415" s="58" t="str">
        <f t="shared" ca="1" si="1818"/>
        <v>X</v>
      </c>
      <c r="DZ415" s="58" t="str">
        <f t="shared" ca="1" si="1818"/>
        <v>X</v>
      </c>
      <c r="EA415" s="58" t="str">
        <f t="shared" ca="1" si="1818"/>
        <v>X</v>
      </c>
      <c r="EB415" s="58" t="str">
        <f t="shared" ca="1" si="1818"/>
        <v>X</v>
      </c>
      <c r="EC415" s="58" t="str">
        <f t="shared" ca="1" si="1818"/>
        <v>X</v>
      </c>
      <c r="ED415" s="58" t="str">
        <f t="shared" ca="1" si="1818"/>
        <v>X</v>
      </c>
      <c r="EE415" s="58" t="str">
        <f t="shared" ca="1" si="1818"/>
        <v>X</v>
      </c>
      <c r="EF415" s="58" t="str">
        <f t="shared" ca="1" si="1818"/>
        <v>X</v>
      </c>
      <c r="EG415" s="58" t="str">
        <f t="shared" ca="1" si="1818"/>
        <v>X</v>
      </c>
      <c r="EH415" s="58" t="str">
        <f t="shared" ca="1" si="1818"/>
        <v>X</v>
      </c>
      <c r="EI415" s="58" t="str">
        <f t="shared" ca="1" si="1818"/>
        <v>X</v>
      </c>
      <c r="EJ415" s="58" t="str">
        <f t="shared" ca="1" si="1818"/>
        <v>X</v>
      </c>
      <c r="EK415" s="58" t="str">
        <f t="shared" ca="1" si="1818"/>
        <v>X</v>
      </c>
      <c r="EL415" s="58" t="str">
        <f t="shared" ca="1" si="1818"/>
        <v>X</v>
      </c>
      <c r="EM415" s="58" t="str">
        <f t="shared" ca="1" si="1818"/>
        <v>X</v>
      </c>
      <c r="EN415" s="58" t="str">
        <f t="shared" ca="1" si="1818"/>
        <v>X</v>
      </c>
      <c r="EO415" s="58" t="str">
        <f t="shared" ca="1" si="1818"/>
        <v>X</v>
      </c>
      <c r="EP415" s="58" t="str">
        <f t="shared" ca="1" si="1818"/>
        <v>X</v>
      </c>
      <c r="EQ415" s="58" t="str">
        <f t="shared" ca="1" si="1818"/>
        <v>X</v>
      </c>
      <c r="ER415" s="58" t="str">
        <f t="shared" ca="1" si="1818"/>
        <v>X</v>
      </c>
      <c r="ES415" s="58" t="str">
        <f t="shared" ca="1" si="1818"/>
        <v>X</v>
      </c>
      <c r="ET415" s="58" t="str">
        <f t="shared" ca="1" si="1818"/>
        <v>X</v>
      </c>
      <c r="EU415" s="58" t="str">
        <f t="shared" ca="1" si="1818"/>
        <v>X</v>
      </c>
      <c r="EV415" s="58" t="str">
        <f t="shared" ca="1" si="1818"/>
        <v>X</v>
      </c>
      <c r="EW415" s="58">
        <f t="shared" ca="1" si="1818"/>
        <v>46283</v>
      </c>
      <c r="EX415" s="58">
        <f t="shared" ca="1" si="1818"/>
        <v>46283</v>
      </c>
      <c r="EY415" s="58">
        <f t="shared" ca="1" si="1818"/>
        <v>46283</v>
      </c>
      <c r="EZ415" s="58">
        <f t="shared" ca="1" si="1818"/>
        <v>46283</v>
      </c>
      <c r="FA415" s="58" t="str">
        <f t="shared" ca="1" si="1818"/>
        <v>X</v>
      </c>
      <c r="FB415" s="58" t="str">
        <f t="shared" ca="1" si="1818"/>
        <v>X</v>
      </c>
      <c r="FC415" s="58" t="str">
        <f t="shared" ca="1" si="1818"/>
        <v>X</v>
      </c>
      <c r="FD415" s="58" t="str">
        <f t="shared" ca="1" si="1818"/>
        <v>X</v>
      </c>
      <c r="FE415" s="58" t="str">
        <f t="shared" ca="1" si="1818"/>
        <v>X</v>
      </c>
      <c r="FF415" s="58" t="str">
        <f t="shared" ca="1" si="1818"/>
        <v>X</v>
      </c>
      <c r="FG415" s="58" t="str">
        <f t="shared" ca="1" si="1818"/>
        <v>X</v>
      </c>
      <c r="FH415" s="58" t="str">
        <f t="shared" ca="1" si="1818"/>
        <v>X</v>
      </c>
      <c r="FI415" s="58" t="str">
        <f t="shared" ca="1" si="1818"/>
        <v>X</v>
      </c>
      <c r="FJ415" s="58" t="str">
        <f t="shared" ca="1" si="1818"/>
        <v>X</v>
      </c>
      <c r="FK415" s="58">
        <f t="shared" ca="1" si="1818"/>
        <v>46296</v>
      </c>
      <c r="FL415" s="58">
        <f t="shared" ca="1" si="1818"/>
        <v>46296</v>
      </c>
      <c r="FM415" s="58">
        <f t="shared" ca="1" si="1818"/>
        <v>46296</v>
      </c>
      <c r="FN415" s="58">
        <f t="shared" ca="1" si="1818"/>
        <v>46296</v>
      </c>
      <c r="FO415" s="58" t="str">
        <f t="shared" ca="1" si="1818"/>
        <v>X</v>
      </c>
      <c r="FP415" s="58" t="str">
        <f t="shared" ca="1" si="1818"/>
        <v>X</v>
      </c>
      <c r="FQ415" s="58" t="str">
        <f t="shared" ca="1" si="1818"/>
        <v>X</v>
      </c>
      <c r="FR415" s="58" t="str">
        <f t="shared" ca="1" si="1818"/>
        <v>X</v>
      </c>
      <c r="FS415" s="58" t="str">
        <f t="shared" ca="1" si="1818"/>
        <v>X</v>
      </c>
      <c r="FT415" s="58" t="str">
        <f t="shared" ca="1" si="1818"/>
        <v>X</v>
      </c>
      <c r="FU415" s="58" t="str">
        <f t="shared" ca="1" si="1818"/>
        <v>X</v>
      </c>
      <c r="FV415" s="58" t="str">
        <f t="shared" ca="1" si="1818"/>
        <v>X</v>
      </c>
      <c r="FW415" s="58" t="str">
        <f t="shared" ca="1" si="1818"/>
        <v>X</v>
      </c>
      <c r="FX415" s="58" t="str">
        <f t="shared" ca="1" si="1818"/>
        <v>X</v>
      </c>
      <c r="FY415" s="58" t="str">
        <f t="shared" ca="1" si="1818"/>
        <v>X</v>
      </c>
      <c r="FZ415" s="58" t="str">
        <f t="shared" ca="1" si="1818"/>
        <v>X</v>
      </c>
      <c r="GA415" s="58" t="str">
        <f t="shared" ca="1" si="1818"/>
        <v>X</v>
      </c>
      <c r="GB415" s="58" t="str">
        <f t="shared" ca="1" si="1818"/>
        <v>X</v>
      </c>
      <c r="GC415" s="58" t="str">
        <f t="shared" ca="1" si="1818"/>
        <v>X</v>
      </c>
      <c r="GD415" s="58" t="str">
        <f t="shared" ca="1" si="1818"/>
        <v>X</v>
      </c>
      <c r="GE415" s="58" t="str">
        <f t="shared" ca="1" si="1818"/>
        <v>X</v>
      </c>
      <c r="GF415" s="58" t="str">
        <f t="shared" ca="1" si="1818"/>
        <v>X</v>
      </c>
      <c r="GG415" s="58" t="str">
        <f t="shared" ca="1" si="1818"/>
        <v>X</v>
      </c>
      <c r="GH415" s="58" t="str">
        <f t="shared" ca="1" si="1818"/>
        <v>X</v>
      </c>
      <c r="GI415" s="58" t="str">
        <f t="shared" ca="1" si="1818"/>
        <v>X</v>
      </c>
      <c r="GJ415" s="58" t="str">
        <f t="shared" ca="1" si="1818"/>
        <v>X</v>
      </c>
      <c r="GK415" s="58" t="str">
        <f t="shared" ca="1" si="1818"/>
        <v>X</v>
      </c>
      <c r="GL415" s="58" t="str">
        <f t="shared" ca="1" si="1818"/>
        <v>X</v>
      </c>
      <c r="GM415" s="58" t="str">
        <f t="shared" ca="1" si="1818"/>
        <v>X</v>
      </c>
      <c r="GN415" s="58" t="str">
        <f t="shared" ca="1" si="1818"/>
        <v>X</v>
      </c>
      <c r="GO415" s="58" t="str">
        <f t="shared" ca="1" si="1818"/>
        <v>X</v>
      </c>
      <c r="GP415" s="58" t="str">
        <f t="shared" ca="1" si="1818"/>
        <v>X</v>
      </c>
      <c r="GQ415" s="58" t="str">
        <f t="shared" ca="1" si="1818"/>
        <v>X</v>
      </c>
      <c r="GR415" s="58" t="str">
        <f t="shared" ca="1" si="1818"/>
        <v>X</v>
      </c>
      <c r="GS415" s="80" t="str">
        <f t="shared" ca="1" si="1818"/>
        <v>X</v>
      </c>
      <c r="GT415" s="58" t="str">
        <f t="shared" ca="1" si="1818"/>
        <v>X</v>
      </c>
      <c r="GU415" s="82" t="str">
        <f t="shared" ca="1" si="1617"/>
        <v>X</v>
      </c>
      <c r="GV415" s="58" t="str">
        <f t="shared" ca="1" si="1618"/>
        <v>X</v>
      </c>
      <c r="GW415" s="58" t="str">
        <f t="shared" ca="1" si="1619"/>
        <v>X</v>
      </c>
      <c r="GX415" s="58" t="str">
        <f t="shared" ca="1" si="1620"/>
        <v>X</v>
      </c>
      <c r="GY415" s="58" t="str">
        <f t="shared" ca="1" si="1621"/>
        <v>X</v>
      </c>
      <c r="GZ415" s="58" t="str">
        <f t="shared" ca="1" si="1622"/>
        <v>X</v>
      </c>
      <c r="HA415" s="58" t="str">
        <f t="shared" ca="1" si="1623"/>
        <v>X</v>
      </c>
      <c r="HB415" s="58" t="str">
        <f t="shared" ca="1" si="1624"/>
        <v>X</v>
      </c>
      <c r="HC415" s="58" t="str">
        <f t="shared" ca="1" si="1625"/>
        <v>X</v>
      </c>
      <c r="HD415" s="58" t="str">
        <f t="shared" ca="1" si="1626"/>
        <v>X</v>
      </c>
      <c r="HE415" s="58" t="str">
        <f t="shared" ca="1" si="1627"/>
        <v>X</v>
      </c>
      <c r="HF415" s="58" t="str">
        <f t="shared" ca="1" si="1628"/>
        <v>X</v>
      </c>
      <c r="HG415" s="58" t="str">
        <f t="shared" ca="1" si="1629"/>
        <v>X</v>
      </c>
      <c r="HH415" s="58" t="str">
        <f t="shared" ca="1" si="1630"/>
        <v>X</v>
      </c>
      <c r="HI415" s="58" t="str">
        <f t="shared" ca="1" si="1631"/>
        <v>X</v>
      </c>
      <c r="HJ415" s="58" t="str">
        <f t="shared" ca="1" si="1632"/>
        <v>X</v>
      </c>
      <c r="HK415" s="58" t="str">
        <f t="shared" ca="1" si="1633"/>
        <v>X</v>
      </c>
      <c r="HL415" s="58" t="str">
        <f t="shared" ca="1" si="1634"/>
        <v>X</v>
      </c>
      <c r="HM415" s="58" t="str">
        <f t="shared" ca="1" si="1635"/>
        <v>X</v>
      </c>
      <c r="HN415" s="58" t="str">
        <f t="shared" ca="1" si="1636"/>
        <v>X</v>
      </c>
      <c r="HO415" s="58" t="str">
        <f t="shared" ca="1" si="1637"/>
        <v>X</v>
      </c>
      <c r="HP415" s="58" t="str">
        <f t="shared" ca="1" si="1638"/>
        <v>X</v>
      </c>
      <c r="HQ415" s="58" t="str">
        <f t="shared" ca="1" si="1639"/>
        <v>X</v>
      </c>
      <c r="HR415" s="58" t="str">
        <f t="shared" ca="1" si="1640"/>
        <v>X</v>
      </c>
      <c r="HS415" s="58" t="str">
        <f t="shared" ca="1" si="1641"/>
        <v>X</v>
      </c>
      <c r="HT415" s="58" t="str">
        <f t="shared" ca="1" si="1642"/>
        <v>X</v>
      </c>
      <c r="HU415" s="58" t="str">
        <f t="shared" ca="1" si="1643"/>
        <v>X</v>
      </c>
      <c r="HV415" s="58" t="str">
        <f t="shared" ca="1" si="1644"/>
        <v>X</v>
      </c>
      <c r="HW415" s="58" t="str">
        <f t="shared" ca="1" si="1645"/>
        <v>X</v>
      </c>
      <c r="HX415" s="58" t="str">
        <f t="shared" ca="1" si="1646"/>
        <v>X</v>
      </c>
      <c r="HY415" s="58" t="str">
        <f t="shared" ca="1" si="1647"/>
        <v>X</v>
      </c>
      <c r="HZ415" s="58" t="str">
        <f t="shared" ca="1" si="1648"/>
        <v>X</v>
      </c>
      <c r="IA415" s="58" t="str">
        <f t="shared" ca="1" si="1649"/>
        <v>X</v>
      </c>
      <c r="IB415" s="58" t="str">
        <f t="shared" ca="1" si="1650"/>
        <v>X</v>
      </c>
      <c r="IC415" s="58" t="str">
        <f t="shared" ca="1" si="1651"/>
        <v>X</v>
      </c>
      <c r="ID415" s="58" t="str">
        <f t="shared" ca="1" si="1652"/>
        <v>X</v>
      </c>
      <c r="IE415" s="58" t="str">
        <f t="shared" ca="1" si="1653"/>
        <v>X</v>
      </c>
      <c r="IF415" s="58" t="str">
        <f t="shared" ca="1" si="1654"/>
        <v>X</v>
      </c>
      <c r="IG415" s="58" t="str">
        <f t="shared" ca="1" si="1655"/>
        <v>X</v>
      </c>
      <c r="IH415" s="58" t="str">
        <f t="shared" ca="1" si="1656"/>
        <v>X</v>
      </c>
      <c r="II415" s="58" t="str">
        <f t="shared" ca="1" si="1657"/>
        <v>X</v>
      </c>
      <c r="IJ415" s="58" t="str">
        <f t="shared" ca="1" si="1658"/>
        <v>X</v>
      </c>
      <c r="IK415" s="58" t="str">
        <f t="shared" ca="1" si="1659"/>
        <v>X</v>
      </c>
      <c r="IL415" s="58" t="str">
        <f t="shared" ca="1" si="1660"/>
        <v>X</v>
      </c>
      <c r="IM415" s="58" t="str">
        <f t="shared" ca="1" si="1661"/>
        <v>X</v>
      </c>
      <c r="IN415" s="58" t="str">
        <f t="shared" ca="1" si="1662"/>
        <v>X</v>
      </c>
      <c r="IO415" s="58" t="str">
        <f t="shared" ca="1" si="1663"/>
        <v>X</v>
      </c>
      <c r="IP415" s="58" t="str">
        <f t="shared" ca="1" si="1664"/>
        <v>X</v>
      </c>
      <c r="IQ415" s="58" t="str">
        <f t="shared" ca="1" si="1665"/>
        <v>X</v>
      </c>
      <c r="IR415" s="58" t="str">
        <f t="shared" ca="1" si="1666"/>
        <v>X</v>
      </c>
      <c r="IS415" s="58" t="str">
        <f t="shared" ca="1" si="1667"/>
        <v>X</v>
      </c>
      <c r="IT415" s="58" t="str">
        <f t="shared" ca="1" si="1668"/>
        <v>X</v>
      </c>
      <c r="IU415" s="58" t="str">
        <f t="shared" ca="1" si="1669"/>
        <v>X</v>
      </c>
      <c r="IV415" s="58" t="str">
        <f t="shared" ca="1" si="1670"/>
        <v>X</v>
      </c>
      <c r="IW415" s="58" t="str">
        <f t="shared" ca="1" si="1671"/>
        <v>X</v>
      </c>
      <c r="IX415" s="58" t="str">
        <f t="shared" ca="1" si="1672"/>
        <v>X</v>
      </c>
      <c r="IY415" s="58" t="str">
        <f t="shared" ca="1" si="1673"/>
        <v>X</v>
      </c>
      <c r="IZ415" s="58" t="str">
        <f t="shared" ca="1" si="1674"/>
        <v>X</v>
      </c>
      <c r="JA415" s="58" t="str">
        <f t="shared" ca="1" si="1675"/>
        <v>X</v>
      </c>
      <c r="JB415" s="58" t="str">
        <f t="shared" ca="1" si="1676"/>
        <v>X</v>
      </c>
      <c r="JC415" s="58" t="str">
        <f t="shared" ca="1" si="1677"/>
        <v>X</v>
      </c>
      <c r="JD415" s="58" t="str">
        <f t="shared" ca="1" si="1678"/>
        <v>X</v>
      </c>
      <c r="JE415" s="58" t="str">
        <f t="shared" ca="1" si="1679"/>
        <v>X</v>
      </c>
      <c r="JF415" s="58" t="str">
        <f t="shared" ca="1" si="1680"/>
        <v>X</v>
      </c>
      <c r="JG415" s="58" t="str">
        <f t="shared" ca="1" si="1681"/>
        <v>X</v>
      </c>
      <c r="JH415" s="58" t="str">
        <f t="shared" ca="1" si="1682"/>
        <v>X</v>
      </c>
      <c r="JI415" s="58" t="str">
        <f t="shared" ca="1" si="1683"/>
        <v>X</v>
      </c>
      <c r="JJ415" s="58" t="str">
        <f t="shared" ca="1" si="1684"/>
        <v>X</v>
      </c>
      <c r="JK415" s="58" t="str">
        <f t="shared" ca="1" si="1685"/>
        <v>X</v>
      </c>
      <c r="JL415" s="58" t="str">
        <f t="shared" ca="1" si="1686"/>
        <v>X</v>
      </c>
      <c r="JM415" s="58" t="str">
        <f t="shared" ca="1" si="1687"/>
        <v>X</v>
      </c>
      <c r="JN415" s="58" t="str">
        <f t="shared" ca="1" si="1688"/>
        <v>X</v>
      </c>
      <c r="JO415" s="58" t="str">
        <f t="shared" ca="1" si="1689"/>
        <v>X</v>
      </c>
      <c r="JP415" s="58" t="str">
        <f t="shared" ca="1" si="1690"/>
        <v>X</v>
      </c>
      <c r="JQ415" s="58" t="str">
        <f t="shared" ca="1" si="1691"/>
        <v>X</v>
      </c>
      <c r="JR415" s="58" t="str">
        <f t="shared" ca="1" si="1692"/>
        <v>X</v>
      </c>
      <c r="JS415" s="58" t="str">
        <f t="shared" ca="1" si="1693"/>
        <v>X</v>
      </c>
      <c r="JT415" s="58" t="str">
        <f t="shared" ca="1" si="1694"/>
        <v>X</v>
      </c>
      <c r="JU415" s="58" t="str">
        <f t="shared" ca="1" si="1695"/>
        <v>X</v>
      </c>
      <c r="JV415" s="58" t="str">
        <f t="shared" ca="1" si="1696"/>
        <v>X</v>
      </c>
      <c r="JW415" s="58" t="str">
        <f t="shared" ca="1" si="1697"/>
        <v>X</v>
      </c>
      <c r="JX415" s="58" t="str">
        <f t="shared" ca="1" si="1698"/>
        <v>X</v>
      </c>
      <c r="JY415" s="58" t="str">
        <f t="shared" ca="1" si="1699"/>
        <v>X</v>
      </c>
      <c r="JZ415" s="58" t="str">
        <f t="shared" ca="1" si="1700"/>
        <v>X</v>
      </c>
      <c r="KA415" s="58" t="str">
        <f t="shared" ca="1" si="1701"/>
        <v>X</v>
      </c>
      <c r="KB415" s="58" t="str">
        <f t="shared" ca="1" si="1702"/>
        <v>X</v>
      </c>
      <c r="KC415" s="58" t="str">
        <f t="shared" ca="1" si="1703"/>
        <v>X</v>
      </c>
      <c r="KD415" s="58" t="str">
        <f t="shared" ca="1" si="1704"/>
        <v>X</v>
      </c>
      <c r="KE415" s="58" t="str">
        <f t="shared" ca="1" si="1705"/>
        <v>X</v>
      </c>
      <c r="KF415" s="58" t="str">
        <f t="shared" ca="1" si="1706"/>
        <v>X</v>
      </c>
      <c r="KG415" s="58" t="str">
        <f t="shared" ca="1" si="1707"/>
        <v>X</v>
      </c>
      <c r="KH415" s="58" t="str">
        <f t="shared" ca="1" si="1708"/>
        <v>X</v>
      </c>
      <c r="KI415" s="58" t="str">
        <f t="shared" ca="1" si="1709"/>
        <v>X</v>
      </c>
      <c r="KJ415" s="58" t="str">
        <f t="shared" ca="1" si="1710"/>
        <v>X</v>
      </c>
      <c r="KK415" s="58" t="str">
        <f t="shared" ca="1" si="1711"/>
        <v>X</v>
      </c>
      <c r="KL415" s="58" t="str">
        <f t="shared" ca="1" si="1712"/>
        <v>X</v>
      </c>
      <c r="KM415" s="58" t="str">
        <f t="shared" ca="1" si="1713"/>
        <v>X</v>
      </c>
      <c r="KN415" s="58" t="str">
        <f t="shared" ca="1" si="1714"/>
        <v>X</v>
      </c>
      <c r="KO415" s="58" t="str">
        <f t="shared" ca="1" si="1715"/>
        <v>X</v>
      </c>
      <c r="KP415" s="58" t="str">
        <f t="shared" ca="1" si="1716"/>
        <v>X</v>
      </c>
      <c r="KQ415" s="58" t="str">
        <f t="shared" ca="1" si="1717"/>
        <v>X</v>
      </c>
      <c r="KR415" s="58" t="str">
        <f t="shared" ca="1" si="1718"/>
        <v>X</v>
      </c>
      <c r="KS415" s="58" t="str">
        <f t="shared" ca="1" si="1719"/>
        <v>X</v>
      </c>
      <c r="KT415" s="58" t="str">
        <f t="shared" ca="1" si="1720"/>
        <v>X</v>
      </c>
      <c r="KU415" s="58" t="str">
        <f t="shared" ca="1" si="1721"/>
        <v>X</v>
      </c>
      <c r="KV415" s="58" t="str">
        <f t="shared" ca="1" si="1722"/>
        <v>X</v>
      </c>
      <c r="KW415" s="58" t="str">
        <f t="shared" ca="1" si="1723"/>
        <v>X</v>
      </c>
      <c r="KX415" s="58" t="str">
        <f t="shared" ca="1" si="1724"/>
        <v>X</v>
      </c>
      <c r="KY415" s="58" t="str">
        <f t="shared" ca="1" si="1725"/>
        <v>X</v>
      </c>
      <c r="KZ415" s="58" t="str">
        <f t="shared" ca="1" si="1726"/>
        <v>X</v>
      </c>
      <c r="LA415" s="58" t="str">
        <f t="shared" ca="1" si="1727"/>
        <v>X</v>
      </c>
      <c r="LB415" s="58" t="str">
        <f t="shared" ca="1" si="1728"/>
        <v>X</v>
      </c>
      <c r="LC415" s="58" t="str">
        <f t="shared" ca="1" si="1729"/>
        <v>X</v>
      </c>
      <c r="LD415" s="58" t="str">
        <f t="shared" ca="1" si="1730"/>
        <v>X</v>
      </c>
      <c r="LE415" s="58" t="str">
        <f t="shared" ca="1" si="1731"/>
        <v>X</v>
      </c>
      <c r="LF415" s="58" t="str">
        <f t="shared" ca="1" si="1732"/>
        <v>X</v>
      </c>
      <c r="LG415" s="58" t="str">
        <f t="shared" ca="1" si="1733"/>
        <v>X</v>
      </c>
      <c r="LH415" s="58" t="str">
        <f t="shared" ca="1" si="1734"/>
        <v>X</v>
      </c>
      <c r="LI415" s="58">
        <f t="shared" ca="1" si="1735"/>
        <v>46294</v>
      </c>
      <c r="LJ415" s="58">
        <f t="shared" ca="1" si="1736"/>
        <v>46294</v>
      </c>
      <c r="LK415" s="58">
        <f t="shared" ca="1" si="1737"/>
        <v>46294</v>
      </c>
      <c r="LL415" s="58">
        <f t="shared" ca="1" si="1738"/>
        <v>46294</v>
      </c>
      <c r="LM415" s="58" t="str">
        <f t="shared" ca="1" si="1739"/>
        <v>X</v>
      </c>
      <c r="LN415" s="58" t="str">
        <f t="shared" ca="1" si="1740"/>
        <v>X</v>
      </c>
      <c r="LO415" s="58" t="str">
        <f t="shared" ca="1" si="1741"/>
        <v>X</v>
      </c>
      <c r="LP415" s="58" t="str">
        <f t="shared" ca="1" si="1742"/>
        <v>X</v>
      </c>
      <c r="LQ415" s="58" t="str">
        <f t="shared" ca="1" si="1743"/>
        <v>X</v>
      </c>
      <c r="LR415" s="58" t="str">
        <f t="shared" ca="1" si="1744"/>
        <v>X</v>
      </c>
      <c r="LS415" s="58" t="str">
        <f t="shared" ca="1" si="1745"/>
        <v>X</v>
      </c>
      <c r="LT415" s="58" t="str">
        <f t="shared" ca="1" si="1746"/>
        <v>X</v>
      </c>
      <c r="LU415" s="58" t="str">
        <f t="shared" ca="1" si="1747"/>
        <v>X</v>
      </c>
      <c r="LV415" s="58" t="str">
        <f t="shared" ca="1" si="1748"/>
        <v>X</v>
      </c>
      <c r="LW415" s="58">
        <f t="shared" ca="1" si="1749"/>
        <v>46318</v>
      </c>
      <c r="LX415" s="58">
        <f t="shared" ca="1" si="1750"/>
        <v>46318</v>
      </c>
      <c r="LY415" s="58">
        <f t="shared" ca="1" si="1751"/>
        <v>46318</v>
      </c>
      <c r="LZ415" s="58">
        <f t="shared" ca="1" si="1752"/>
        <v>46318</v>
      </c>
      <c r="MA415" s="58" t="str">
        <f t="shared" ca="1" si="1753"/>
        <v>X</v>
      </c>
      <c r="MB415" s="58" t="str">
        <f t="shared" ca="1" si="1754"/>
        <v>X</v>
      </c>
      <c r="MC415" s="58" t="str">
        <f t="shared" ca="1" si="1755"/>
        <v>X</v>
      </c>
      <c r="MD415" s="58" t="str">
        <f t="shared" ca="1" si="1756"/>
        <v>X</v>
      </c>
      <c r="ME415" s="58" t="str">
        <f t="shared" ca="1" si="1757"/>
        <v>X</v>
      </c>
      <c r="MF415" s="58" t="str">
        <f t="shared" ca="1" si="1758"/>
        <v>X</v>
      </c>
      <c r="MG415" s="58" t="str">
        <f t="shared" ca="1" si="1759"/>
        <v>X</v>
      </c>
      <c r="MH415" s="58" t="str">
        <f t="shared" ca="1" si="1760"/>
        <v>X</v>
      </c>
      <c r="MI415" s="58" t="str">
        <f t="shared" ca="1" si="1761"/>
        <v>X</v>
      </c>
      <c r="MJ415" s="58" t="str">
        <f t="shared" ca="1" si="1762"/>
        <v>X</v>
      </c>
      <c r="MK415" s="58" t="str">
        <f t="shared" ca="1" si="1763"/>
        <v>X</v>
      </c>
      <c r="ML415" s="58" t="str">
        <f t="shared" ca="1" si="1764"/>
        <v>X</v>
      </c>
      <c r="MM415" s="58" t="str">
        <f t="shared" ca="1" si="1765"/>
        <v>X</v>
      </c>
      <c r="MN415" s="58" t="str">
        <f t="shared" ca="1" si="1766"/>
        <v>X</v>
      </c>
      <c r="MO415" s="58" t="str">
        <f t="shared" ca="1" si="1767"/>
        <v>X</v>
      </c>
      <c r="MP415" s="58" t="str">
        <f t="shared" ca="1" si="1768"/>
        <v>X</v>
      </c>
      <c r="MQ415" s="58" t="str">
        <f t="shared" ca="1" si="1769"/>
        <v>X</v>
      </c>
      <c r="MR415" s="58" t="str">
        <f t="shared" ca="1" si="1770"/>
        <v>X</v>
      </c>
      <c r="MS415" s="58" t="str">
        <f t="shared" ca="1" si="1771"/>
        <v>X</v>
      </c>
      <c r="MT415" s="58" t="str">
        <f t="shared" ref="MT415:NE415" ca="1" si="1819">IF($K415=INDIRECT(CONCATENATE("$AG$"&amp;GH$392)),INDIRECT(CONCATENATE("$AG$"&amp;GH$391)),
IF($K415=INDIRECT(CONCATENATE("$AF$"&amp;GH$392)),INDIRECT(CONCATENATE("$AF$"&amp;GH$391)),
IF($K415=INDIRECT(CONCATENATE("$AE$"&amp;GH$392)),INDIRECT(CONCATENATE("$AE$"&amp;GH$391)),
IF($K415=INDIRECT(CONCATENATE("$AD$"&amp;GH$392)),INDIRECT(CONCATENATE("$AD$"&amp;GH$391)),
IF($K415=INDIRECT(CONCATENATE("$AC$"&amp;GH$392)),INDIRECT(CONCATENATE("$AC$"&amp;GH$391)),
IF($K415=INDIRECT(CONCATENATE("$AB$"&amp;GH$392)),INDIRECT(CONCATENATE("$AB$"&amp;GH$391)),
IF($K415=INDIRECT(CONCATENATE("$AA$"&amp;GH$392)),INDIRECT(CONCATENATE("$AA$"&amp;GH$391)),
IF($K415=INDIRECT(CONCATENATE("$Z$"&amp;GH$392)),INDIRECT(CONCATENATE("$Z$"&amp;GH$391)),
IF($K415=INDIRECT(CONCATENATE("$Y$"&amp;GH$392)),INDIRECT(CONCATENATE("$Y$"&amp;GH$391)),
IF($K415=INDIRECT(CONCATENATE("$X$"&amp;GH$392)),INDIRECT(CONCATENATE("$X$"&amp;GH$391)),
IF($K415=INDIRECT(CONCATENATE("$W$"&amp;GH$392)),INDIRECT(CONCATENATE("$W$"&amp;GH$391)),
IF($K415=INDIRECT(CONCATENATE("$V$"&amp;GH$392)),INDIRECT(CONCATENATE("$V$"&amp;GH$391)),
IF($K415=INDIRECT(CONCATENATE("$U$"&amp;GH$392)),INDIRECT(CONCATENATE("$U$"&amp;GH$391)),
IF($K415=INDIRECT(CONCATENATE("$T$"&amp;GH$392)),INDIRECT(CONCATENATE("$T$"&amp;GH$391)),
IF($K415=INDIRECT(CONCATENATE("$S$"&amp;GH$392)),INDIRECT(CONCATENATE("$S$"&amp;GH$391)),
IF($K415=INDIRECT(CONCATENATE("$R$"&amp;GH$392)),INDIRECT(CONCATENATE("$R$"&amp;GH$391)),
IF($K415=INDIRECT(CONCATENATE("$Q$"&amp;GH$392)),INDIRECT(CONCATENATE("$Q$"&amp;GH$391)),
IF($K415=INDIRECT(CONCATENATE("$P$"&amp;GH$392)),INDIRECT(CONCATENATE("$P$"&amp;GH$391)),
IF($K415=INDIRECT(CONCATENATE("$O$"&amp;GH$392)),INDIRECT(CONCATENATE("$O$"&amp;GH$391)),
IF($K415=INDIRECT(CONCATENATE("$N$"&amp;GH$392)),INDIRECT(CONCATENATE("$N$"&amp;GH$391)),
IF($K415=INDIRECT(CONCATENATE("$M$"&amp;GH$392)),INDIRECT(CONCATENATE("$M$"&amp;GH$391)),
IF($K415=INDIRECT(CONCATENATE("$L$"&amp;GH$392)),INDIRECT(CONCATENATE("$L$"&amp;GH$391)),
IF($K415=INDIRECT(CONCATENATE("$K$"&amp;GH$392)),INDIRECT(CONCATENATE("$K$"&amp;GH$391)),
IF($K415=INDIRECT(CONCATENATE("$J$"&amp;GH$392)),INDIRECT(CONCATENATE("$J$"&amp;GH$391)),
IF($K415=INDIRECT(CONCATENATE("$I$"&amp;GH$392)),INDIRECT(CONCATENATE("$I$"&amp;GH$391)),
IF($K415=INDIRECT(CONCATENATE("$H$"&amp;GH$392)),INDIRECT(CONCATENATE("$H$"&amp;GH$391)),
IF($K415=INDIRECT(CONCATENATE("$G$"&amp;GH$392)),INDIRECT(CONCATENATE("$G$"&amp;GH$391)),
IF($K415=INDIRECT(CONCATENATE("$F$"&amp;GH$392)),INDIRECT(CONCATENATE("$F$"&amp;GH$391)),
IF($K415=INDIRECT(CONCATENATE("$E$"&amp;GH$392)),INDIRECT(CONCATENATE("$E$"&amp;GH$391)),
IF($K415=INDIRECT(CONCATENATE("$D$"&amp;GH$392)),INDIRECT(CONCATENATE("$D$"&amp;GH$391)),
IF($K415=INDIRECT(CONCATENATE("$C$"&amp;GH$392)),INDIRECT(CONCATENATE("$C$"&amp;GH$391)),"X")))))))))))))))))))))))))))))))</f>
        <v>X</v>
      </c>
      <c r="MU415" s="58" t="str">
        <f t="shared" ca="1" si="1819"/>
        <v>X</v>
      </c>
      <c r="MV415" s="58" t="str">
        <f t="shared" ca="1" si="1819"/>
        <v>X</v>
      </c>
      <c r="MW415" s="58" t="str">
        <f t="shared" ca="1" si="1819"/>
        <v>X</v>
      </c>
      <c r="MX415" s="58" t="str">
        <f t="shared" ca="1" si="1819"/>
        <v>X</v>
      </c>
      <c r="MY415" s="58" t="str">
        <f t="shared" ca="1" si="1819"/>
        <v>X</v>
      </c>
      <c r="MZ415" s="58" t="str">
        <f t="shared" ca="1" si="1819"/>
        <v>X</v>
      </c>
      <c r="NA415" s="58" t="str">
        <f t="shared" ca="1" si="1819"/>
        <v>X</v>
      </c>
      <c r="NB415" s="58" t="str">
        <f t="shared" ca="1" si="1819"/>
        <v>X</v>
      </c>
      <c r="NC415" s="58" t="str">
        <f t="shared" ca="1" si="1819"/>
        <v>X</v>
      </c>
      <c r="ND415" s="58" t="str">
        <f t="shared" ca="1" si="1819"/>
        <v>X</v>
      </c>
      <c r="NE415" s="58" t="str">
        <f t="shared" ca="1" si="1819"/>
        <v>X</v>
      </c>
      <c r="NF415" s="58" t="str">
        <f t="shared" ca="1" si="1773"/>
        <v>X</v>
      </c>
      <c r="NG415" s="58" t="str">
        <f t="shared" ca="1" si="1774"/>
        <v>X</v>
      </c>
    </row>
    <row r="416" spans="1:371" ht="18" customHeight="1">
      <c r="A416" s="230" t="s">
        <v>92</v>
      </c>
      <c r="B416" s="231"/>
      <c r="C416" s="231"/>
      <c r="D416" s="231"/>
      <c r="E416" s="231"/>
      <c r="F416" s="231"/>
      <c r="G416" s="231"/>
      <c r="H416" s="231"/>
      <c r="I416" s="231"/>
      <c r="J416" s="232"/>
      <c r="K416" s="235" t="s">
        <v>56</v>
      </c>
      <c r="L416" s="236"/>
      <c r="M416" s="181">
        <v>48</v>
      </c>
      <c r="N416" s="225" t="s">
        <v>91</v>
      </c>
      <c r="O416" s="304"/>
      <c r="P416" s="304"/>
      <c r="Q416" s="304"/>
      <c r="R416" s="303"/>
      <c r="S416" s="226">
        <v>96378</v>
      </c>
      <c r="T416" s="304"/>
      <c r="U416" s="303"/>
      <c r="V416" s="227" t="s">
        <v>87</v>
      </c>
      <c r="W416" s="303"/>
      <c r="X416" s="56">
        <f t="shared" ca="1" si="1775"/>
        <v>46324</v>
      </c>
      <c r="Y416" s="56">
        <f t="shared" ca="1" si="1776"/>
        <v>46350</v>
      </c>
      <c r="Z416" s="228" t="str">
        <f t="shared" ca="1" si="1612"/>
        <v>PLANEJADA</v>
      </c>
      <c r="AA416" s="304"/>
      <c r="AB416" s="303"/>
      <c r="AC416" s="224">
        <f t="shared" si="1777"/>
        <v>48</v>
      </c>
      <c r="AD416" s="303"/>
      <c r="AE416" s="229">
        <f t="shared" si="1778"/>
        <v>0</v>
      </c>
      <c r="AF416" s="303"/>
      <c r="AG416" s="57" t="str">
        <f t="shared" si="1615"/>
        <v>OK</v>
      </c>
      <c r="AH416" s="21"/>
      <c r="AI416" s="70"/>
      <c r="AJ416" s="58" t="str">
        <f t="shared" ref="AJ416:GT416" ca="1" si="1820">IF($K416=INDIRECT(CONCATENATE("$C$"&amp;AJ$392)), INDIRECT(CONCATENATE("$C$"&amp;AJ$391)),
IF($K416=INDIRECT(CONCATENATE("$D$"&amp;AJ$392)), INDIRECT(CONCATENATE("$D$"&amp;AJ$391)),
IF($K416=INDIRECT(CONCATENATE("$E$"&amp;AJ$392)), INDIRECT(CONCATENATE("$E$"&amp;AJ$391)),
IF($K416=INDIRECT(CONCATENATE("$F$"&amp;AJ$392)), INDIRECT(CONCATENATE("$F$"&amp;AJ$391)),
IF($K416=INDIRECT(CONCATENATE("$G$"&amp;AJ$392)), INDIRECT(CONCATENATE("$G$"&amp;AJ$391)),
IF($K416=INDIRECT(CONCATENATE("$H$"&amp;AJ$392)), INDIRECT(CONCATENATE("$H$"&amp;AJ$391)),
IF($K416=INDIRECT(CONCATENATE("$I$"&amp;AJ$392)), INDIRECT(CONCATENATE("$I$"&amp;AJ$391)),
IF($K416=INDIRECT(CONCATENATE("$J$"&amp;AJ$392)), INDIRECT(CONCATENATE("$J$"&amp;AJ$391)),
IF($K416=INDIRECT(CONCATENATE("$K$"&amp;AJ$392)), INDIRECT(CONCATENATE("$K$"&amp;AJ$391)),
IF($K416=INDIRECT(CONCATENATE("$L$"&amp;AJ$392)), INDIRECT(CONCATENATE("$L$"&amp;AJ$391)),
IF($K416=INDIRECT(CONCATENATE("$M$"&amp;AJ$392)), INDIRECT(CONCATENATE("$M$"&amp;AJ$391)),
IF($K416=INDIRECT(CONCATENATE("$N$"&amp;AJ$392)), INDIRECT(CONCATENATE("$N$"&amp;AJ$391)),
IF($K416=INDIRECT(CONCATENATE("$O$"&amp;AJ$392)), INDIRECT(CONCATENATE("$O$"&amp;AJ$391)),
IF($K416=INDIRECT(CONCATENATE("$P$"&amp;AJ$392)), INDIRECT(CONCATENATE("$P$"&amp;AJ$391)),
IF($K416=INDIRECT(CONCATENATE("$Q$"&amp;AJ$392)), INDIRECT(CONCATENATE("$Q$"&amp;AJ$391)),
IF($K416=INDIRECT(CONCATENATE("$R$"&amp;AJ$392)), INDIRECT(CONCATENATE("$R$"&amp;AJ$391)),
IF($K416=INDIRECT(CONCATENATE("$S$"&amp;AJ$392)), INDIRECT(CONCATENATE("$S$"&amp;AJ$391)),
IF($K416=INDIRECT(CONCATENATE("$T$"&amp;AJ$392)), INDIRECT(CONCATENATE("$T$"&amp;AJ$391)),
IF($K416=INDIRECT(CONCATENATE("$U$"&amp;AJ$392)), INDIRECT(CONCATENATE("$U$"&amp;AJ$391)),
IF($K416=INDIRECT(CONCATENATE("$V$"&amp;AJ$392)), INDIRECT(CONCATENATE("$V$"&amp;AJ$391)),
IF($K416=INDIRECT(CONCATENATE("$W$"&amp;AJ$392)), INDIRECT(CONCATENATE("$W$"&amp;AJ$391)),
IF($K416=INDIRECT(CONCATENATE("$X$"&amp;AJ$392)), INDIRECT(CONCATENATE("$X$"&amp;AJ$391)),
IF($K416=INDIRECT(CONCATENATE("$Y$"&amp;AJ$392)), INDIRECT(CONCATENATE("$Y$"&amp;AJ$391)),
IF($K416=INDIRECT(CONCATENATE("$Z$"&amp;AJ$392)), INDIRECT(CONCATENATE("$Z$"&amp;AJ$391)),
IF($K416=INDIRECT(CONCATENATE("$AA$"&amp;AJ$392)), INDIRECT(CONCATENATE("$AA$"&amp;AJ$391)),
IF($K416=INDIRECT(CONCATENATE("$AB$"&amp;AJ$392)), INDIRECT(CONCATENATE("$AB$"&amp;AJ$391)),
IF($K416=INDIRECT(CONCATENATE("$AC$"&amp;AJ$392)), INDIRECT(CONCATENATE("$AC$"&amp;AJ$391)),
IF($K416=INDIRECT(CONCATENATE("$AD$"&amp;AJ$392)), INDIRECT(CONCATENATE("$AD$"&amp;AJ$391)),
IF($K416=INDIRECT(CONCATENATE("$AE$"&amp;AJ$392)), INDIRECT(CONCATENATE("$AE$"&amp;AJ$391)),
IF($K416=INDIRECT(CONCATENATE("$AF$"&amp;AJ$392)), INDIRECT(CONCATENATE("$AF$"&amp;AJ$391)),
IF($K416=INDIRECT(CONCATENATE("$AG$"&amp;AJ$392)), INDIRECT(CONCATENATE("$AG$"&amp;AJ$391)),"X")))))))))))))))))))))))))))))))</f>
        <v>X</v>
      </c>
      <c r="AK416" s="58" t="str">
        <f t="shared" ca="1" si="1820"/>
        <v>X</v>
      </c>
      <c r="AL416" s="58" t="str">
        <f t="shared" ca="1" si="1820"/>
        <v>X</v>
      </c>
      <c r="AM416" s="58" t="str">
        <f t="shared" ca="1" si="1820"/>
        <v>X</v>
      </c>
      <c r="AN416" s="58" t="str">
        <f t="shared" ca="1" si="1820"/>
        <v>X</v>
      </c>
      <c r="AO416" s="58" t="str">
        <f t="shared" ca="1" si="1820"/>
        <v>X</v>
      </c>
      <c r="AP416" s="58" t="str">
        <f t="shared" ca="1" si="1820"/>
        <v>X</v>
      </c>
      <c r="AQ416" s="58" t="str">
        <f t="shared" ca="1" si="1820"/>
        <v>X</v>
      </c>
      <c r="AR416" s="58" t="str">
        <f t="shared" ca="1" si="1820"/>
        <v>X</v>
      </c>
      <c r="AS416" s="58" t="str">
        <f t="shared" ca="1" si="1820"/>
        <v>X</v>
      </c>
      <c r="AT416" s="58" t="str">
        <f t="shared" ca="1" si="1820"/>
        <v>X</v>
      </c>
      <c r="AU416" s="58" t="str">
        <f t="shared" ca="1" si="1820"/>
        <v>X</v>
      </c>
      <c r="AV416" s="58" t="str">
        <f t="shared" ca="1" si="1820"/>
        <v>X</v>
      </c>
      <c r="AW416" s="58" t="str">
        <f t="shared" ca="1" si="1820"/>
        <v>X</v>
      </c>
      <c r="AX416" s="58" t="str">
        <f t="shared" ca="1" si="1820"/>
        <v>X</v>
      </c>
      <c r="AY416" s="58" t="str">
        <f t="shared" ca="1" si="1820"/>
        <v>X</v>
      </c>
      <c r="AZ416" s="58" t="str">
        <f t="shared" ca="1" si="1820"/>
        <v>X</v>
      </c>
      <c r="BA416" s="58" t="str">
        <f t="shared" ca="1" si="1820"/>
        <v>X</v>
      </c>
      <c r="BB416" s="58" t="str">
        <f t="shared" ca="1" si="1820"/>
        <v>X</v>
      </c>
      <c r="BC416" s="58" t="str">
        <f t="shared" ca="1" si="1820"/>
        <v>X</v>
      </c>
      <c r="BD416" s="58" t="str">
        <f t="shared" ca="1" si="1820"/>
        <v>X</v>
      </c>
      <c r="BE416" s="58" t="str">
        <f t="shared" ca="1" si="1820"/>
        <v>X</v>
      </c>
      <c r="BF416" s="58" t="str">
        <f t="shared" ca="1" si="1820"/>
        <v>X</v>
      </c>
      <c r="BG416" s="58" t="str">
        <f t="shared" ca="1" si="1820"/>
        <v>X</v>
      </c>
      <c r="BH416" s="58" t="str">
        <f t="shared" ca="1" si="1820"/>
        <v>X</v>
      </c>
      <c r="BI416" s="58" t="str">
        <f t="shared" ca="1" si="1820"/>
        <v>X</v>
      </c>
      <c r="BJ416" s="58" t="str">
        <f t="shared" ca="1" si="1820"/>
        <v>X</v>
      </c>
      <c r="BK416" s="58" t="str">
        <f t="shared" ca="1" si="1820"/>
        <v>X</v>
      </c>
      <c r="BL416" s="58" t="str">
        <f t="shared" ca="1" si="1820"/>
        <v>X</v>
      </c>
      <c r="BM416" s="58" t="str">
        <f t="shared" ca="1" si="1820"/>
        <v>X</v>
      </c>
      <c r="BN416" s="58" t="str">
        <f t="shared" ca="1" si="1820"/>
        <v>X</v>
      </c>
      <c r="BO416" s="58" t="str">
        <f t="shared" ca="1" si="1820"/>
        <v>X</v>
      </c>
      <c r="BP416" s="58" t="str">
        <f t="shared" ca="1" si="1820"/>
        <v>X</v>
      </c>
      <c r="BQ416" s="58" t="str">
        <f t="shared" ca="1" si="1820"/>
        <v>X</v>
      </c>
      <c r="BR416" s="58" t="str">
        <f t="shared" ca="1" si="1820"/>
        <v>X</v>
      </c>
      <c r="BS416" s="58" t="str">
        <f t="shared" ca="1" si="1820"/>
        <v>X</v>
      </c>
      <c r="BT416" s="58" t="str">
        <f t="shared" ca="1" si="1820"/>
        <v>X</v>
      </c>
      <c r="BU416" s="58" t="str">
        <f t="shared" ca="1" si="1820"/>
        <v>X</v>
      </c>
      <c r="BV416" s="58" t="str">
        <f t="shared" ca="1" si="1820"/>
        <v>X</v>
      </c>
      <c r="BW416" s="58" t="str">
        <f t="shared" ca="1" si="1820"/>
        <v>X</v>
      </c>
      <c r="BX416" s="58" t="str">
        <f t="shared" ca="1" si="1820"/>
        <v>X</v>
      </c>
      <c r="BY416" s="58" t="str">
        <f t="shared" ca="1" si="1820"/>
        <v>X</v>
      </c>
      <c r="BZ416" s="58" t="str">
        <f t="shared" ca="1" si="1820"/>
        <v>X</v>
      </c>
      <c r="CA416" s="58" t="str">
        <f t="shared" ca="1" si="1820"/>
        <v>X</v>
      </c>
      <c r="CB416" s="58" t="str">
        <f t="shared" ca="1" si="1820"/>
        <v>X</v>
      </c>
      <c r="CC416" s="58" t="str">
        <f t="shared" ca="1" si="1820"/>
        <v>X</v>
      </c>
      <c r="CD416" s="58" t="str">
        <f t="shared" ca="1" si="1820"/>
        <v>X</v>
      </c>
      <c r="CE416" s="58" t="str">
        <f t="shared" ca="1" si="1820"/>
        <v>X</v>
      </c>
      <c r="CF416" s="58" t="str">
        <f t="shared" ca="1" si="1820"/>
        <v>X</v>
      </c>
      <c r="CG416" s="58" t="str">
        <f t="shared" ca="1" si="1820"/>
        <v>X</v>
      </c>
      <c r="CH416" s="58" t="str">
        <f t="shared" ca="1" si="1820"/>
        <v>X</v>
      </c>
      <c r="CI416" s="58" t="str">
        <f t="shared" ca="1" si="1820"/>
        <v>X</v>
      </c>
      <c r="CJ416" s="58" t="str">
        <f t="shared" ca="1" si="1820"/>
        <v>X</v>
      </c>
      <c r="CK416" s="58" t="str">
        <f t="shared" ca="1" si="1820"/>
        <v>X</v>
      </c>
      <c r="CL416" s="58" t="str">
        <f t="shared" ca="1" si="1820"/>
        <v>X</v>
      </c>
      <c r="CM416" s="58" t="str">
        <f t="shared" ca="1" si="1820"/>
        <v>X</v>
      </c>
      <c r="CN416" s="58" t="str">
        <f t="shared" ca="1" si="1820"/>
        <v>X</v>
      </c>
      <c r="CO416" s="58" t="str">
        <f t="shared" ca="1" si="1820"/>
        <v>X</v>
      </c>
      <c r="CP416" s="58" t="str">
        <f t="shared" ca="1" si="1820"/>
        <v>X</v>
      </c>
      <c r="CQ416" s="58" t="str">
        <f t="shared" ca="1" si="1820"/>
        <v>X</v>
      </c>
      <c r="CR416" s="58" t="str">
        <f t="shared" ca="1" si="1820"/>
        <v>X</v>
      </c>
      <c r="CS416" s="58" t="str">
        <f t="shared" ca="1" si="1820"/>
        <v>X</v>
      </c>
      <c r="CT416" s="58" t="str">
        <f t="shared" ca="1" si="1820"/>
        <v>X</v>
      </c>
      <c r="CU416" s="58" t="str">
        <f t="shared" ca="1" si="1820"/>
        <v>X</v>
      </c>
      <c r="CV416" s="58" t="str">
        <f t="shared" ca="1" si="1820"/>
        <v>X</v>
      </c>
      <c r="CW416" s="58" t="str">
        <f t="shared" ca="1" si="1820"/>
        <v>X</v>
      </c>
      <c r="CX416" s="58" t="str">
        <f t="shared" ca="1" si="1820"/>
        <v>X</v>
      </c>
      <c r="CY416" s="58" t="str">
        <f t="shared" ca="1" si="1820"/>
        <v>X</v>
      </c>
      <c r="CZ416" s="58" t="str">
        <f t="shared" ca="1" si="1820"/>
        <v>X</v>
      </c>
      <c r="DA416" s="58" t="str">
        <f t="shared" ca="1" si="1820"/>
        <v>X</v>
      </c>
      <c r="DB416" s="58" t="str">
        <f t="shared" ca="1" si="1820"/>
        <v>X</v>
      </c>
      <c r="DC416" s="58" t="str">
        <f t="shared" ca="1" si="1820"/>
        <v>X</v>
      </c>
      <c r="DD416" s="58" t="str">
        <f t="shared" ca="1" si="1820"/>
        <v>X</v>
      </c>
      <c r="DE416" s="58" t="str">
        <f t="shared" ca="1" si="1820"/>
        <v>X</v>
      </c>
      <c r="DF416" s="58" t="str">
        <f t="shared" ca="1" si="1820"/>
        <v>X</v>
      </c>
      <c r="DG416" s="58" t="str">
        <f t="shared" ca="1" si="1820"/>
        <v>X</v>
      </c>
      <c r="DH416" s="58" t="str">
        <f t="shared" ca="1" si="1820"/>
        <v>X</v>
      </c>
      <c r="DI416" s="58" t="str">
        <f t="shared" ca="1" si="1820"/>
        <v>X</v>
      </c>
      <c r="DJ416" s="58" t="str">
        <f t="shared" ca="1" si="1820"/>
        <v>X</v>
      </c>
      <c r="DK416" s="58" t="str">
        <f t="shared" ca="1" si="1820"/>
        <v>X</v>
      </c>
      <c r="DL416" s="58" t="str">
        <f t="shared" ca="1" si="1820"/>
        <v>X</v>
      </c>
      <c r="DM416" s="58" t="str">
        <f t="shared" ca="1" si="1820"/>
        <v>X</v>
      </c>
      <c r="DN416" s="58" t="str">
        <f t="shared" ca="1" si="1820"/>
        <v>X</v>
      </c>
      <c r="DO416" s="58" t="str">
        <f t="shared" ca="1" si="1820"/>
        <v>X</v>
      </c>
      <c r="DP416" s="58" t="str">
        <f t="shared" ca="1" si="1820"/>
        <v>X</v>
      </c>
      <c r="DQ416" s="58" t="str">
        <f t="shared" ca="1" si="1820"/>
        <v>X</v>
      </c>
      <c r="DR416" s="58" t="str">
        <f t="shared" ca="1" si="1820"/>
        <v>X</v>
      </c>
      <c r="DS416" s="58" t="str">
        <f t="shared" ca="1" si="1820"/>
        <v>X</v>
      </c>
      <c r="DT416" s="58" t="str">
        <f t="shared" ca="1" si="1820"/>
        <v>X</v>
      </c>
      <c r="DU416" s="58" t="str">
        <f t="shared" ca="1" si="1820"/>
        <v>X</v>
      </c>
      <c r="DV416" s="58" t="str">
        <f t="shared" ca="1" si="1820"/>
        <v>X</v>
      </c>
      <c r="DW416" s="58" t="str">
        <f t="shared" ca="1" si="1820"/>
        <v>X</v>
      </c>
      <c r="DX416" s="58" t="str">
        <f t="shared" ca="1" si="1820"/>
        <v>X</v>
      </c>
      <c r="DY416" s="58" t="str">
        <f t="shared" ca="1" si="1820"/>
        <v>X</v>
      </c>
      <c r="DZ416" s="58" t="str">
        <f t="shared" ca="1" si="1820"/>
        <v>X</v>
      </c>
      <c r="EA416" s="58" t="str">
        <f t="shared" ca="1" si="1820"/>
        <v>X</v>
      </c>
      <c r="EB416" s="58" t="str">
        <f t="shared" ca="1" si="1820"/>
        <v>X</v>
      </c>
      <c r="EC416" s="58" t="str">
        <f t="shared" ca="1" si="1820"/>
        <v>X</v>
      </c>
      <c r="ED416" s="58" t="str">
        <f t="shared" ca="1" si="1820"/>
        <v>X</v>
      </c>
      <c r="EE416" s="58" t="str">
        <f t="shared" ca="1" si="1820"/>
        <v>X</v>
      </c>
      <c r="EF416" s="58" t="str">
        <f t="shared" ca="1" si="1820"/>
        <v>X</v>
      </c>
      <c r="EG416" s="58" t="str">
        <f t="shared" ca="1" si="1820"/>
        <v>X</v>
      </c>
      <c r="EH416" s="58" t="str">
        <f t="shared" ca="1" si="1820"/>
        <v>X</v>
      </c>
      <c r="EI416" s="58" t="str">
        <f t="shared" ca="1" si="1820"/>
        <v>X</v>
      </c>
      <c r="EJ416" s="58" t="str">
        <f t="shared" ca="1" si="1820"/>
        <v>X</v>
      </c>
      <c r="EK416" s="58" t="str">
        <f t="shared" ca="1" si="1820"/>
        <v>X</v>
      </c>
      <c r="EL416" s="58" t="str">
        <f t="shared" ca="1" si="1820"/>
        <v>X</v>
      </c>
      <c r="EM416" s="58" t="str">
        <f t="shared" ca="1" si="1820"/>
        <v>X</v>
      </c>
      <c r="EN416" s="58" t="str">
        <f t="shared" ca="1" si="1820"/>
        <v>X</v>
      </c>
      <c r="EO416" s="58" t="str">
        <f t="shared" ca="1" si="1820"/>
        <v>X</v>
      </c>
      <c r="EP416" s="58" t="str">
        <f t="shared" ca="1" si="1820"/>
        <v>X</v>
      </c>
      <c r="EQ416" s="58" t="str">
        <f t="shared" ca="1" si="1820"/>
        <v>X</v>
      </c>
      <c r="ER416" s="58" t="str">
        <f t="shared" ca="1" si="1820"/>
        <v>X</v>
      </c>
      <c r="ES416" s="58" t="str">
        <f t="shared" ca="1" si="1820"/>
        <v>X</v>
      </c>
      <c r="ET416" s="58" t="str">
        <f t="shared" ca="1" si="1820"/>
        <v>X</v>
      </c>
      <c r="EU416" s="58" t="str">
        <f t="shared" ca="1" si="1820"/>
        <v>X</v>
      </c>
      <c r="EV416" s="58" t="str">
        <f t="shared" ca="1" si="1820"/>
        <v>X</v>
      </c>
      <c r="EW416" s="58" t="str">
        <f t="shared" ca="1" si="1820"/>
        <v>X</v>
      </c>
      <c r="EX416" s="58" t="str">
        <f t="shared" ca="1" si="1820"/>
        <v>X</v>
      </c>
      <c r="EY416" s="58" t="str">
        <f t="shared" ca="1" si="1820"/>
        <v>X</v>
      </c>
      <c r="EZ416" s="58" t="str">
        <f t="shared" ca="1" si="1820"/>
        <v>X</v>
      </c>
      <c r="FA416" s="58" t="str">
        <f t="shared" ca="1" si="1820"/>
        <v>X</v>
      </c>
      <c r="FB416" s="58" t="str">
        <f t="shared" ca="1" si="1820"/>
        <v>X</v>
      </c>
      <c r="FC416" s="58" t="str">
        <f t="shared" ca="1" si="1820"/>
        <v>X</v>
      </c>
      <c r="FD416" s="58" t="str">
        <f t="shared" ca="1" si="1820"/>
        <v>X</v>
      </c>
      <c r="FE416" s="58" t="str">
        <f t="shared" ca="1" si="1820"/>
        <v>X</v>
      </c>
      <c r="FF416" s="58" t="str">
        <f t="shared" ca="1" si="1820"/>
        <v>X</v>
      </c>
      <c r="FG416" s="58" t="str">
        <f t="shared" ca="1" si="1820"/>
        <v>X</v>
      </c>
      <c r="FH416" s="58" t="str">
        <f t="shared" ca="1" si="1820"/>
        <v>X</v>
      </c>
      <c r="FI416" s="58" t="str">
        <f t="shared" ca="1" si="1820"/>
        <v>X</v>
      </c>
      <c r="FJ416" s="58" t="str">
        <f t="shared" ca="1" si="1820"/>
        <v>X</v>
      </c>
      <c r="FK416" s="58">
        <f t="shared" ca="1" si="1820"/>
        <v>46324</v>
      </c>
      <c r="FL416" s="58">
        <f t="shared" ca="1" si="1820"/>
        <v>46324</v>
      </c>
      <c r="FM416" s="58">
        <f t="shared" ca="1" si="1820"/>
        <v>46324</v>
      </c>
      <c r="FN416" s="58">
        <f t="shared" ca="1" si="1820"/>
        <v>46324</v>
      </c>
      <c r="FO416" s="58" t="str">
        <f t="shared" ca="1" si="1820"/>
        <v>X</v>
      </c>
      <c r="FP416" s="58" t="str">
        <f t="shared" ca="1" si="1820"/>
        <v>X</v>
      </c>
      <c r="FQ416" s="58" t="str">
        <f t="shared" ca="1" si="1820"/>
        <v>X</v>
      </c>
      <c r="FR416" s="58" t="str">
        <f t="shared" ca="1" si="1820"/>
        <v>X</v>
      </c>
      <c r="FS416" s="58" t="str">
        <f t="shared" ca="1" si="1820"/>
        <v>X</v>
      </c>
      <c r="FT416" s="58" t="str">
        <f t="shared" ca="1" si="1820"/>
        <v>X</v>
      </c>
      <c r="FU416" s="58" t="str">
        <f t="shared" ca="1" si="1820"/>
        <v>X</v>
      </c>
      <c r="FV416" s="58" t="str">
        <f t="shared" ca="1" si="1820"/>
        <v>X</v>
      </c>
      <c r="FW416" s="58" t="str">
        <f t="shared" ca="1" si="1820"/>
        <v>X</v>
      </c>
      <c r="FX416" s="58" t="str">
        <f t="shared" ca="1" si="1820"/>
        <v>X</v>
      </c>
      <c r="FY416" s="58">
        <f t="shared" ca="1" si="1820"/>
        <v>46331</v>
      </c>
      <c r="FZ416" s="58">
        <f t="shared" ca="1" si="1820"/>
        <v>46331</v>
      </c>
      <c r="GA416" s="58">
        <f t="shared" ca="1" si="1820"/>
        <v>46331</v>
      </c>
      <c r="GB416" s="58">
        <f t="shared" ca="1" si="1820"/>
        <v>46331</v>
      </c>
      <c r="GC416" s="58" t="str">
        <f t="shared" ca="1" si="1820"/>
        <v>X</v>
      </c>
      <c r="GD416" s="58" t="str">
        <f t="shared" ca="1" si="1820"/>
        <v>X</v>
      </c>
      <c r="GE416" s="58" t="str">
        <f t="shared" ca="1" si="1820"/>
        <v>X</v>
      </c>
      <c r="GF416" s="58" t="str">
        <f t="shared" ca="1" si="1820"/>
        <v>X</v>
      </c>
      <c r="GG416" s="58" t="str">
        <f t="shared" ca="1" si="1820"/>
        <v>X</v>
      </c>
      <c r="GH416" s="58" t="str">
        <f t="shared" ca="1" si="1820"/>
        <v>X</v>
      </c>
      <c r="GI416" s="58" t="str">
        <f t="shared" ca="1" si="1820"/>
        <v>X</v>
      </c>
      <c r="GJ416" s="58" t="str">
        <f t="shared" ca="1" si="1820"/>
        <v>X</v>
      </c>
      <c r="GK416" s="58" t="str">
        <f t="shared" ca="1" si="1820"/>
        <v>X</v>
      </c>
      <c r="GL416" s="58" t="str">
        <f t="shared" ca="1" si="1820"/>
        <v>X</v>
      </c>
      <c r="GM416" s="58" t="str">
        <f t="shared" ca="1" si="1820"/>
        <v>X</v>
      </c>
      <c r="GN416" s="58" t="str">
        <f t="shared" ca="1" si="1820"/>
        <v>X</v>
      </c>
      <c r="GO416" s="58" t="str">
        <f t="shared" ca="1" si="1820"/>
        <v>X</v>
      </c>
      <c r="GP416" s="58" t="str">
        <f t="shared" ca="1" si="1820"/>
        <v>X</v>
      </c>
      <c r="GQ416" s="58" t="str">
        <f t="shared" ca="1" si="1820"/>
        <v>X</v>
      </c>
      <c r="GR416" s="58" t="str">
        <f t="shared" ca="1" si="1820"/>
        <v>X</v>
      </c>
      <c r="GS416" s="80" t="str">
        <f t="shared" ca="1" si="1820"/>
        <v>X</v>
      </c>
      <c r="GT416" s="58" t="str">
        <f t="shared" ca="1" si="1820"/>
        <v>X</v>
      </c>
      <c r="GU416" s="82" t="str">
        <f t="shared" ca="1" si="1617"/>
        <v>X</v>
      </c>
      <c r="GV416" s="58" t="str">
        <f t="shared" ca="1" si="1618"/>
        <v>X</v>
      </c>
      <c r="GW416" s="58" t="str">
        <f t="shared" ca="1" si="1619"/>
        <v>X</v>
      </c>
      <c r="GX416" s="58" t="str">
        <f t="shared" ca="1" si="1620"/>
        <v>X</v>
      </c>
      <c r="GY416" s="58" t="str">
        <f t="shared" ca="1" si="1621"/>
        <v>X</v>
      </c>
      <c r="GZ416" s="58" t="str">
        <f t="shared" ca="1" si="1622"/>
        <v>X</v>
      </c>
      <c r="HA416" s="58" t="str">
        <f t="shared" ca="1" si="1623"/>
        <v>X</v>
      </c>
      <c r="HB416" s="58" t="str">
        <f t="shared" ca="1" si="1624"/>
        <v>X</v>
      </c>
      <c r="HC416" s="58" t="str">
        <f t="shared" ca="1" si="1625"/>
        <v>X</v>
      </c>
      <c r="HD416" s="58" t="str">
        <f t="shared" ca="1" si="1626"/>
        <v>X</v>
      </c>
      <c r="HE416" s="58" t="str">
        <f t="shared" ca="1" si="1627"/>
        <v>X</v>
      </c>
      <c r="HF416" s="58" t="str">
        <f t="shared" ca="1" si="1628"/>
        <v>X</v>
      </c>
      <c r="HG416" s="58" t="str">
        <f t="shared" ca="1" si="1629"/>
        <v>X</v>
      </c>
      <c r="HH416" s="58" t="str">
        <f t="shared" ca="1" si="1630"/>
        <v>X</v>
      </c>
      <c r="HI416" s="58" t="str">
        <f t="shared" ca="1" si="1631"/>
        <v>X</v>
      </c>
      <c r="HJ416" s="58" t="str">
        <f t="shared" ca="1" si="1632"/>
        <v>X</v>
      </c>
      <c r="HK416" s="58" t="str">
        <f t="shared" ca="1" si="1633"/>
        <v>X</v>
      </c>
      <c r="HL416" s="58" t="str">
        <f t="shared" ca="1" si="1634"/>
        <v>X</v>
      </c>
      <c r="HM416" s="58" t="str">
        <f t="shared" ca="1" si="1635"/>
        <v>X</v>
      </c>
      <c r="HN416" s="58" t="str">
        <f t="shared" ca="1" si="1636"/>
        <v>X</v>
      </c>
      <c r="HO416" s="58" t="str">
        <f t="shared" ca="1" si="1637"/>
        <v>X</v>
      </c>
      <c r="HP416" s="58" t="str">
        <f t="shared" ca="1" si="1638"/>
        <v>X</v>
      </c>
      <c r="HQ416" s="58" t="str">
        <f t="shared" ca="1" si="1639"/>
        <v>X</v>
      </c>
      <c r="HR416" s="58" t="str">
        <f t="shared" ca="1" si="1640"/>
        <v>X</v>
      </c>
      <c r="HS416" s="58" t="str">
        <f t="shared" ca="1" si="1641"/>
        <v>X</v>
      </c>
      <c r="HT416" s="58" t="str">
        <f t="shared" ca="1" si="1642"/>
        <v>X</v>
      </c>
      <c r="HU416" s="58" t="str">
        <f t="shared" ca="1" si="1643"/>
        <v>X</v>
      </c>
      <c r="HV416" s="58" t="str">
        <f t="shared" ca="1" si="1644"/>
        <v>X</v>
      </c>
      <c r="HW416" s="58" t="str">
        <f t="shared" ca="1" si="1645"/>
        <v>X</v>
      </c>
      <c r="HX416" s="58" t="str">
        <f t="shared" ca="1" si="1646"/>
        <v>X</v>
      </c>
      <c r="HY416" s="58" t="str">
        <f t="shared" ca="1" si="1647"/>
        <v>X</v>
      </c>
      <c r="HZ416" s="58" t="str">
        <f t="shared" ca="1" si="1648"/>
        <v>X</v>
      </c>
      <c r="IA416" s="58" t="str">
        <f t="shared" ca="1" si="1649"/>
        <v>X</v>
      </c>
      <c r="IB416" s="58" t="str">
        <f t="shared" ca="1" si="1650"/>
        <v>X</v>
      </c>
      <c r="IC416" s="58" t="str">
        <f t="shared" ca="1" si="1651"/>
        <v>X</v>
      </c>
      <c r="ID416" s="58" t="str">
        <f t="shared" ca="1" si="1652"/>
        <v>X</v>
      </c>
      <c r="IE416" s="58" t="str">
        <f t="shared" ca="1" si="1653"/>
        <v>X</v>
      </c>
      <c r="IF416" s="58" t="str">
        <f t="shared" ca="1" si="1654"/>
        <v>X</v>
      </c>
      <c r="IG416" s="58" t="str">
        <f t="shared" ca="1" si="1655"/>
        <v>X</v>
      </c>
      <c r="IH416" s="58" t="str">
        <f t="shared" ca="1" si="1656"/>
        <v>X</v>
      </c>
      <c r="II416" s="58" t="str">
        <f t="shared" ca="1" si="1657"/>
        <v>X</v>
      </c>
      <c r="IJ416" s="58" t="str">
        <f t="shared" ca="1" si="1658"/>
        <v>X</v>
      </c>
      <c r="IK416" s="58" t="str">
        <f t="shared" ca="1" si="1659"/>
        <v>X</v>
      </c>
      <c r="IL416" s="58" t="str">
        <f t="shared" ca="1" si="1660"/>
        <v>X</v>
      </c>
      <c r="IM416" s="58" t="str">
        <f t="shared" ca="1" si="1661"/>
        <v>X</v>
      </c>
      <c r="IN416" s="58" t="str">
        <f t="shared" ca="1" si="1662"/>
        <v>X</v>
      </c>
      <c r="IO416" s="58" t="str">
        <f t="shared" ca="1" si="1663"/>
        <v>X</v>
      </c>
      <c r="IP416" s="58" t="str">
        <f t="shared" ca="1" si="1664"/>
        <v>X</v>
      </c>
      <c r="IQ416" s="58" t="str">
        <f t="shared" ca="1" si="1665"/>
        <v>X</v>
      </c>
      <c r="IR416" s="58" t="str">
        <f t="shared" ca="1" si="1666"/>
        <v>X</v>
      </c>
      <c r="IS416" s="58" t="str">
        <f t="shared" ca="1" si="1667"/>
        <v>X</v>
      </c>
      <c r="IT416" s="58" t="str">
        <f t="shared" ca="1" si="1668"/>
        <v>X</v>
      </c>
      <c r="IU416" s="58" t="str">
        <f t="shared" ca="1" si="1669"/>
        <v>X</v>
      </c>
      <c r="IV416" s="58" t="str">
        <f t="shared" ca="1" si="1670"/>
        <v>X</v>
      </c>
      <c r="IW416" s="58" t="str">
        <f t="shared" ca="1" si="1671"/>
        <v>X</v>
      </c>
      <c r="IX416" s="58" t="str">
        <f t="shared" ca="1" si="1672"/>
        <v>X</v>
      </c>
      <c r="IY416" s="58" t="str">
        <f t="shared" ca="1" si="1673"/>
        <v>X</v>
      </c>
      <c r="IZ416" s="58" t="str">
        <f t="shared" ca="1" si="1674"/>
        <v>X</v>
      </c>
      <c r="JA416" s="58" t="str">
        <f t="shared" ca="1" si="1675"/>
        <v>X</v>
      </c>
      <c r="JB416" s="58" t="str">
        <f t="shared" ca="1" si="1676"/>
        <v>X</v>
      </c>
      <c r="JC416" s="58" t="str">
        <f t="shared" ca="1" si="1677"/>
        <v>X</v>
      </c>
      <c r="JD416" s="58" t="str">
        <f t="shared" ca="1" si="1678"/>
        <v>X</v>
      </c>
      <c r="JE416" s="58" t="str">
        <f t="shared" ca="1" si="1679"/>
        <v>X</v>
      </c>
      <c r="JF416" s="58" t="str">
        <f t="shared" ca="1" si="1680"/>
        <v>X</v>
      </c>
      <c r="JG416" s="58" t="str">
        <f t="shared" ca="1" si="1681"/>
        <v>X</v>
      </c>
      <c r="JH416" s="58" t="str">
        <f t="shared" ca="1" si="1682"/>
        <v>X</v>
      </c>
      <c r="JI416" s="58" t="str">
        <f t="shared" ca="1" si="1683"/>
        <v>X</v>
      </c>
      <c r="JJ416" s="58" t="str">
        <f t="shared" ca="1" si="1684"/>
        <v>X</v>
      </c>
      <c r="JK416" s="58" t="str">
        <f t="shared" ca="1" si="1685"/>
        <v>X</v>
      </c>
      <c r="JL416" s="58" t="str">
        <f t="shared" ca="1" si="1686"/>
        <v>X</v>
      </c>
      <c r="JM416" s="58" t="str">
        <f t="shared" ca="1" si="1687"/>
        <v>X</v>
      </c>
      <c r="JN416" s="58" t="str">
        <f t="shared" ca="1" si="1688"/>
        <v>X</v>
      </c>
      <c r="JO416" s="58" t="str">
        <f t="shared" ca="1" si="1689"/>
        <v>X</v>
      </c>
      <c r="JP416" s="58" t="str">
        <f t="shared" ca="1" si="1690"/>
        <v>X</v>
      </c>
      <c r="JQ416" s="58" t="str">
        <f t="shared" ca="1" si="1691"/>
        <v>X</v>
      </c>
      <c r="JR416" s="58" t="str">
        <f t="shared" ca="1" si="1692"/>
        <v>X</v>
      </c>
      <c r="JS416" s="58" t="str">
        <f t="shared" ca="1" si="1693"/>
        <v>X</v>
      </c>
      <c r="JT416" s="58" t="str">
        <f t="shared" ca="1" si="1694"/>
        <v>X</v>
      </c>
      <c r="JU416" s="58" t="str">
        <f t="shared" ca="1" si="1695"/>
        <v>X</v>
      </c>
      <c r="JV416" s="58" t="str">
        <f t="shared" ca="1" si="1696"/>
        <v>X</v>
      </c>
      <c r="JW416" s="58" t="str">
        <f t="shared" ca="1" si="1697"/>
        <v>X</v>
      </c>
      <c r="JX416" s="58" t="str">
        <f t="shared" ca="1" si="1698"/>
        <v>X</v>
      </c>
      <c r="JY416" s="58" t="str">
        <f t="shared" ca="1" si="1699"/>
        <v>X</v>
      </c>
      <c r="JZ416" s="58" t="str">
        <f t="shared" ca="1" si="1700"/>
        <v>X</v>
      </c>
      <c r="KA416" s="58" t="str">
        <f t="shared" ca="1" si="1701"/>
        <v>X</v>
      </c>
      <c r="KB416" s="58" t="str">
        <f t="shared" ca="1" si="1702"/>
        <v>X</v>
      </c>
      <c r="KC416" s="58" t="str">
        <f t="shared" ca="1" si="1703"/>
        <v>X</v>
      </c>
      <c r="KD416" s="58" t="str">
        <f t="shared" ca="1" si="1704"/>
        <v>X</v>
      </c>
      <c r="KE416" s="58" t="str">
        <f t="shared" ca="1" si="1705"/>
        <v>X</v>
      </c>
      <c r="KF416" s="58" t="str">
        <f t="shared" ca="1" si="1706"/>
        <v>X</v>
      </c>
      <c r="KG416" s="58" t="str">
        <f t="shared" ca="1" si="1707"/>
        <v>X</v>
      </c>
      <c r="KH416" s="58" t="str">
        <f t="shared" ca="1" si="1708"/>
        <v>X</v>
      </c>
      <c r="KI416" s="58" t="str">
        <f t="shared" ca="1" si="1709"/>
        <v>X</v>
      </c>
      <c r="KJ416" s="58" t="str">
        <f t="shared" ca="1" si="1710"/>
        <v>X</v>
      </c>
      <c r="KK416" s="58" t="str">
        <f t="shared" ca="1" si="1711"/>
        <v>X</v>
      </c>
      <c r="KL416" s="58" t="str">
        <f t="shared" ca="1" si="1712"/>
        <v>X</v>
      </c>
      <c r="KM416" s="58" t="str">
        <f t="shared" ca="1" si="1713"/>
        <v>X</v>
      </c>
      <c r="KN416" s="58" t="str">
        <f t="shared" ca="1" si="1714"/>
        <v>X</v>
      </c>
      <c r="KO416" s="58" t="str">
        <f t="shared" ca="1" si="1715"/>
        <v>X</v>
      </c>
      <c r="KP416" s="58" t="str">
        <f t="shared" ca="1" si="1716"/>
        <v>X</v>
      </c>
      <c r="KQ416" s="58" t="str">
        <f t="shared" ca="1" si="1717"/>
        <v>X</v>
      </c>
      <c r="KR416" s="58" t="str">
        <f t="shared" ca="1" si="1718"/>
        <v>X</v>
      </c>
      <c r="KS416" s="58" t="str">
        <f t="shared" ca="1" si="1719"/>
        <v>X</v>
      </c>
      <c r="KT416" s="58" t="str">
        <f t="shared" ca="1" si="1720"/>
        <v>X</v>
      </c>
      <c r="KU416" s="58" t="str">
        <f t="shared" ca="1" si="1721"/>
        <v>X</v>
      </c>
      <c r="KV416" s="58" t="str">
        <f t="shared" ca="1" si="1722"/>
        <v>X</v>
      </c>
      <c r="KW416" s="58" t="str">
        <f t="shared" ca="1" si="1723"/>
        <v>X</v>
      </c>
      <c r="KX416" s="58" t="str">
        <f t="shared" ca="1" si="1724"/>
        <v>X</v>
      </c>
      <c r="KY416" s="58" t="str">
        <f t="shared" ca="1" si="1725"/>
        <v>X</v>
      </c>
      <c r="KZ416" s="58" t="str">
        <f t="shared" ca="1" si="1726"/>
        <v>X</v>
      </c>
      <c r="LA416" s="58" t="str">
        <f t="shared" ca="1" si="1727"/>
        <v>X</v>
      </c>
      <c r="LB416" s="58" t="str">
        <f t="shared" ca="1" si="1728"/>
        <v>X</v>
      </c>
      <c r="LC416" s="58" t="str">
        <f t="shared" ca="1" si="1729"/>
        <v>X</v>
      </c>
      <c r="LD416" s="58" t="str">
        <f t="shared" ca="1" si="1730"/>
        <v>X</v>
      </c>
      <c r="LE416" s="58" t="str">
        <f t="shared" ca="1" si="1731"/>
        <v>X</v>
      </c>
      <c r="LF416" s="58" t="str">
        <f t="shared" ca="1" si="1732"/>
        <v>X</v>
      </c>
      <c r="LG416" s="58" t="str">
        <f t="shared" ca="1" si="1733"/>
        <v>X</v>
      </c>
      <c r="LH416" s="58" t="str">
        <f t="shared" ca="1" si="1734"/>
        <v>X</v>
      </c>
      <c r="LI416" s="58" t="str">
        <f t="shared" ca="1" si="1735"/>
        <v>X</v>
      </c>
      <c r="LJ416" s="58" t="str">
        <f t="shared" ca="1" si="1736"/>
        <v>X</v>
      </c>
      <c r="LK416" s="58" t="str">
        <f t="shared" ca="1" si="1737"/>
        <v>X</v>
      </c>
      <c r="LL416" s="58" t="str">
        <f t="shared" ca="1" si="1738"/>
        <v>X</v>
      </c>
      <c r="LM416" s="58" t="str">
        <f t="shared" ca="1" si="1739"/>
        <v>X</v>
      </c>
      <c r="LN416" s="58" t="str">
        <f t="shared" ca="1" si="1740"/>
        <v>X</v>
      </c>
      <c r="LO416" s="58" t="str">
        <f t="shared" ca="1" si="1741"/>
        <v>X</v>
      </c>
      <c r="LP416" s="58" t="str">
        <f t="shared" ca="1" si="1742"/>
        <v>X</v>
      </c>
      <c r="LQ416" s="58" t="str">
        <f t="shared" ca="1" si="1743"/>
        <v>X</v>
      </c>
      <c r="LR416" s="58" t="str">
        <f t="shared" ca="1" si="1744"/>
        <v>X</v>
      </c>
      <c r="LS416" s="58" t="str">
        <f t="shared" ca="1" si="1745"/>
        <v>X</v>
      </c>
      <c r="LT416" s="58" t="str">
        <f t="shared" ca="1" si="1746"/>
        <v>X</v>
      </c>
      <c r="LU416" s="58" t="str">
        <f t="shared" ca="1" si="1747"/>
        <v>X</v>
      </c>
      <c r="LV416" s="58" t="str">
        <f t="shared" ca="1" si="1748"/>
        <v>X</v>
      </c>
      <c r="LW416" s="58">
        <f t="shared" ca="1" si="1749"/>
        <v>46325</v>
      </c>
      <c r="LX416" s="58">
        <f t="shared" ca="1" si="1750"/>
        <v>46325</v>
      </c>
      <c r="LY416" s="58">
        <f t="shared" ca="1" si="1751"/>
        <v>46325</v>
      </c>
      <c r="LZ416" s="58">
        <f t="shared" ca="1" si="1752"/>
        <v>46325</v>
      </c>
      <c r="MA416" s="58" t="str">
        <f t="shared" ca="1" si="1753"/>
        <v>X</v>
      </c>
      <c r="MB416" s="58" t="str">
        <f t="shared" ca="1" si="1754"/>
        <v>X</v>
      </c>
      <c r="MC416" s="58" t="str">
        <f t="shared" ca="1" si="1755"/>
        <v>X</v>
      </c>
      <c r="MD416" s="58" t="str">
        <f t="shared" ca="1" si="1756"/>
        <v>X</v>
      </c>
      <c r="ME416" s="58" t="str">
        <f t="shared" ca="1" si="1757"/>
        <v>X</v>
      </c>
      <c r="MF416" s="58" t="str">
        <f t="shared" ca="1" si="1758"/>
        <v>X</v>
      </c>
      <c r="MG416" s="58" t="str">
        <f t="shared" ca="1" si="1759"/>
        <v>X</v>
      </c>
      <c r="MH416" s="58" t="str">
        <f t="shared" ca="1" si="1760"/>
        <v>X</v>
      </c>
      <c r="MI416" s="58" t="str">
        <f t="shared" ca="1" si="1761"/>
        <v>X</v>
      </c>
      <c r="MJ416" s="58" t="str">
        <f t="shared" ca="1" si="1762"/>
        <v>X</v>
      </c>
      <c r="MK416" s="58">
        <f t="shared" ca="1" si="1763"/>
        <v>46350</v>
      </c>
      <c r="ML416" s="58">
        <f t="shared" ca="1" si="1764"/>
        <v>46350</v>
      </c>
      <c r="MM416" s="58">
        <f t="shared" ca="1" si="1765"/>
        <v>46350</v>
      </c>
      <c r="MN416" s="58">
        <f t="shared" ca="1" si="1766"/>
        <v>46350</v>
      </c>
      <c r="MO416" s="58" t="str">
        <f t="shared" ca="1" si="1767"/>
        <v>X</v>
      </c>
      <c r="MP416" s="58" t="str">
        <f t="shared" ca="1" si="1768"/>
        <v>X</v>
      </c>
      <c r="MQ416" s="58" t="str">
        <f t="shared" ca="1" si="1769"/>
        <v>X</v>
      </c>
      <c r="MR416" s="58" t="str">
        <f t="shared" ca="1" si="1770"/>
        <v>X</v>
      </c>
      <c r="MS416" s="58" t="str">
        <f t="shared" ca="1" si="1771"/>
        <v>X</v>
      </c>
      <c r="MT416" s="58" t="str">
        <f t="shared" ref="MT416:NE416" ca="1" si="1821">IF($K416=INDIRECT(CONCATENATE("$AG$"&amp;GH$392)),INDIRECT(CONCATENATE("$AG$"&amp;GH$391)),
IF($K416=INDIRECT(CONCATENATE("$AF$"&amp;GH$392)),INDIRECT(CONCATENATE("$AF$"&amp;GH$391)),
IF($K416=INDIRECT(CONCATENATE("$AE$"&amp;GH$392)),INDIRECT(CONCATENATE("$AE$"&amp;GH$391)),
IF($K416=INDIRECT(CONCATENATE("$AD$"&amp;GH$392)),INDIRECT(CONCATENATE("$AD$"&amp;GH$391)),
IF($K416=INDIRECT(CONCATENATE("$AC$"&amp;GH$392)),INDIRECT(CONCATENATE("$AC$"&amp;GH$391)),
IF($K416=INDIRECT(CONCATENATE("$AB$"&amp;GH$392)),INDIRECT(CONCATENATE("$AB$"&amp;GH$391)),
IF($K416=INDIRECT(CONCATENATE("$AA$"&amp;GH$392)),INDIRECT(CONCATENATE("$AA$"&amp;GH$391)),
IF($K416=INDIRECT(CONCATENATE("$Z$"&amp;GH$392)),INDIRECT(CONCATENATE("$Z$"&amp;GH$391)),
IF($K416=INDIRECT(CONCATENATE("$Y$"&amp;GH$392)),INDIRECT(CONCATENATE("$Y$"&amp;GH$391)),
IF($K416=INDIRECT(CONCATENATE("$X$"&amp;GH$392)),INDIRECT(CONCATENATE("$X$"&amp;GH$391)),
IF($K416=INDIRECT(CONCATENATE("$W$"&amp;GH$392)),INDIRECT(CONCATENATE("$W$"&amp;GH$391)),
IF($K416=INDIRECT(CONCATENATE("$V$"&amp;GH$392)),INDIRECT(CONCATENATE("$V$"&amp;GH$391)),
IF($K416=INDIRECT(CONCATENATE("$U$"&amp;GH$392)),INDIRECT(CONCATENATE("$U$"&amp;GH$391)),
IF($K416=INDIRECT(CONCATENATE("$T$"&amp;GH$392)),INDIRECT(CONCATENATE("$T$"&amp;GH$391)),
IF($K416=INDIRECT(CONCATENATE("$S$"&amp;GH$392)),INDIRECT(CONCATENATE("$S$"&amp;GH$391)),
IF($K416=INDIRECT(CONCATENATE("$R$"&amp;GH$392)),INDIRECT(CONCATENATE("$R$"&amp;GH$391)),
IF($K416=INDIRECT(CONCATENATE("$Q$"&amp;GH$392)),INDIRECT(CONCATENATE("$Q$"&amp;GH$391)),
IF($K416=INDIRECT(CONCATENATE("$P$"&amp;GH$392)),INDIRECT(CONCATENATE("$P$"&amp;GH$391)),
IF($K416=INDIRECT(CONCATENATE("$O$"&amp;GH$392)),INDIRECT(CONCATENATE("$O$"&amp;GH$391)),
IF($K416=INDIRECT(CONCATENATE("$N$"&amp;GH$392)),INDIRECT(CONCATENATE("$N$"&amp;GH$391)),
IF($K416=INDIRECT(CONCATENATE("$M$"&amp;GH$392)),INDIRECT(CONCATENATE("$M$"&amp;GH$391)),
IF($K416=INDIRECT(CONCATENATE("$L$"&amp;GH$392)),INDIRECT(CONCATENATE("$L$"&amp;GH$391)),
IF($K416=INDIRECT(CONCATENATE("$K$"&amp;GH$392)),INDIRECT(CONCATENATE("$K$"&amp;GH$391)),
IF($K416=INDIRECT(CONCATENATE("$J$"&amp;GH$392)),INDIRECT(CONCATENATE("$J$"&amp;GH$391)),
IF($K416=INDIRECT(CONCATENATE("$I$"&amp;GH$392)),INDIRECT(CONCATENATE("$I$"&amp;GH$391)),
IF($K416=INDIRECT(CONCATENATE("$H$"&amp;GH$392)),INDIRECT(CONCATENATE("$H$"&amp;GH$391)),
IF($K416=INDIRECT(CONCATENATE("$G$"&amp;GH$392)),INDIRECT(CONCATENATE("$G$"&amp;GH$391)),
IF($K416=INDIRECT(CONCATENATE("$F$"&amp;GH$392)),INDIRECT(CONCATENATE("$F$"&amp;GH$391)),
IF($K416=INDIRECT(CONCATENATE("$E$"&amp;GH$392)),INDIRECT(CONCATENATE("$E$"&amp;GH$391)),
IF($K416=INDIRECT(CONCATENATE("$D$"&amp;GH$392)),INDIRECT(CONCATENATE("$D$"&amp;GH$391)),
IF($K416=INDIRECT(CONCATENATE("$C$"&amp;GH$392)),INDIRECT(CONCATENATE("$C$"&amp;GH$391)),"X")))))))))))))))))))))))))))))))</f>
        <v>X</v>
      </c>
      <c r="MU416" s="58" t="str">
        <f t="shared" ca="1" si="1821"/>
        <v>X</v>
      </c>
      <c r="MV416" s="58" t="str">
        <f t="shared" ca="1" si="1821"/>
        <v>X</v>
      </c>
      <c r="MW416" s="58" t="str">
        <f t="shared" ca="1" si="1821"/>
        <v>X</v>
      </c>
      <c r="MX416" s="58" t="str">
        <f t="shared" ca="1" si="1821"/>
        <v>X</v>
      </c>
      <c r="MY416" s="58" t="str">
        <f t="shared" ca="1" si="1821"/>
        <v>X</v>
      </c>
      <c r="MZ416" s="58" t="str">
        <f t="shared" ca="1" si="1821"/>
        <v>X</v>
      </c>
      <c r="NA416" s="58" t="str">
        <f t="shared" ca="1" si="1821"/>
        <v>X</v>
      </c>
      <c r="NB416" s="58" t="str">
        <f t="shared" ca="1" si="1821"/>
        <v>X</v>
      </c>
      <c r="NC416" s="58" t="str">
        <f t="shared" ca="1" si="1821"/>
        <v>X</v>
      </c>
      <c r="ND416" s="58" t="str">
        <f t="shared" ca="1" si="1821"/>
        <v>X</v>
      </c>
      <c r="NE416" s="58" t="str">
        <f t="shared" ca="1" si="1821"/>
        <v>X</v>
      </c>
      <c r="NF416" s="58" t="str">
        <f t="shared" ca="1" si="1773"/>
        <v>X</v>
      </c>
      <c r="NG416" s="58" t="str">
        <f t="shared" ca="1" si="1774"/>
        <v>X</v>
      </c>
    </row>
    <row r="417" spans="1:371" ht="18" customHeight="1">
      <c r="A417" s="238" t="s">
        <v>109</v>
      </c>
      <c r="B417" s="239"/>
      <c r="C417" s="239"/>
      <c r="D417" s="239"/>
      <c r="E417" s="239"/>
      <c r="F417" s="239"/>
      <c r="G417" s="239"/>
      <c r="H417" s="239"/>
      <c r="I417" s="239"/>
      <c r="J417" s="240"/>
      <c r="K417" s="237" t="s">
        <v>49</v>
      </c>
      <c r="L417" s="303"/>
      <c r="M417" s="181">
        <v>82</v>
      </c>
      <c r="N417" s="225" t="s">
        <v>110</v>
      </c>
      <c r="O417" s="304"/>
      <c r="P417" s="304"/>
      <c r="Q417" s="304"/>
      <c r="R417" s="303"/>
      <c r="S417" s="226">
        <v>101706</v>
      </c>
      <c r="T417" s="304"/>
      <c r="U417" s="303"/>
      <c r="V417" s="227" t="s">
        <v>87</v>
      </c>
      <c r="W417" s="303"/>
      <c r="X417" s="56">
        <f t="shared" ca="1" si="1775"/>
        <v>46247</v>
      </c>
      <c r="Y417" s="56">
        <f t="shared" ca="1" si="1776"/>
        <v>46337</v>
      </c>
      <c r="Z417" s="228" t="str">
        <f t="shared" ca="1" si="1612"/>
        <v>EM ANDAMENTO</v>
      </c>
      <c r="AA417" s="304"/>
      <c r="AB417" s="303"/>
      <c r="AC417" s="224">
        <f t="shared" si="1777"/>
        <v>82</v>
      </c>
      <c r="AD417" s="303"/>
      <c r="AE417" s="229">
        <f t="shared" si="1778"/>
        <v>0</v>
      </c>
      <c r="AF417" s="303"/>
      <c r="AG417" s="57" t="str">
        <f t="shared" si="1615"/>
        <v>OK</v>
      </c>
      <c r="AH417" s="21"/>
      <c r="AI417" s="70"/>
      <c r="AJ417" s="58" t="str">
        <f t="shared" ref="AJ417:GT417" ca="1" si="1822">IF($K417=INDIRECT(CONCATENATE("$C$"&amp;AJ$392)), INDIRECT(CONCATENATE("$C$"&amp;AJ$391)),
IF($K417=INDIRECT(CONCATENATE("$D$"&amp;AJ$392)), INDIRECT(CONCATENATE("$D$"&amp;AJ$391)),
IF($K417=INDIRECT(CONCATENATE("$E$"&amp;AJ$392)), INDIRECT(CONCATENATE("$E$"&amp;AJ$391)),
IF($K417=INDIRECT(CONCATENATE("$F$"&amp;AJ$392)), INDIRECT(CONCATENATE("$F$"&amp;AJ$391)),
IF($K417=INDIRECT(CONCATENATE("$G$"&amp;AJ$392)), INDIRECT(CONCATENATE("$G$"&amp;AJ$391)),
IF($K417=INDIRECT(CONCATENATE("$H$"&amp;AJ$392)), INDIRECT(CONCATENATE("$H$"&amp;AJ$391)),
IF($K417=INDIRECT(CONCATENATE("$I$"&amp;AJ$392)), INDIRECT(CONCATENATE("$I$"&amp;AJ$391)),
IF($K417=INDIRECT(CONCATENATE("$J$"&amp;AJ$392)), INDIRECT(CONCATENATE("$J$"&amp;AJ$391)),
IF($K417=INDIRECT(CONCATENATE("$K$"&amp;AJ$392)), INDIRECT(CONCATENATE("$K$"&amp;AJ$391)),
IF($K417=INDIRECT(CONCATENATE("$L$"&amp;AJ$392)), INDIRECT(CONCATENATE("$L$"&amp;AJ$391)),
IF($K417=INDIRECT(CONCATENATE("$M$"&amp;AJ$392)), INDIRECT(CONCATENATE("$M$"&amp;AJ$391)),
IF($K417=INDIRECT(CONCATENATE("$N$"&amp;AJ$392)), INDIRECT(CONCATENATE("$N$"&amp;AJ$391)),
IF($K417=INDIRECT(CONCATENATE("$O$"&amp;AJ$392)), INDIRECT(CONCATENATE("$O$"&amp;AJ$391)),
IF($K417=INDIRECT(CONCATENATE("$P$"&amp;AJ$392)), INDIRECT(CONCATENATE("$P$"&amp;AJ$391)),
IF($K417=INDIRECT(CONCATENATE("$Q$"&amp;AJ$392)), INDIRECT(CONCATENATE("$Q$"&amp;AJ$391)),
IF($K417=INDIRECT(CONCATENATE("$R$"&amp;AJ$392)), INDIRECT(CONCATENATE("$R$"&amp;AJ$391)),
IF($K417=INDIRECT(CONCATENATE("$S$"&amp;AJ$392)), INDIRECT(CONCATENATE("$S$"&amp;AJ$391)),
IF($K417=INDIRECT(CONCATENATE("$T$"&amp;AJ$392)), INDIRECT(CONCATENATE("$T$"&amp;AJ$391)),
IF($K417=INDIRECT(CONCATENATE("$U$"&amp;AJ$392)), INDIRECT(CONCATENATE("$U$"&amp;AJ$391)),
IF($K417=INDIRECT(CONCATENATE("$V$"&amp;AJ$392)), INDIRECT(CONCATENATE("$V$"&amp;AJ$391)),
IF($K417=INDIRECT(CONCATENATE("$W$"&amp;AJ$392)), INDIRECT(CONCATENATE("$W$"&amp;AJ$391)),
IF($K417=INDIRECT(CONCATENATE("$X$"&amp;AJ$392)), INDIRECT(CONCATENATE("$X$"&amp;AJ$391)),
IF($K417=INDIRECT(CONCATENATE("$Y$"&amp;AJ$392)), INDIRECT(CONCATENATE("$Y$"&amp;AJ$391)),
IF($K417=INDIRECT(CONCATENATE("$Z$"&amp;AJ$392)), INDIRECT(CONCATENATE("$Z$"&amp;AJ$391)),
IF($K417=INDIRECT(CONCATENATE("$AA$"&amp;AJ$392)), INDIRECT(CONCATENATE("$AA$"&amp;AJ$391)),
IF($K417=INDIRECT(CONCATENATE("$AB$"&amp;AJ$392)), INDIRECT(CONCATENATE("$AB$"&amp;AJ$391)),
IF($K417=INDIRECT(CONCATENATE("$AC$"&amp;AJ$392)), INDIRECT(CONCATENATE("$AC$"&amp;AJ$391)),
IF($K417=INDIRECT(CONCATENATE("$AD$"&amp;AJ$392)), INDIRECT(CONCATENATE("$AD$"&amp;AJ$391)),
IF($K417=INDIRECT(CONCATENATE("$AE$"&amp;AJ$392)), INDIRECT(CONCATENATE("$AE$"&amp;AJ$391)),
IF($K417=INDIRECT(CONCATENATE("$AF$"&amp;AJ$392)), INDIRECT(CONCATENATE("$AF$"&amp;AJ$391)),
IF($K417=INDIRECT(CONCATENATE("$AG$"&amp;AJ$392)), INDIRECT(CONCATENATE("$AG$"&amp;AJ$391)),"X")))))))))))))))))))))))))))))))</f>
        <v>X</v>
      </c>
      <c r="AK417" s="58" t="str">
        <f t="shared" ca="1" si="1822"/>
        <v>X</v>
      </c>
      <c r="AL417" s="58" t="str">
        <f t="shared" ca="1" si="1822"/>
        <v>X</v>
      </c>
      <c r="AM417" s="58" t="str">
        <f t="shared" ca="1" si="1822"/>
        <v>X</v>
      </c>
      <c r="AN417" s="58" t="str">
        <f t="shared" ca="1" si="1822"/>
        <v>X</v>
      </c>
      <c r="AO417" s="58" t="str">
        <f t="shared" ca="1" si="1822"/>
        <v>X</v>
      </c>
      <c r="AP417" s="58" t="str">
        <f t="shared" ca="1" si="1822"/>
        <v>X</v>
      </c>
      <c r="AQ417" s="58" t="str">
        <f t="shared" ca="1" si="1822"/>
        <v>X</v>
      </c>
      <c r="AR417" s="58" t="str">
        <f t="shared" ca="1" si="1822"/>
        <v>X</v>
      </c>
      <c r="AS417" s="58" t="str">
        <f t="shared" ca="1" si="1822"/>
        <v>X</v>
      </c>
      <c r="AT417" s="58" t="str">
        <f t="shared" ca="1" si="1822"/>
        <v>X</v>
      </c>
      <c r="AU417" s="58" t="str">
        <f t="shared" ca="1" si="1822"/>
        <v>X</v>
      </c>
      <c r="AV417" s="58" t="str">
        <f t="shared" ca="1" si="1822"/>
        <v>X</v>
      </c>
      <c r="AW417" s="58" t="str">
        <f t="shared" ca="1" si="1822"/>
        <v>X</v>
      </c>
      <c r="AX417" s="58" t="str">
        <f t="shared" ca="1" si="1822"/>
        <v>X</v>
      </c>
      <c r="AY417" s="58" t="str">
        <f t="shared" ca="1" si="1822"/>
        <v>X</v>
      </c>
      <c r="AZ417" s="58" t="str">
        <f t="shared" ca="1" si="1822"/>
        <v>X</v>
      </c>
      <c r="BA417" s="58" t="str">
        <f t="shared" ca="1" si="1822"/>
        <v>X</v>
      </c>
      <c r="BB417" s="58" t="str">
        <f t="shared" ca="1" si="1822"/>
        <v>X</v>
      </c>
      <c r="BC417" s="58" t="str">
        <f t="shared" ca="1" si="1822"/>
        <v>X</v>
      </c>
      <c r="BD417" s="58" t="str">
        <f t="shared" ca="1" si="1822"/>
        <v>X</v>
      </c>
      <c r="BE417" s="58" t="str">
        <f t="shared" ca="1" si="1822"/>
        <v>X</v>
      </c>
      <c r="BF417" s="58" t="str">
        <f t="shared" ca="1" si="1822"/>
        <v>X</v>
      </c>
      <c r="BG417" s="58" t="str">
        <f t="shared" ca="1" si="1822"/>
        <v>X</v>
      </c>
      <c r="BH417" s="58" t="str">
        <f t="shared" ca="1" si="1822"/>
        <v>X</v>
      </c>
      <c r="BI417" s="58" t="str">
        <f t="shared" ca="1" si="1822"/>
        <v>X</v>
      </c>
      <c r="BJ417" s="58" t="str">
        <f t="shared" ca="1" si="1822"/>
        <v>X</v>
      </c>
      <c r="BK417" s="58" t="str">
        <f t="shared" ca="1" si="1822"/>
        <v>X</v>
      </c>
      <c r="BL417" s="58" t="str">
        <f t="shared" ca="1" si="1822"/>
        <v>X</v>
      </c>
      <c r="BM417" s="58" t="str">
        <f t="shared" ca="1" si="1822"/>
        <v>X</v>
      </c>
      <c r="BN417" s="58" t="str">
        <f t="shared" ca="1" si="1822"/>
        <v>X</v>
      </c>
      <c r="BO417" s="58" t="str">
        <f t="shared" ca="1" si="1822"/>
        <v>X</v>
      </c>
      <c r="BP417" s="58" t="str">
        <f t="shared" ca="1" si="1822"/>
        <v>X</v>
      </c>
      <c r="BQ417" s="58" t="str">
        <f t="shared" ca="1" si="1822"/>
        <v>X</v>
      </c>
      <c r="BR417" s="58" t="str">
        <f t="shared" ca="1" si="1822"/>
        <v>X</v>
      </c>
      <c r="BS417" s="58" t="str">
        <f t="shared" ca="1" si="1822"/>
        <v>X</v>
      </c>
      <c r="BT417" s="58" t="str">
        <f t="shared" ca="1" si="1822"/>
        <v>X</v>
      </c>
      <c r="BU417" s="58" t="str">
        <f t="shared" ca="1" si="1822"/>
        <v>X</v>
      </c>
      <c r="BV417" s="58" t="str">
        <f t="shared" ca="1" si="1822"/>
        <v>X</v>
      </c>
      <c r="BW417" s="58" t="str">
        <f t="shared" ca="1" si="1822"/>
        <v>X</v>
      </c>
      <c r="BX417" s="58" t="str">
        <f t="shared" ca="1" si="1822"/>
        <v>X</v>
      </c>
      <c r="BY417" s="58" t="str">
        <f t="shared" ca="1" si="1822"/>
        <v>X</v>
      </c>
      <c r="BZ417" s="58" t="str">
        <f t="shared" ca="1" si="1822"/>
        <v>X</v>
      </c>
      <c r="CA417" s="58" t="str">
        <f t="shared" ca="1" si="1822"/>
        <v>X</v>
      </c>
      <c r="CB417" s="58" t="str">
        <f t="shared" ca="1" si="1822"/>
        <v>X</v>
      </c>
      <c r="CC417" s="58" t="str">
        <f t="shared" ca="1" si="1822"/>
        <v>X</v>
      </c>
      <c r="CD417" s="58" t="str">
        <f t="shared" ca="1" si="1822"/>
        <v>X</v>
      </c>
      <c r="CE417" s="58" t="str">
        <f t="shared" ca="1" si="1822"/>
        <v>X</v>
      </c>
      <c r="CF417" s="58" t="str">
        <f t="shared" ca="1" si="1822"/>
        <v>X</v>
      </c>
      <c r="CG417" s="58" t="str">
        <f t="shared" ca="1" si="1822"/>
        <v>X</v>
      </c>
      <c r="CH417" s="58" t="str">
        <f t="shared" ca="1" si="1822"/>
        <v>X</v>
      </c>
      <c r="CI417" s="58" t="str">
        <f t="shared" ca="1" si="1822"/>
        <v>X</v>
      </c>
      <c r="CJ417" s="58" t="str">
        <f t="shared" ca="1" si="1822"/>
        <v>X</v>
      </c>
      <c r="CK417" s="58" t="str">
        <f t="shared" ca="1" si="1822"/>
        <v>X</v>
      </c>
      <c r="CL417" s="58" t="str">
        <f t="shared" ca="1" si="1822"/>
        <v>X</v>
      </c>
      <c r="CM417" s="58" t="str">
        <f t="shared" ca="1" si="1822"/>
        <v>X</v>
      </c>
      <c r="CN417" s="58" t="str">
        <f t="shared" ca="1" si="1822"/>
        <v>X</v>
      </c>
      <c r="CO417" s="58" t="str">
        <f t="shared" ca="1" si="1822"/>
        <v>X</v>
      </c>
      <c r="CP417" s="58" t="str">
        <f t="shared" ca="1" si="1822"/>
        <v>X</v>
      </c>
      <c r="CQ417" s="58" t="str">
        <f t="shared" ca="1" si="1822"/>
        <v>X</v>
      </c>
      <c r="CR417" s="58" t="str">
        <f t="shared" ca="1" si="1822"/>
        <v>X</v>
      </c>
      <c r="CS417" s="58" t="str">
        <f t="shared" ca="1" si="1822"/>
        <v>X</v>
      </c>
      <c r="CT417" s="58" t="str">
        <f t="shared" ca="1" si="1822"/>
        <v>X</v>
      </c>
      <c r="CU417" s="58" t="str">
        <f t="shared" ca="1" si="1822"/>
        <v>X</v>
      </c>
      <c r="CV417" s="58" t="str">
        <f t="shared" ca="1" si="1822"/>
        <v>X</v>
      </c>
      <c r="CW417" s="58" t="str">
        <f t="shared" ca="1" si="1822"/>
        <v>X</v>
      </c>
      <c r="CX417" s="58" t="str">
        <f t="shared" ca="1" si="1822"/>
        <v>X</v>
      </c>
      <c r="CY417" s="58" t="str">
        <f t="shared" ca="1" si="1822"/>
        <v>X</v>
      </c>
      <c r="CZ417" s="58" t="str">
        <f t="shared" ca="1" si="1822"/>
        <v>X</v>
      </c>
      <c r="DA417" s="58" t="str">
        <f t="shared" ca="1" si="1822"/>
        <v>X</v>
      </c>
      <c r="DB417" s="58" t="str">
        <f t="shared" ca="1" si="1822"/>
        <v>X</v>
      </c>
      <c r="DC417" s="58" t="str">
        <f t="shared" ca="1" si="1822"/>
        <v>X</v>
      </c>
      <c r="DD417" s="58" t="str">
        <f t="shared" ca="1" si="1822"/>
        <v>X</v>
      </c>
      <c r="DE417" s="58" t="str">
        <f t="shared" ca="1" si="1822"/>
        <v>X</v>
      </c>
      <c r="DF417" s="58" t="str">
        <f t="shared" ca="1" si="1822"/>
        <v>X</v>
      </c>
      <c r="DG417" s="58" t="str">
        <f t="shared" ca="1" si="1822"/>
        <v>X</v>
      </c>
      <c r="DH417" s="58" t="str">
        <f t="shared" ca="1" si="1822"/>
        <v>X</v>
      </c>
      <c r="DI417" s="58" t="str">
        <f t="shared" ca="1" si="1822"/>
        <v>X</v>
      </c>
      <c r="DJ417" s="58" t="str">
        <f t="shared" ca="1" si="1822"/>
        <v>X</v>
      </c>
      <c r="DK417" s="58" t="str">
        <f t="shared" ca="1" si="1822"/>
        <v>X</v>
      </c>
      <c r="DL417" s="58" t="str">
        <f t="shared" ca="1" si="1822"/>
        <v>X</v>
      </c>
      <c r="DM417" s="58" t="str">
        <f t="shared" ca="1" si="1822"/>
        <v>X</v>
      </c>
      <c r="DN417" s="58" t="str">
        <f t="shared" ca="1" si="1822"/>
        <v>X</v>
      </c>
      <c r="DO417" s="58" t="str">
        <f t="shared" ca="1" si="1822"/>
        <v>X</v>
      </c>
      <c r="DP417" s="58" t="str">
        <f t="shared" ca="1" si="1822"/>
        <v>X</v>
      </c>
      <c r="DQ417" s="58" t="str">
        <f t="shared" ca="1" si="1822"/>
        <v>X</v>
      </c>
      <c r="DR417" s="58" t="str">
        <f t="shared" ca="1" si="1822"/>
        <v>X</v>
      </c>
      <c r="DS417" s="58" t="str">
        <f t="shared" ca="1" si="1822"/>
        <v>X</v>
      </c>
      <c r="DT417" s="58" t="str">
        <f t="shared" ca="1" si="1822"/>
        <v>X</v>
      </c>
      <c r="DU417" s="58" t="str">
        <f t="shared" ca="1" si="1822"/>
        <v>X</v>
      </c>
      <c r="DV417" s="58" t="str">
        <f t="shared" ca="1" si="1822"/>
        <v>X</v>
      </c>
      <c r="DW417" s="58" t="str">
        <f t="shared" ca="1" si="1822"/>
        <v>X</v>
      </c>
      <c r="DX417" s="58" t="str">
        <f t="shared" ca="1" si="1822"/>
        <v>X</v>
      </c>
      <c r="DY417" s="58" t="str">
        <f t="shared" ca="1" si="1822"/>
        <v>X</v>
      </c>
      <c r="DZ417" s="58" t="str">
        <f t="shared" ca="1" si="1822"/>
        <v>X</v>
      </c>
      <c r="EA417" s="58" t="str">
        <f t="shared" ca="1" si="1822"/>
        <v>X</v>
      </c>
      <c r="EB417" s="58" t="str">
        <f t="shared" ca="1" si="1822"/>
        <v>X</v>
      </c>
      <c r="EC417" s="58" t="str">
        <f t="shared" ca="1" si="1822"/>
        <v>X</v>
      </c>
      <c r="ED417" s="58" t="str">
        <f t="shared" ca="1" si="1822"/>
        <v>X</v>
      </c>
      <c r="EE417" s="58" t="str">
        <f t="shared" ca="1" si="1822"/>
        <v>X</v>
      </c>
      <c r="EF417" s="58" t="str">
        <f t="shared" ca="1" si="1822"/>
        <v>X</v>
      </c>
      <c r="EG417" s="58" t="str">
        <f t="shared" ca="1" si="1822"/>
        <v>X</v>
      </c>
      <c r="EH417" s="58" t="str">
        <f t="shared" ca="1" si="1822"/>
        <v>X</v>
      </c>
      <c r="EI417" s="58">
        <f t="shared" ca="1" si="1822"/>
        <v>46247</v>
      </c>
      <c r="EJ417" s="58">
        <f t="shared" ca="1" si="1822"/>
        <v>46247</v>
      </c>
      <c r="EK417" s="58">
        <f t="shared" ca="1" si="1822"/>
        <v>46247</v>
      </c>
      <c r="EL417" s="58">
        <f t="shared" ca="1" si="1822"/>
        <v>46247</v>
      </c>
      <c r="EM417" s="58" t="str">
        <f t="shared" ca="1" si="1822"/>
        <v>X</v>
      </c>
      <c r="EN417" s="58" t="str">
        <f t="shared" ca="1" si="1822"/>
        <v>X</v>
      </c>
      <c r="EO417" s="58" t="str">
        <f t="shared" ca="1" si="1822"/>
        <v>X</v>
      </c>
      <c r="EP417" s="58" t="str">
        <f t="shared" ca="1" si="1822"/>
        <v>X</v>
      </c>
      <c r="EQ417" s="58" t="str">
        <f t="shared" ca="1" si="1822"/>
        <v>X</v>
      </c>
      <c r="ER417" s="58" t="str">
        <f t="shared" ca="1" si="1822"/>
        <v>X</v>
      </c>
      <c r="ES417" s="58" t="str">
        <f t="shared" ca="1" si="1822"/>
        <v>X</v>
      </c>
      <c r="ET417" s="58" t="str">
        <f t="shared" ca="1" si="1822"/>
        <v>X</v>
      </c>
      <c r="EU417" s="58" t="str">
        <f t="shared" ca="1" si="1822"/>
        <v>X</v>
      </c>
      <c r="EV417" s="58" t="str">
        <f t="shared" ca="1" si="1822"/>
        <v>X</v>
      </c>
      <c r="EW417" s="58">
        <f t="shared" ca="1" si="1822"/>
        <v>46267</v>
      </c>
      <c r="EX417" s="58">
        <f t="shared" ca="1" si="1822"/>
        <v>46267</v>
      </c>
      <c r="EY417" s="58">
        <f t="shared" ca="1" si="1822"/>
        <v>46267</v>
      </c>
      <c r="EZ417" s="58">
        <f t="shared" ca="1" si="1822"/>
        <v>46267</v>
      </c>
      <c r="FA417" s="58" t="str">
        <f t="shared" ca="1" si="1822"/>
        <v>X</v>
      </c>
      <c r="FB417" s="58" t="str">
        <f t="shared" ca="1" si="1822"/>
        <v>X</v>
      </c>
      <c r="FC417" s="58" t="str">
        <f t="shared" ca="1" si="1822"/>
        <v>X</v>
      </c>
      <c r="FD417" s="58" t="str">
        <f t="shared" ca="1" si="1822"/>
        <v>X</v>
      </c>
      <c r="FE417" s="58" t="str">
        <f t="shared" ca="1" si="1822"/>
        <v>X</v>
      </c>
      <c r="FF417" s="58" t="str">
        <f t="shared" ca="1" si="1822"/>
        <v>X</v>
      </c>
      <c r="FG417" s="58" t="str">
        <f t="shared" ca="1" si="1822"/>
        <v>X</v>
      </c>
      <c r="FH417" s="58" t="str">
        <f t="shared" ca="1" si="1822"/>
        <v>X</v>
      </c>
      <c r="FI417" s="58" t="str">
        <f t="shared" ca="1" si="1822"/>
        <v>X</v>
      </c>
      <c r="FJ417" s="58" t="str">
        <f t="shared" ca="1" si="1822"/>
        <v>X</v>
      </c>
      <c r="FK417" s="58">
        <f t="shared" ca="1" si="1822"/>
        <v>46302</v>
      </c>
      <c r="FL417" s="58">
        <f t="shared" ca="1" si="1822"/>
        <v>46302</v>
      </c>
      <c r="FM417" s="58">
        <f t="shared" ca="1" si="1822"/>
        <v>46302</v>
      </c>
      <c r="FN417" s="58">
        <f t="shared" ca="1" si="1822"/>
        <v>46302</v>
      </c>
      <c r="FO417" s="58" t="str">
        <f t="shared" ca="1" si="1822"/>
        <v>X</v>
      </c>
      <c r="FP417" s="58" t="str">
        <f t="shared" ca="1" si="1822"/>
        <v>X</v>
      </c>
      <c r="FQ417" s="58" t="str">
        <f t="shared" ca="1" si="1822"/>
        <v>X</v>
      </c>
      <c r="FR417" s="58" t="str">
        <f t="shared" ca="1" si="1822"/>
        <v>X</v>
      </c>
      <c r="FS417" s="58" t="str">
        <f t="shared" ca="1" si="1822"/>
        <v>X</v>
      </c>
      <c r="FT417" s="58" t="str">
        <f t="shared" ca="1" si="1822"/>
        <v>X</v>
      </c>
      <c r="FU417" s="58" t="str">
        <f t="shared" ca="1" si="1822"/>
        <v>X</v>
      </c>
      <c r="FV417" s="58" t="str">
        <f t="shared" ca="1" si="1822"/>
        <v>X</v>
      </c>
      <c r="FW417" s="58" t="str">
        <f t="shared" ca="1" si="1822"/>
        <v>X</v>
      </c>
      <c r="FX417" s="58" t="str">
        <f t="shared" ca="1" si="1822"/>
        <v>X</v>
      </c>
      <c r="FY417" s="58">
        <f t="shared" ca="1" si="1822"/>
        <v>46329</v>
      </c>
      <c r="FZ417" s="58">
        <f t="shared" ca="1" si="1822"/>
        <v>46329</v>
      </c>
      <c r="GA417" s="58">
        <f t="shared" ca="1" si="1822"/>
        <v>46329</v>
      </c>
      <c r="GB417" s="58">
        <f t="shared" ca="1" si="1822"/>
        <v>46329</v>
      </c>
      <c r="GC417" s="58" t="str">
        <f t="shared" ca="1" si="1822"/>
        <v>X</v>
      </c>
      <c r="GD417" s="58" t="str">
        <f t="shared" ca="1" si="1822"/>
        <v>X</v>
      </c>
      <c r="GE417" s="58" t="str">
        <f t="shared" ca="1" si="1822"/>
        <v>X</v>
      </c>
      <c r="GF417" s="58" t="str">
        <f t="shared" ca="1" si="1822"/>
        <v>X</v>
      </c>
      <c r="GG417" s="58" t="str">
        <f t="shared" ca="1" si="1822"/>
        <v>X</v>
      </c>
      <c r="GH417" s="58" t="str">
        <f t="shared" ca="1" si="1822"/>
        <v>X</v>
      </c>
      <c r="GI417" s="58" t="str">
        <f t="shared" ca="1" si="1822"/>
        <v>X</v>
      </c>
      <c r="GJ417" s="58" t="str">
        <f t="shared" ca="1" si="1822"/>
        <v>X</v>
      </c>
      <c r="GK417" s="58" t="str">
        <f t="shared" ca="1" si="1822"/>
        <v>X</v>
      </c>
      <c r="GL417" s="58" t="str">
        <f t="shared" ca="1" si="1822"/>
        <v>X</v>
      </c>
      <c r="GM417" s="58" t="str">
        <f t="shared" ca="1" si="1822"/>
        <v>X</v>
      </c>
      <c r="GN417" s="58" t="str">
        <f t="shared" ca="1" si="1822"/>
        <v>X</v>
      </c>
      <c r="GO417" s="58" t="str">
        <f t="shared" ca="1" si="1822"/>
        <v>X</v>
      </c>
      <c r="GP417" s="58" t="str">
        <f t="shared" ca="1" si="1822"/>
        <v>X</v>
      </c>
      <c r="GQ417" s="58" t="str">
        <f t="shared" ca="1" si="1822"/>
        <v>X</v>
      </c>
      <c r="GR417" s="58" t="str">
        <f t="shared" ca="1" si="1822"/>
        <v>X</v>
      </c>
      <c r="GS417" s="80" t="str">
        <f t="shared" ca="1" si="1822"/>
        <v>X</v>
      </c>
      <c r="GT417" s="58" t="str">
        <f t="shared" ca="1" si="1822"/>
        <v>X</v>
      </c>
      <c r="GU417" s="82" t="str">
        <f t="shared" ca="1" si="1617"/>
        <v>X</v>
      </c>
      <c r="GV417" s="58" t="str">
        <f t="shared" ca="1" si="1618"/>
        <v>X</v>
      </c>
      <c r="GW417" s="58" t="str">
        <f t="shared" ca="1" si="1619"/>
        <v>X</v>
      </c>
      <c r="GX417" s="58" t="str">
        <f t="shared" ca="1" si="1620"/>
        <v>X</v>
      </c>
      <c r="GY417" s="58" t="str">
        <f t="shared" ca="1" si="1621"/>
        <v>X</v>
      </c>
      <c r="GZ417" s="58" t="str">
        <f t="shared" ca="1" si="1622"/>
        <v>X</v>
      </c>
      <c r="HA417" s="58" t="str">
        <f t="shared" ca="1" si="1623"/>
        <v>X</v>
      </c>
      <c r="HB417" s="58" t="str">
        <f t="shared" ca="1" si="1624"/>
        <v>X</v>
      </c>
      <c r="HC417" s="58" t="str">
        <f t="shared" ca="1" si="1625"/>
        <v>X</v>
      </c>
      <c r="HD417" s="58" t="str">
        <f t="shared" ca="1" si="1626"/>
        <v>X</v>
      </c>
      <c r="HE417" s="58" t="str">
        <f t="shared" ca="1" si="1627"/>
        <v>X</v>
      </c>
      <c r="HF417" s="58" t="str">
        <f t="shared" ca="1" si="1628"/>
        <v>X</v>
      </c>
      <c r="HG417" s="58" t="str">
        <f t="shared" ca="1" si="1629"/>
        <v>X</v>
      </c>
      <c r="HH417" s="58" t="str">
        <f t="shared" ca="1" si="1630"/>
        <v>X</v>
      </c>
      <c r="HI417" s="58" t="str">
        <f t="shared" ca="1" si="1631"/>
        <v>X</v>
      </c>
      <c r="HJ417" s="58" t="str">
        <f t="shared" ca="1" si="1632"/>
        <v>X</v>
      </c>
      <c r="HK417" s="58" t="str">
        <f t="shared" ca="1" si="1633"/>
        <v>X</v>
      </c>
      <c r="HL417" s="58" t="str">
        <f t="shared" ca="1" si="1634"/>
        <v>X</v>
      </c>
      <c r="HM417" s="58" t="str">
        <f t="shared" ca="1" si="1635"/>
        <v>X</v>
      </c>
      <c r="HN417" s="58" t="str">
        <f t="shared" ca="1" si="1636"/>
        <v>X</v>
      </c>
      <c r="HO417" s="58" t="str">
        <f t="shared" ca="1" si="1637"/>
        <v>X</v>
      </c>
      <c r="HP417" s="58" t="str">
        <f t="shared" ca="1" si="1638"/>
        <v>X</v>
      </c>
      <c r="HQ417" s="58" t="str">
        <f t="shared" ca="1" si="1639"/>
        <v>X</v>
      </c>
      <c r="HR417" s="58" t="str">
        <f t="shared" ca="1" si="1640"/>
        <v>X</v>
      </c>
      <c r="HS417" s="58" t="str">
        <f t="shared" ca="1" si="1641"/>
        <v>X</v>
      </c>
      <c r="HT417" s="58" t="str">
        <f t="shared" ca="1" si="1642"/>
        <v>X</v>
      </c>
      <c r="HU417" s="58" t="str">
        <f t="shared" ca="1" si="1643"/>
        <v>X</v>
      </c>
      <c r="HV417" s="58" t="str">
        <f t="shared" ca="1" si="1644"/>
        <v>X</v>
      </c>
      <c r="HW417" s="58" t="str">
        <f t="shared" ca="1" si="1645"/>
        <v>X</v>
      </c>
      <c r="HX417" s="58" t="str">
        <f t="shared" ca="1" si="1646"/>
        <v>X</v>
      </c>
      <c r="HY417" s="58" t="str">
        <f t="shared" ca="1" si="1647"/>
        <v>X</v>
      </c>
      <c r="HZ417" s="58" t="str">
        <f t="shared" ca="1" si="1648"/>
        <v>X</v>
      </c>
      <c r="IA417" s="58" t="str">
        <f t="shared" ca="1" si="1649"/>
        <v>X</v>
      </c>
      <c r="IB417" s="58" t="str">
        <f t="shared" ca="1" si="1650"/>
        <v>X</v>
      </c>
      <c r="IC417" s="58" t="str">
        <f t="shared" ca="1" si="1651"/>
        <v>X</v>
      </c>
      <c r="ID417" s="58" t="str">
        <f t="shared" ca="1" si="1652"/>
        <v>X</v>
      </c>
      <c r="IE417" s="58" t="str">
        <f t="shared" ca="1" si="1653"/>
        <v>X</v>
      </c>
      <c r="IF417" s="58" t="str">
        <f t="shared" ca="1" si="1654"/>
        <v>X</v>
      </c>
      <c r="IG417" s="58" t="str">
        <f t="shared" ca="1" si="1655"/>
        <v>X</v>
      </c>
      <c r="IH417" s="58" t="str">
        <f t="shared" ca="1" si="1656"/>
        <v>X</v>
      </c>
      <c r="II417" s="58" t="str">
        <f t="shared" ca="1" si="1657"/>
        <v>X</v>
      </c>
      <c r="IJ417" s="58" t="str">
        <f t="shared" ca="1" si="1658"/>
        <v>X</v>
      </c>
      <c r="IK417" s="58" t="str">
        <f t="shared" ca="1" si="1659"/>
        <v>X</v>
      </c>
      <c r="IL417" s="58" t="str">
        <f t="shared" ca="1" si="1660"/>
        <v>X</v>
      </c>
      <c r="IM417" s="58" t="str">
        <f t="shared" ca="1" si="1661"/>
        <v>X</v>
      </c>
      <c r="IN417" s="58" t="str">
        <f t="shared" ca="1" si="1662"/>
        <v>X</v>
      </c>
      <c r="IO417" s="58" t="str">
        <f t="shared" ca="1" si="1663"/>
        <v>X</v>
      </c>
      <c r="IP417" s="58" t="str">
        <f t="shared" ca="1" si="1664"/>
        <v>X</v>
      </c>
      <c r="IQ417" s="58" t="str">
        <f t="shared" ca="1" si="1665"/>
        <v>X</v>
      </c>
      <c r="IR417" s="58" t="str">
        <f t="shared" ca="1" si="1666"/>
        <v>X</v>
      </c>
      <c r="IS417" s="58" t="str">
        <f t="shared" ca="1" si="1667"/>
        <v>X</v>
      </c>
      <c r="IT417" s="58" t="str">
        <f t="shared" ca="1" si="1668"/>
        <v>X</v>
      </c>
      <c r="IU417" s="58" t="str">
        <f t="shared" ca="1" si="1669"/>
        <v>X</v>
      </c>
      <c r="IV417" s="58" t="str">
        <f t="shared" ca="1" si="1670"/>
        <v>X</v>
      </c>
      <c r="IW417" s="58" t="str">
        <f t="shared" ca="1" si="1671"/>
        <v>X</v>
      </c>
      <c r="IX417" s="58" t="str">
        <f t="shared" ca="1" si="1672"/>
        <v>X</v>
      </c>
      <c r="IY417" s="58" t="str">
        <f t="shared" ca="1" si="1673"/>
        <v>X</v>
      </c>
      <c r="IZ417" s="58" t="str">
        <f t="shared" ca="1" si="1674"/>
        <v>X</v>
      </c>
      <c r="JA417" s="58" t="str">
        <f t="shared" ca="1" si="1675"/>
        <v>X</v>
      </c>
      <c r="JB417" s="58" t="str">
        <f t="shared" ca="1" si="1676"/>
        <v>X</v>
      </c>
      <c r="JC417" s="58" t="str">
        <f t="shared" ca="1" si="1677"/>
        <v>X</v>
      </c>
      <c r="JD417" s="58" t="str">
        <f t="shared" ca="1" si="1678"/>
        <v>X</v>
      </c>
      <c r="JE417" s="58" t="str">
        <f t="shared" ca="1" si="1679"/>
        <v>X</v>
      </c>
      <c r="JF417" s="58" t="str">
        <f t="shared" ca="1" si="1680"/>
        <v>X</v>
      </c>
      <c r="JG417" s="58" t="str">
        <f t="shared" ca="1" si="1681"/>
        <v>X</v>
      </c>
      <c r="JH417" s="58" t="str">
        <f t="shared" ca="1" si="1682"/>
        <v>X</v>
      </c>
      <c r="JI417" s="58" t="str">
        <f t="shared" ca="1" si="1683"/>
        <v>X</v>
      </c>
      <c r="JJ417" s="58" t="str">
        <f t="shared" ca="1" si="1684"/>
        <v>X</v>
      </c>
      <c r="JK417" s="58" t="str">
        <f t="shared" ca="1" si="1685"/>
        <v>X</v>
      </c>
      <c r="JL417" s="58" t="str">
        <f t="shared" ca="1" si="1686"/>
        <v>X</v>
      </c>
      <c r="JM417" s="58" t="str">
        <f t="shared" ca="1" si="1687"/>
        <v>X</v>
      </c>
      <c r="JN417" s="58" t="str">
        <f t="shared" ca="1" si="1688"/>
        <v>X</v>
      </c>
      <c r="JO417" s="58" t="str">
        <f t="shared" ca="1" si="1689"/>
        <v>X</v>
      </c>
      <c r="JP417" s="58" t="str">
        <f t="shared" ca="1" si="1690"/>
        <v>X</v>
      </c>
      <c r="JQ417" s="58" t="str">
        <f t="shared" ca="1" si="1691"/>
        <v>X</v>
      </c>
      <c r="JR417" s="58" t="str">
        <f t="shared" ca="1" si="1692"/>
        <v>X</v>
      </c>
      <c r="JS417" s="58" t="str">
        <f t="shared" ca="1" si="1693"/>
        <v>X</v>
      </c>
      <c r="JT417" s="58" t="str">
        <f t="shared" ca="1" si="1694"/>
        <v>X</v>
      </c>
      <c r="JU417" s="58" t="str">
        <f t="shared" ca="1" si="1695"/>
        <v>X</v>
      </c>
      <c r="JV417" s="58" t="str">
        <f t="shared" ca="1" si="1696"/>
        <v>X</v>
      </c>
      <c r="JW417" s="58" t="str">
        <f t="shared" ca="1" si="1697"/>
        <v>X</v>
      </c>
      <c r="JX417" s="58" t="str">
        <f t="shared" ca="1" si="1698"/>
        <v>X</v>
      </c>
      <c r="JY417" s="58" t="str">
        <f t="shared" ca="1" si="1699"/>
        <v>X</v>
      </c>
      <c r="JZ417" s="58" t="str">
        <f t="shared" ca="1" si="1700"/>
        <v>X</v>
      </c>
      <c r="KA417" s="58" t="str">
        <f t="shared" ca="1" si="1701"/>
        <v>X</v>
      </c>
      <c r="KB417" s="58" t="str">
        <f t="shared" ca="1" si="1702"/>
        <v>X</v>
      </c>
      <c r="KC417" s="58" t="str">
        <f t="shared" ca="1" si="1703"/>
        <v>X</v>
      </c>
      <c r="KD417" s="58" t="str">
        <f t="shared" ca="1" si="1704"/>
        <v>X</v>
      </c>
      <c r="KE417" s="58" t="str">
        <f t="shared" ca="1" si="1705"/>
        <v>X</v>
      </c>
      <c r="KF417" s="58" t="str">
        <f t="shared" ca="1" si="1706"/>
        <v>X</v>
      </c>
      <c r="KG417" s="58" t="str">
        <f t="shared" ca="1" si="1707"/>
        <v>X</v>
      </c>
      <c r="KH417" s="58" t="str">
        <f t="shared" ca="1" si="1708"/>
        <v>X</v>
      </c>
      <c r="KI417" s="58" t="str">
        <f t="shared" ca="1" si="1709"/>
        <v>X</v>
      </c>
      <c r="KJ417" s="58" t="str">
        <f t="shared" ca="1" si="1710"/>
        <v>X</v>
      </c>
      <c r="KK417" s="58" t="str">
        <f t="shared" ca="1" si="1711"/>
        <v>X</v>
      </c>
      <c r="KL417" s="58" t="str">
        <f t="shared" ca="1" si="1712"/>
        <v>X</v>
      </c>
      <c r="KM417" s="58" t="str">
        <f t="shared" ca="1" si="1713"/>
        <v>X</v>
      </c>
      <c r="KN417" s="58" t="str">
        <f t="shared" ca="1" si="1714"/>
        <v>X</v>
      </c>
      <c r="KO417" s="58" t="str">
        <f t="shared" ca="1" si="1715"/>
        <v>X</v>
      </c>
      <c r="KP417" s="58" t="str">
        <f t="shared" ca="1" si="1716"/>
        <v>X</v>
      </c>
      <c r="KQ417" s="58" t="str">
        <f t="shared" ca="1" si="1717"/>
        <v>X</v>
      </c>
      <c r="KR417" s="58" t="str">
        <f t="shared" ca="1" si="1718"/>
        <v>X</v>
      </c>
      <c r="KS417" s="58" t="str">
        <f t="shared" ca="1" si="1719"/>
        <v>X</v>
      </c>
      <c r="KT417" s="58" t="str">
        <f t="shared" ca="1" si="1720"/>
        <v>X</v>
      </c>
      <c r="KU417" s="58">
        <f t="shared" ca="1" si="1721"/>
        <v>46260</v>
      </c>
      <c r="KV417" s="58">
        <f t="shared" ca="1" si="1722"/>
        <v>46260</v>
      </c>
      <c r="KW417" s="58">
        <f t="shared" ca="1" si="1723"/>
        <v>46260</v>
      </c>
      <c r="KX417" s="58">
        <f t="shared" ca="1" si="1724"/>
        <v>46260</v>
      </c>
      <c r="KY417" s="58" t="str">
        <f t="shared" ca="1" si="1725"/>
        <v>X</v>
      </c>
      <c r="KZ417" s="58" t="str">
        <f t="shared" ca="1" si="1726"/>
        <v>X</v>
      </c>
      <c r="LA417" s="58" t="str">
        <f t="shared" ca="1" si="1727"/>
        <v>X</v>
      </c>
      <c r="LB417" s="58" t="str">
        <f t="shared" ca="1" si="1728"/>
        <v>X</v>
      </c>
      <c r="LC417" s="58" t="str">
        <f t="shared" ca="1" si="1729"/>
        <v>X</v>
      </c>
      <c r="LD417" s="58" t="str">
        <f t="shared" ca="1" si="1730"/>
        <v>X</v>
      </c>
      <c r="LE417" s="58" t="str">
        <f t="shared" ca="1" si="1731"/>
        <v>X</v>
      </c>
      <c r="LF417" s="58" t="str">
        <f t="shared" ca="1" si="1732"/>
        <v>X</v>
      </c>
      <c r="LG417" s="58" t="str">
        <f t="shared" ca="1" si="1733"/>
        <v>X</v>
      </c>
      <c r="LH417" s="58" t="str">
        <f t="shared" ca="1" si="1734"/>
        <v>X</v>
      </c>
      <c r="LI417" s="58">
        <f t="shared" ca="1" si="1735"/>
        <v>46295</v>
      </c>
      <c r="LJ417" s="58">
        <f t="shared" ca="1" si="1736"/>
        <v>46295</v>
      </c>
      <c r="LK417" s="58">
        <f t="shared" ca="1" si="1737"/>
        <v>46295</v>
      </c>
      <c r="LL417" s="58">
        <f t="shared" ca="1" si="1738"/>
        <v>46295</v>
      </c>
      <c r="LM417" s="58" t="str">
        <f t="shared" ca="1" si="1739"/>
        <v>X</v>
      </c>
      <c r="LN417" s="58" t="str">
        <f t="shared" ca="1" si="1740"/>
        <v>X</v>
      </c>
      <c r="LO417" s="58" t="str">
        <f t="shared" ca="1" si="1741"/>
        <v>X</v>
      </c>
      <c r="LP417" s="58" t="str">
        <f t="shared" ca="1" si="1742"/>
        <v>X</v>
      </c>
      <c r="LQ417" s="58" t="str">
        <f t="shared" ca="1" si="1743"/>
        <v>X</v>
      </c>
      <c r="LR417" s="58" t="str">
        <f t="shared" ca="1" si="1744"/>
        <v>X</v>
      </c>
      <c r="LS417" s="58" t="str">
        <f t="shared" ca="1" si="1745"/>
        <v>X</v>
      </c>
      <c r="LT417" s="58" t="str">
        <f t="shared" ca="1" si="1746"/>
        <v>X</v>
      </c>
      <c r="LU417" s="58" t="str">
        <f t="shared" ca="1" si="1747"/>
        <v>X</v>
      </c>
      <c r="LV417" s="58" t="str">
        <f t="shared" ca="1" si="1748"/>
        <v>X</v>
      </c>
      <c r="LW417" s="58">
        <f t="shared" ca="1" si="1749"/>
        <v>46323</v>
      </c>
      <c r="LX417" s="58">
        <f t="shared" ca="1" si="1750"/>
        <v>46323</v>
      </c>
      <c r="LY417" s="58">
        <f t="shared" ca="1" si="1751"/>
        <v>46323</v>
      </c>
      <c r="LZ417" s="58">
        <f t="shared" ca="1" si="1752"/>
        <v>46323</v>
      </c>
      <c r="MA417" s="58" t="str">
        <f t="shared" ca="1" si="1753"/>
        <v>X</v>
      </c>
      <c r="MB417" s="58" t="str">
        <f t="shared" ca="1" si="1754"/>
        <v>X</v>
      </c>
      <c r="MC417" s="58" t="str">
        <f t="shared" ca="1" si="1755"/>
        <v>X</v>
      </c>
      <c r="MD417" s="58" t="str">
        <f t="shared" ca="1" si="1756"/>
        <v>X</v>
      </c>
      <c r="ME417" s="58" t="str">
        <f t="shared" ca="1" si="1757"/>
        <v>X</v>
      </c>
      <c r="MF417" s="58" t="str">
        <f t="shared" ca="1" si="1758"/>
        <v>X</v>
      </c>
      <c r="MG417" s="58" t="str">
        <f t="shared" ca="1" si="1759"/>
        <v>X</v>
      </c>
      <c r="MH417" s="58" t="str">
        <f t="shared" ca="1" si="1760"/>
        <v>X</v>
      </c>
      <c r="MI417" s="58" t="str">
        <f t="shared" ca="1" si="1761"/>
        <v>X</v>
      </c>
      <c r="MJ417" s="58" t="str">
        <f t="shared" ca="1" si="1762"/>
        <v>X</v>
      </c>
      <c r="MK417" s="58">
        <f t="shared" ca="1" si="1763"/>
        <v>46337</v>
      </c>
      <c r="ML417" s="58">
        <f t="shared" ca="1" si="1764"/>
        <v>46337</v>
      </c>
      <c r="MM417" s="58">
        <f t="shared" ca="1" si="1765"/>
        <v>46337</v>
      </c>
      <c r="MN417" s="58">
        <f t="shared" ca="1" si="1766"/>
        <v>46337</v>
      </c>
      <c r="MO417" s="58" t="str">
        <f t="shared" ca="1" si="1767"/>
        <v>X</v>
      </c>
      <c r="MP417" s="58" t="str">
        <f t="shared" ca="1" si="1768"/>
        <v>X</v>
      </c>
      <c r="MQ417" s="58" t="str">
        <f t="shared" ca="1" si="1769"/>
        <v>X</v>
      </c>
      <c r="MR417" s="58" t="str">
        <f t="shared" ca="1" si="1770"/>
        <v>X</v>
      </c>
      <c r="MS417" s="58" t="str">
        <f t="shared" ca="1" si="1771"/>
        <v>X</v>
      </c>
      <c r="MT417" s="58" t="str">
        <f t="shared" ref="MT417:NE417" ca="1" si="1823">IF($K417=INDIRECT(CONCATENATE("$AG$"&amp;GH$392)),INDIRECT(CONCATENATE("$AG$"&amp;GH$391)),
IF($K417=INDIRECT(CONCATENATE("$AF$"&amp;GH$392)),INDIRECT(CONCATENATE("$AF$"&amp;GH$391)),
IF($K417=INDIRECT(CONCATENATE("$AE$"&amp;GH$392)),INDIRECT(CONCATENATE("$AE$"&amp;GH$391)),
IF($K417=INDIRECT(CONCATENATE("$AD$"&amp;GH$392)),INDIRECT(CONCATENATE("$AD$"&amp;GH$391)),
IF($K417=INDIRECT(CONCATENATE("$AC$"&amp;GH$392)),INDIRECT(CONCATENATE("$AC$"&amp;GH$391)),
IF($K417=INDIRECT(CONCATENATE("$AB$"&amp;GH$392)),INDIRECT(CONCATENATE("$AB$"&amp;GH$391)),
IF($K417=INDIRECT(CONCATENATE("$AA$"&amp;GH$392)),INDIRECT(CONCATENATE("$AA$"&amp;GH$391)),
IF($K417=INDIRECT(CONCATENATE("$Z$"&amp;GH$392)),INDIRECT(CONCATENATE("$Z$"&amp;GH$391)),
IF($K417=INDIRECT(CONCATENATE("$Y$"&amp;GH$392)),INDIRECT(CONCATENATE("$Y$"&amp;GH$391)),
IF($K417=INDIRECT(CONCATENATE("$X$"&amp;GH$392)),INDIRECT(CONCATENATE("$X$"&amp;GH$391)),
IF($K417=INDIRECT(CONCATENATE("$W$"&amp;GH$392)),INDIRECT(CONCATENATE("$W$"&amp;GH$391)),
IF($K417=INDIRECT(CONCATENATE("$V$"&amp;GH$392)),INDIRECT(CONCATENATE("$V$"&amp;GH$391)),
IF($K417=INDIRECT(CONCATENATE("$U$"&amp;GH$392)),INDIRECT(CONCATENATE("$U$"&amp;GH$391)),
IF($K417=INDIRECT(CONCATENATE("$T$"&amp;GH$392)),INDIRECT(CONCATENATE("$T$"&amp;GH$391)),
IF($K417=INDIRECT(CONCATENATE("$S$"&amp;GH$392)),INDIRECT(CONCATENATE("$S$"&amp;GH$391)),
IF($K417=INDIRECT(CONCATENATE("$R$"&amp;GH$392)),INDIRECT(CONCATENATE("$R$"&amp;GH$391)),
IF($K417=INDIRECT(CONCATENATE("$Q$"&amp;GH$392)),INDIRECT(CONCATENATE("$Q$"&amp;GH$391)),
IF($K417=INDIRECT(CONCATENATE("$P$"&amp;GH$392)),INDIRECT(CONCATENATE("$P$"&amp;GH$391)),
IF($K417=INDIRECT(CONCATENATE("$O$"&amp;GH$392)),INDIRECT(CONCATENATE("$O$"&amp;GH$391)),
IF($K417=INDIRECT(CONCATENATE("$N$"&amp;GH$392)),INDIRECT(CONCATENATE("$N$"&amp;GH$391)),
IF($K417=INDIRECT(CONCATENATE("$M$"&amp;GH$392)),INDIRECT(CONCATENATE("$M$"&amp;GH$391)),
IF($K417=INDIRECT(CONCATENATE("$L$"&amp;GH$392)),INDIRECT(CONCATENATE("$L$"&amp;GH$391)),
IF($K417=INDIRECT(CONCATENATE("$K$"&amp;GH$392)),INDIRECT(CONCATENATE("$K$"&amp;GH$391)),
IF($K417=INDIRECT(CONCATENATE("$J$"&amp;GH$392)),INDIRECT(CONCATENATE("$J$"&amp;GH$391)),
IF($K417=INDIRECT(CONCATENATE("$I$"&amp;GH$392)),INDIRECT(CONCATENATE("$I$"&amp;GH$391)),
IF($K417=INDIRECT(CONCATENATE("$H$"&amp;GH$392)),INDIRECT(CONCATENATE("$H$"&amp;GH$391)),
IF($K417=INDIRECT(CONCATENATE("$G$"&amp;GH$392)),INDIRECT(CONCATENATE("$G$"&amp;GH$391)),
IF($K417=INDIRECT(CONCATENATE("$F$"&amp;GH$392)),INDIRECT(CONCATENATE("$F$"&amp;GH$391)),
IF($K417=INDIRECT(CONCATENATE("$E$"&amp;GH$392)),INDIRECT(CONCATENATE("$E$"&amp;GH$391)),
IF($K417=INDIRECT(CONCATENATE("$D$"&amp;GH$392)),INDIRECT(CONCATENATE("$D$"&amp;GH$391)),
IF($K417=INDIRECT(CONCATENATE("$C$"&amp;GH$392)),INDIRECT(CONCATENATE("$C$"&amp;GH$391)),"X")))))))))))))))))))))))))))))))</f>
        <v>X</v>
      </c>
      <c r="MU417" s="58" t="str">
        <f t="shared" ca="1" si="1823"/>
        <v>X</v>
      </c>
      <c r="MV417" s="58" t="str">
        <f t="shared" ca="1" si="1823"/>
        <v>X</v>
      </c>
      <c r="MW417" s="58" t="str">
        <f t="shared" ca="1" si="1823"/>
        <v>X</v>
      </c>
      <c r="MX417" s="58" t="str">
        <f t="shared" ca="1" si="1823"/>
        <v>X</v>
      </c>
      <c r="MY417" s="58" t="str">
        <f t="shared" ca="1" si="1823"/>
        <v>X</v>
      </c>
      <c r="MZ417" s="58" t="str">
        <f t="shared" ca="1" si="1823"/>
        <v>X</v>
      </c>
      <c r="NA417" s="58" t="str">
        <f t="shared" ca="1" si="1823"/>
        <v>X</v>
      </c>
      <c r="NB417" s="58" t="str">
        <f t="shared" ca="1" si="1823"/>
        <v>X</v>
      </c>
      <c r="NC417" s="58" t="str">
        <f t="shared" ca="1" si="1823"/>
        <v>X</v>
      </c>
      <c r="ND417" s="58" t="str">
        <f t="shared" ca="1" si="1823"/>
        <v>X</v>
      </c>
      <c r="NE417" s="58" t="str">
        <f t="shared" ca="1" si="1823"/>
        <v>X</v>
      </c>
      <c r="NF417" s="58" t="str">
        <f t="shared" ca="1" si="1773"/>
        <v>X</v>
      </c>
      <c r="NG417" s="58" t="str">
        <f t="shared" ca="1" si="1774"/>
        <v>X</v>
      </c>
    </row>
    <row r="418" spans="1:371" ht="18" customHeight="1">
      <c r="A418" s="230" t="s">
        <v>90</v>
      </c>
      <c r="B418" s="231"/>
      <c r="C418" s="231"/>
      <c r="D418" s="231"/>
      <c r="E418" s="231"/>
      <c r="F418" s="231"/>
      <c r="G418" s="231"/>
      <c r="H418" s="231"/>
      <c r="I418" s="231"/>
      <c r="J418" s="232"/>
      <c r="K418" s="237" t="s">
        <v>50</v>
      </c>
      <c r="L418" s="303"/>
      <c r="M418" s="181">
        <v>66</v>
      </c>
      <c r="N418" s="225" t="s">
        <v>91</v>
      </c>
      <c r="O418" s="304"/>
      <c r="P418" s="304"/>
      <c r="Q418" s="304"/>
      <c r="R418" s="303"/>
      <c r="S418" s="226">
        <v>96379</v>
      </c>
      <c r="T418" s="304"/>
      <c r="U418" s="303"/>
      <c r="V418" s="227" t="s">
        <v>96</v>
      </c>
      <c r="W418" s="303"/>
      <c r="X418" s="56">
        <f t="shared" ca="1" si="1775"/>
        <v>46248</v>
      </c>
      <c r="Y418" s="56">
        <f t="shared" ca="1" si="1776"/>
        <v>46378</v>
      </c>
      <c r="Z418" s="228" t="str">
        <f t="shared" ca="1" si="1612"/>
        <v>EM ANDAMENTO</v>
      </c>
      <c r="AA418" s="304"/>
      <c r="AB418" s="303"/>
      <c r="AC418" s="224">
        <f t="shared" si="1777"/>
        <v>66</v>
      </c>
      <c r="AD418" s="303"/>
      <c r="AE418" s="229">
        <f t="shared" si="1778"/>
        <v>0</v>
      </c>
      <c r="AF418" s="303"/>
      <c r="AG418" s="57" t="str">
        <f t="shared" si="1615"/>
        <v>OK</v>
      </c>
      <c r="AH418" s="21"/>
      <c r="AI418" s="70"/>
      <c r="AJ418" s="58" t="str">
        <f t="shared" ref="AJ418:GT418" ca="1" si="1824">IF($K418=INDIRECT(CONCATENATE("$C$"&amp;AJ$392)), INDIRECT(CONCATENATE("$C$"&amp;AJ$391)),
IF($K418=INDIRECT(CONCATENATE("$D$"&amp;AJ$392)), INDIRECT(CONCATENATE("$D$"&amp;AJ$391)),
IF($K418=INDIRECT(CONCATENATE("$E$"&amp;AJ$392)), INDIRECT(CONCATENATE("$E$"&amp;AJ$391)),
IF($K418=INDIRECT(CONCATENATE("$F$"&amp;AJ$392)), INDIRECT(CONCATENATE("$F$"&amp;AJ$391)),
IF($K418=INDIRECT(CONCATENATE("$G$"&amp;AJ$392)), INDIRECT(CONCATENATE("$G$"&amp;AJ$391)),
IF($K418=INDIRECT(CONCATENATE("$H$"&amp;AJ$392)), INDIRECT(CONCATENATE("$H$"&amp;AJ$391)),
IF($K418=INDIRECT(CONCATENATE("$I$"&amp;AJ$392)), INDIRECT(CONCATENATE("$I$"&amp;AJ$391)),
IF($K418=INDIRECT(CONCATENATE("$J$"&amp;AJ$392)), INDIRECT(CONCATENATE("$J$"&amp;AJ$391)),
IF($K418=INDIRECT(CONCATENATE("$K$"&amp;AJ$392)), INDIRECT(CONCATENATE("$K$"&amp;AJ$391)),
IF($K418=INDIRECT(CONCATENATE("$L$"&amp;AJ$392)), INDIRECT(CONCATENATE("$L$"&amp;AJ$391)),
IF($K418=INDIRECT(CONCATENATE("$M$"&amp;AJ$392)), INDIRECT(CONCATENATE("$M$"&amp;AJ$391)),
IF($K418=INDIRECT(CONCATENATE("$N$"&amp;AJ$392)), INDIRECT(CONCATENATE("$N$"&amp;AJ$391)),
IF($K418=INDIRECT(CONCATENATE("$O$"&amp;AJ$392)), INDIRECT(CONCATENATE("$O$"&amp;AJ$391)),
IF($K418=INDIRECT(CONCATENATE("$P$"&amp;AJ$392)), INDIRECT(CONCATENATE("$P$"&amp;AJ$391)),
IF($K418=INDIRECT(CONCATENATE("$Q$"&amp;AJ$392)), INDIRECT(CONCATENATE("$Q$"&amp;AJ$391)),
IF($K418=INDIRECT(CONCATENATE("$R$"&amp;AJ$392)), INDIRECT(CONCATENATE("$R$"&amp;AJ$391)),
IF($K418=INDIRECT(CONCATENATE("$S$"&amp;AJ$392)), INDIRECT(CONCATENATE("$S$"&amp;AJ$391)),
IF($K418=INDIRECT(CONCATENATE("$T$"&amp;AJ$392)), INDIRECT(CONCATENATE("$T$"&amp;AJ$391)),
IF($K418=INDIRECT(CONCATENATE("$U$"&amp;AJ$392)), INDIRECT(CONCATENATE("$U$"&amp;AJ$391)),
IF($K418=INDIRECT(CONCATENATE("$V$"&amp;AJ$392)), INDIRECT(CONCATENATE("$V$"&amp;AJ$391)),
IF($K418=INDIRECT(CONCATENATE("$W$"&amp;AJ$392)), INDIRECT(CONCATENATE("$W$"&amp;AJ$391)),
IF($K418=INDIRECT(CONCATENATE("$X$"&amp;AJ$392)), INDIRECT(CONCATENATE("$X$"&amp;AJ$391)),
IF($K418=INDIRECT(CONCATENATE("$Y$"&amp;AJ$392)), INDIRECT(CONCATENATE("$Y$"&amp;AJ$391)),
IF($K418=INDIRECT(CONCATENATE("$Z$"&amp;AJ$392)), INDIRECT(CONCATENATE("$Z$"&amp;AJ$391)),
IF($K418=INDIRECT(CONCATENATE("$AA$"&amp;AJ$392)), INDIRECT(CONCATENATE("$AA$"&amp;AJ$391)),
IF($K418=INDIRECT(CONCATENATE("$AB$"&amp;AJ$392)), INDIRECT(CONCATENATE("$AB$"&amp;AJ$391)),
IF($K418=INDIRECT(CONCATENATE("$AC$"&amp;AJ$392)), INDIRECT(CONCATENATE("$AC$"&amp;AJ$391)),
IF($K418=INDIRECT(CONCATENATE("$AD$"&amp;AJ$392)), INDIRECT(CONCATENATE("$AD$"&amp;AJ$391)),
IF($K418=INDIRECT(CONCATENATE("$AE$"&amp;AJ$392)), INDIRECT(CONCATENATE("$AE$"&amp;AJ$391)),
IF($K418=INDIRECT(CONCATENATE("$AF$"&amp;AJ$392)), INDIRECT(CONCATENATE("$AF$"&amp;AJ$391)),
IF($K418=INDIRECT(CONCATENATE("$AG$"&amp;AJ$392)), INDIRECT(CONCATENATE("$AG$"&amp;AJ$391)),"X")))))))))))))))))))))))))))))))</f>
        <v>X</v>
      </c>
      <c r="AK418" s="58" t="str">
        <f t="shared" ca="1" si="1824"/>
        <v>X</v>
      </c>
      <c r="AL418" s="58" t="str">
        <f t="shared" ca="1" si="1824"/>
        <v>X</v>
      </c>
      <c r="AM418" s="58" t="str">
        <f t="shared" ca="1" si="1824"/>
        <v>X</v>
      </c>
      <c r="AN418" s="58" t="str">
        <f t="shared" ca="1" si="1824"/>
        <v>X</v>
      </c>
      <c r="AO418" s="58" t="str">
        <f t="shared" ca="1" si="1824"/>
        <v>X</v>
      </c>
      <c r="AP418" s="58" t="str">
        <f t="shared" ca="1" si="1824"/>
        <v>X</v>
      </c>
      <c r="AQ418" s="58" t="str">
        <f t="shared" ca="1" si="1824"/>
        <v>X</v>
      </c>
      <c r="AR418" s="58" t="str">
        <f t="shared" ca="1" si="1824"/>
        <v>X</v>
      </c>
      <c r="AS418" s="58" t="str">
        <f t="shared" ca="1" si="1824"/>
        <v>X</v>
      </c>
      <c r="AT418" s="58" t="str">
        <f t="shared" ca="1" si="1824"/>
        <v>X</v>
      </c>
      <c r="AU418" s="58" t="str">
        <f t="shared" ca="1" si="1824"/>
        <v>X</v>
      </c>
      <c r="AV418" s="58" t="str">
        <f t="shared" ca="1" si="1824"/>
        <v>X</v>
      </c>
      <c r="AW418" s="58" t="str">
        <f t="shared" ca="1" si="1824"/>
        <v>X</v>
      </c>
      <c r="AX418" s="58" t="str">
        <f t="shared" ca="1" si="1824"/>
        <v>X</v>
      </c>
      <c r="AY418" s="58" t="str">
        <f t="shared" ca="1" si="1824"/>
        <v>X</v>
      </c>
      <c r="AZ418" s="58" t="str">
        <f t="shared" ca="1" si="1824"/>
        <v>X</v>
      </c>
      <c r="BA418" s="58" t="str">
        <f t="shared" ca="1" si="1824"/>
        <v>X</v>
      </c>
      <c r="BB418" s="58" t="str">
        <f t="shared" ca="1" si="1824"/>
        <v>X</v>
      </c>
      <c r="BC418" s="58" t="str">
        <f t="shared" ca="1" si="1824"/>
        <v>X</v>
      </c>
      <c r="BD418" s="58" t="str">
        <f t="shared" ca="1" si="1824"/>
        <v>X</v>
      </c>
      <c r="BE418" s="58" t="str">
        <f t="shared" ca="1" si="1824"/>
        <v>X</v>
      </c>
      <c r="BF418" s="58" t="str">
        <f t="shared" ca="1" si="1824"/>
        <v>X</v>
      </c>
      <c r="BG418" s="58" t="str">
        <f t="shared" ca="1" si="1824"/>
        <v>X</v>
      </c>
      <c r="BH418" s="58" t="str">
        <f t="shared" ca="1" si="1824"/>
        <v>X</v>
      </c>
      <c r="BI418" s="58" t="str">
        <f t="shared" ca="1" si="1824"/>
        <v>X</v>
      </c>
      <c r="BJ418" s="58" t="str">
        <f t="shared" ca="1" si="1824"/>
        <v>X</v>
      </c>
      <c r="BK418" s="58" t="str">
        <f t="shared" ca="1" si="1824"/>
        <v>X</v>
      </c>
      <c r="BL418" s="58" t="str">
        <f t="shared" ca="1" si="1824"/>
        <v>X</v>
      </c>
      <c r="BM418" s="58" t="str">
        <f t="shared" ca="1" si="1824"/>
        <v>X</v>
      </c>
      <c r="BN418" s="58" t="str">
        <f t="shared" ca="1" si="1824"/>
        <v>X</v>
      </c>
      <c r="BO418" s="58" t="str">
        <f t="shared" ca="1" si="1824"/>
        <v>X</v>
      </c>
      <c r="BP418" s="58" t="str">
        <f t="shared" ca="1" si="1824"/>
        <v>X</v>
      </c>
      <c r="BQ418" s="58" t="str">
        <f t="shared" ca="1" si="1824"/>
        <v>X</v>
      </c>
      <c r="BR418" s="58" t="str">
        <f t="shared" ca="1" si="1824"/>
        <v>X</v>
      </c>
      <c r="BS418" s="58" t="str">
        <f t="shared" ca="1" si="1824"/>
        <v>X</v>
      </c>
      <c r="BT418" s="58" t="str">
        <f t="shared" ca="1" si="1824"/>
        <v>X</v>
      </c>
      <c r="BU418" s="58" t="str">
        <f t="shared" ca="1" si="1824"/>
        <v>X</v>
      </c>
      <c r="BV418" s="58" t="str">
        <f t="shared" ca="1" si="1824"/>
        <v>X</v>
      </c>
      <c r="BW418" s="58" t="str">
        <f t="shared" ca="1" si="1824"/>
        <v>X</v>
      </c>
      <c r="BX418" s="58" t="str">
        <f t="shared" ca="1" si="1824"/>
        <v>X</v>
      </c>
      <c r="BY418" s="58" t="str">
        <f t="shared" ca="1" si="1824"/>
        <v>X</v>
      </c>
      <c r="BZ418" s="58" t="str">
        <f t="shared" ca="1" si="1824"/>
        <v>X</v>
      </c>
      <c r="CA418" s="58" t="str">
        <f t="shared" ca="1" si="1824"/>
        <v>X</v>
      </c>
      <c r="CB418" s="58" t="str">
        <f t="shared" ca="1" si="1824"/>
        <v>X</v>
      </c>
      <c r="CC418" s="58" t="str">
        <f t="shared" ca="1" si="1824"/>
        <v>X</v>
      </c>
      <c r="CD418" s="58" t="str">
        <f t="shared" ca="1" si="1824"/>
        <v>X</v>
      </c>
      <c r="CE418" s="58" t="str">
        <f t="shared" ca="1" si="1824"/>
        <v>X</v>
      </c>
      <c r="CF418" s="58" t="str">
        <f t="shared" ca="1" si="1824"/>
        <v>X</v>
      </c>
      <c r="CG418" s="58" t="str">
        <f t="shared" ca="1" si="1824"/>
        <v>X</v>
      </c>
      <c r="CH418" s="58" t="str">
        <f t="shared" ca="1" si="1824"/>
        <v>X</v>
      </c>
      <c r="CI418" s="58" t="str">
        <f t="shared" ca="1" si="1824"/>
        <v>X</v>
      </c>
      <c r="CJ418" s="58" t="str">
        <f t="shared" ca="1" si="1824"/>
        <v>X</v>
      </c>
      <c r="CK418" s="58" t="str">
        <f t="shared" ca="1" si="1824"/>
        <v>X</v>
      </c>
      <c r="CL418" s="58" t="str">
        <f t="shared" ca="1" si="1824"/>
        <v>X</v>
      </c>
      <c r="CM418" s="58" t="str">
        <f t="shared" ca="1" si="1824"/>
        <v>X</v>
      </c>
      <c r="CN418" s="58" t="str">
        <f t="shared" ca="1" si="1824"/>
        <v>X</v>
      </c>
      <c r="CO418" s="58" t="str">
        <f t="shared" ca="1" si="1824"/>
        <v>X</v>
      </c>
      <c r="CP418" s="58" t="str">
        <f t="shared" ca="1" si="1824"/>
        <v>X</v>
      </c>
      <c r="CQ418" s="58" t="str">
        <f t="shared" ca="1" si="1824"/>
        <v>X</v>
      </c>
      <c r="CR418" s="58" t="str">
        <f t="shared" ca="1" si="1824"/>
        <v>X</v>
      </c>
      <c r="CS418" s="58" t="str">
        <f t="shared" ca="1" si="1824"/>
        <v>X</v>
      </c>
      <c r="CT418" s="58" t="str">
        <f t="shared" ca="1" si="1824"/>
        <v>X</v>
      </c>
      <c r="CU418" s="58" t="str">
        <f t="shared" ca="1" si="1824"/>
        <v>X</v>
      </c>
      <c r="CV418" s="58" t="str">
        <f t="shared" ca="1" si="1824"/>
        <v>X</v>
      </c>
      <c r="CW418" s="58" t="str">
        <f t="shared" ca="1" si="1824"/>
        <v>X</v>
      </c>
      <c r="CX418" s="58" t="str">
        <f t="shared" ca="1" si="1824"/>
        <v>X</v>
      </c>
      <c r="CY418" s="58" t="str">
        <f t="shared" ca="1" si="1824"/>
        <v>X</v>
      </c>
      <c r="CZ418" s="58" t="str">
        <f t="shared" ca="1" si="1824"/>
        <v>X</v>
      </c>
      <c r="DA418" s="58" t="str">
        <f t="shared" ca="1" si="1824"/>
        <v>X</v>
      </c>
      <c r="DB418" s="58" t="str">
        <f t="shared" ca="1" si="1824"/>
        <v>X</v>
      </c>
      <c r="DC418" s="58" t="str">
        <f t="shared" ca="1" si="1824"/>
        <v>X</v>
      </c>
      <c r="DD418" s="58" t="str">
        <f t="shared" ca="1" si="1824"/>
        <v>X</v>
      </c>
      <c r="DE418" s="58" t="str">
        <f t="shared" ca="1" si="1824"/>
        <v>X</v>
      </c>
      <c r="DF418" s="58" t="str">
        <f t="shared" ca="1" si="1824"/>
        <v>X</v>
      </c>
      <c r="DG418" s="58" t="str">
        <f t="shared" ca="1" si="1824"/>
        <v>X</v>
      </c>
      <c r="DH418" s="58" t="str">
        <f t="shared" ca="1" si="1824"/>
        <v>X</v>
      </c>
      <c r="DI418" s="58" t="str">
        <f t="shared" ca="1" si="1824"/>
        <v>X</v>
      </c>
      <c r="DJ418" s="58" t="str">
        <f t="shared" ca="1" si="1824"/>
        <v>X</v>
      </c>
      <c r="DK418" s="58" t="str">
        <f t="shared" ca="1" si="1824"/>
        <v>X</v>
      </c>
      <c r="DL418" s="58" t="str">
        <f t="shared" ca="1" si="1824"/>
        <v>X</v>
      </c>
      <c r="DM418" s="58" t="str">
        <f t="shared" ca="1" si="1824"/>
        <v>X</v>
      </c>
      <c r="DN418" s="58" t="str">
        <f t="shared" ca="1" si="1824"/>
        <v>X</v>
      </c>
      <c r="DO418" s="58" t="str">
        <f t="shared" ca="1" si="1824"/>
        <v>X</v>
      </c>
      <c r="DP418" s="58" t="str">
        <f t="shared" ca="1" si="1824"/>
        <v>X</v>
      </c>
      <c r="DQ418" s="58" t="str">
        <f t="shared" ca="1" si="1824"/>
        <v>X</v>
      </c>
      <c r="DR418" s="58" t="str">
        <f t="shared" ca="1" si="1824"/>
        <v>X</v>
      </c>
      <c r="DS418" s="58" t="str">
        <f t="shared" ca="1" si="1824"/>
        <v>X</v>
      </c>
      <c r="DT418" s="58" t="str">
        <f t="shared" ca="1" si="1824"/>
        <v>X</v>
      </c>
      <c r="DU418" s="58" t="str">
        <f t="shared" ca="1" si="1824"/>
        <v>X</v>
      </c>
      <c r="DV418" s="58" t="str">
        <f t="shared" ca="1" si="1824"/>
        <v>X</v>
      </c>
      <c r="DW418" s="58" t="str">
        <f t="shared" ca="1" si="1824"/>
        <v>X</v>
      </c>
      <c r="DX418" s="58" t="str">
        <f t="shared" ca="1" si="1824"/>
        <v>X</v>
      </c>
      <c r="DY418" s="58" t="str">
        <f t="shared" ca="1" si="1824"/>
        <v>X</v>
      </c>
      <c r="DZ418" s="58" t="str">
        <f t="shared" ca="1" si="1824"/>
        <v>X</v>
      </c>
      <c r="EA418" s="58" t="str">
        <f t="shared" ca="1" si="1824"/>
        <v>X</v>
      </c>
      <c r="EB418" s="58" t="str">
        <f t="shared" ca="1" si="1824"/>
        <v>X</v>
      </c>
      <c r="EC418" s="58" t="str">
        <f t="shared" ca="1" si="1824"/>
        <v>X</v>
      </c>
      <c r="ED418" s="58" t="str">
        <f t="shared" ca="1" si="1824"/>
        <v>X</v>
      </c>
      <c r="EE418" s="58" t="str">
        <f t="shared" ca="1" si="1824"/>
        <v>X</v>
      </c>
      <c r="EF418" s="58" t="str">
        <f t="shared" ca="1" si="1824"/>
        <v>X</v>
      </c>
      <c r="EG418" s="58" t="str">
        <f t="shared" ca="1" si="1824"/>
        <v>X</v>
      </c>
      <c r="EH418" s="58" t="str">
        <f t="shared" ca="1" si="1824"/>
        <v>X</v>
      </c>
      <c r="EI418" s="58" t="str">
        <f t="shared" ca="1" si="1824"/>
        <v>X</v>
      </c>
      <c r="EJ418" s="58" t="str">
        <f t="shared" ca="1" si="1824"/>
        <v>X</v>
      </c>
      <c r="EK418" s="58" t="str">
        <f t="shared" ca="1" si="1824"/>
        <v>X</v>
      </c>
      <c r="EL418" s="58" t="str">
        <f t="shared" ca="1" si="1824"/>
        <v>X</v>
      </c>
      <c r="EM418" s="58" t="str">
        <f t="shared" ca="1" si="1824"/>
        <v>X</v>
      </c>
      <c r="EN418" s="58">
        <f t="shared" ca="1" si="1824"/>
        <v>46248</v>
      </c>
      <c r="EO418" s="58">
        <f t="shared" ca="1" si="1824"/>
        <v>46248</v>
      </c>
      <c r="EP418" s="58">
        <f t="shared" ca="1" si="1824"/>
        <v>46248</v>
      </c>
      <c r="EQ418" s="58" t="str">
        <f t="shared" ca="1" si="1824"/>
        <v>X</v>
      </c>
      <c r="ER418" s="58" t="str">
        <f t="shared" ca="1" si="1824"/>
        <v>X</v>
      </c>
      <c r="ES418" s="58" t="str">
        <f t="shared" ca="1" si="1824"/>
        <v>X</v>
      </c>
      <c r="ET418" s="58" t="str">
        <f t="shared" ca="1" si="1824"/>
        <v>X</v>
      </c>
      <c r="EU418" s="58" t="str">
        <f t="shared" ca="1" si="1824"/>
        <v>X</v>
      </c>
      <c r="EV418" s="58" t="str">
        <f t="shared" ca="1" si="1824"/>
        <v>X</v>
      </c>
      <c r="EW418" s="58" t="str">
        <f t="shared" ca="1" si="1824"/>
        <v>X</v>
      </c>
      <c r="EX418" s="58" t="str">
        <f t="shared" ca="1" si="1824"/>
        <v>X</v>
      </c>
      <c r="EY418" s="58" t="str">
        <f t="shared" ca="1" si="1824"/>
        <v>X</v>
      </c>
      <c r="EZ418" s="58" t="str">
        <f t="shared" ca="1" si="1824"/>
        <v>X</v>
      </c>
      <c r="FA418" s="58" t="str">
        <f t="shared" ca="1" si="1824"/>
        <v>X</v>
      </c>
      <c r="FB418" s="58">
        <f t="shared" ca="1" si="1824"/>
        <v>46269</v>
      </c>
      <c r="FC418" s="58">
        <f t="shared" ca="1" si="1824"/>
        <v>46269</v>
      </c>
      <c r="FD418" s="58">
        <f t="shared" ca="1" si="1824"/>
        <v>46269</v>
      </c>
      <c r="FE418" s="58" t="str">
        <f t="shared" ca="1" si="1824"/>
        <v>X</v>
      </c>
      <c r="FF418" s="58" t="str">
        <f t="shared" ca="1" si="1824"/>
        <v>X</v>
      </c>
      <c r="FG418" s="58">
        <f t="shared" ca="1" si="1824"/>
        <v>46319</v>
      </c>
      <c r="FH418" s="58">
        <f t="shared" ca="1" si="1824"/>
        <v>46319</v>
      </c>
      <c r="FI418" s="58">
        <f t="shared" ca="1" si="1824"/>
        <v>46319</v>
      </c>
      <c r="FJ418" s="58" t="str">
        <f t="shared" ca="1" si="1824"/>
        <v>X</v>
      </c>
      <c r="FK418" s="58" t="str">
        <f t="shared" ca="1" si="1824"/>
        <v>X</v>
      </c>
      <c r="FL418" s="58" t="str">
        <f t="shared" ca="1" si="1824"/>
        <v>X</v>
      </c>
      <c r="FM418" s="58" t="str">
        <f t="shared" ca="1" si="1824"/>
        <v>X</v>
      </c>
      <c r="FN418" s="58" t="str">
        <f t="shared" ca="1" si="1824"/>
        <v>X</v>
      </c>
      <c r="FO418" s="58" t="str">
        <f t="shared" ca="1" si="1824"/>
        <v>X</v>
      </c>
      <c r="FP418" s="58">
        <f t="shared" ca="1" si="1824"/>
        <v>46297</v>
      </c>
      <c r="FQ418" s="58">
        <f t="shared" ca="1" si="1824"/>
        <v>46297</v>
      </c>
      <c r="FR418" s="58">
        <f t="shared" ca="1" si="1824"/>
        <v>46297</v>
      </c>
      <c r="FS418" s="58" t="str">
        <f t="shared" ca="1" si="1824"/>
        <v>X</v>
      </c>
      <c r="FT418" s="58" t="str">
        <f t="shared" ca="1" si="1824"/>
        <v>X</v>
      </c>
      <c r="FU418" s="58">
        <f t="shared" ca="1" si="1824"/>
        <v>46333</v>
      </c>
      <c r="FV418" s="58">
        <f t="shared" ca="1" si="1824"/>
        <v>46333</v>
      </c>
      <c r="FW418" s="58">
        <f t="shared" ca="1" si="1824"/>
        <v>46333</v>
      </c>
      <c r="FX418" s="58" t="str">
        <f t="shared" ca="1" si="1824"/>
        <v>X</v>
      </c>
      <c r="FY418" s="58" t="str">
        <f t="shared" ca="1" si="1824"/>
        <v>X</v>
      </c>
      <c r="FZ418" s="58" t="str">
        <f t="shared" ca="1" si="1824"/>
        <v>X</v>
      </c>
      <c r="GA418" s="58" t="str">
        <f t="shared" ca="1" si="1824"/>
        <v>X</v>
      </c>
      <c r="GB418" s="58" t="str">
        <f t="shared" ca="1" si="1824"/>
        <v>X</v>
      </c>
      <c r="GC418" s="58" t="str">
        <f t="shared" ca="1" si="1824"/>
        <v>X</v>
      </c>
      <c r="GD418" s="58">
        <f t="shared" ca="1" si="1824"/>
        <v>46339</v>
      </c>
      <c r="GE418" s="58">
        <f t="shared" ca="1" si="1824"/>
        <v>46339</v>
      </c>
      <c r="GF418" s="58">
        <f t="shared" ca="1" si="1824"/>
        <v>46339</v>
      </c>
      <c r="GG418" s="58" t="str">
        <f t="shared" ca="1" si="1824"/>
        <v>X</v>
      </c>
      <c r="GH418" s="58" t="str">
        <f t="shared" ca="1" si="1824"/>
        <v>X</v>
      </c>
      <c r="GI418" s="58">
        <f t="shared" ca="1" si="1824"/>
        <v>46361</v>
      </c>
      <c r="GJ418" s="58">
        <f t="shared" ca="1" si="1824"/>
        <v>46361</v>
      </c>
      <c r="GK418" s="58">
        <f t="shared" ca="1" si="1824"/>
        <v>46361</v>
      </c>
      <c r="GL418" s="58" t="str">
        <f t="shared" ca="1" si="1824"/>
        <v>X</v>
      </c>
      <c r="GM418" s="58" t="str">
        <f t="shared" ca="1" si="1824"/>
        <v>X</v>
      </c>
      <c r="GN418" s="58" t="str">
        <f t="shared" ca="1" si="1824"/>
        <v>X</v>
      </c>
      <c r="GO418" s="58" t="str">
        <f t="shared" ca="1" si="1824"/>
        <v>X</v>
      </c>
      <c r="GP418" s="58" t="str">
        <f t="shared" ca="1" si="1824"/>
        <v>X</v>
      </c>
      <c r="GQ418" s="58" t="str">
        <f t="shared" ca="1" si="1824"/>
        <v>X</v>
      </c>
      <c r="GR418" s="58">
        <f t="shared" ca="1" si="1824"/>
        <v>46377</v>
      </c>
      <c r="GS418" s="80">
        <f t="shared" ca="1" si="1824"/>
        <v>46377</v>
      </c>
      <c r="GT418" s="58">
        <f t="shared" ca="1" si="1824"/>
        <v>46377</v>
      </c>
      <c r="GU418" s="82" t="str">
        <f t="shared" ca="1" si="1617"/>
        <v>X</v>
      </c>
      <c r="GV418" s="58" t="str">
        <f t="shared" ca="1" si="1618"/>
        <v>X</v>
      </c>
      <c r="GW418" s="58" t="str">
        <f t="shared" ca="1" si="1619"/>
        <v>X</v>
      </c>
      <c r="GX418" s="58" t="str">
        <f t="shared" ca="1" si="1620"/>
        <v>X</v>
      </c>
      <c r="GY418" s="58" t="str">
        <f t="shared" ca="1" si="1621"/>
        <v>X</v>
      </c>
      <c r="GZ418" s="58" t="str">
        <f t="shared" ca="1" si="1622"/>
        <v>X</v>
      </c>
      <c r="HA418" s="58" t="str">
        <f t="shared" ca="1" si="1623"/>
        <v>X</v>
      </c>
      <c r="HB418" s="58" t="str">
        <f t="shared" ca="1" si="1624"/>
        <v>X</v>
      </c>
      <c r="HC418" s="58" t="str">
        <f t="shared" ca="1" si="1625"/>
        <v>X</v>
      </c>
      <c r="HD418" s="58" t="str">
        <f t="shared" ca="1" si="1626"/>
        <v>X</v>
      </c>
      <c r="HE418" s="58" t="str">
        <f t="shared" ca="1" si="1627"/>
        <v>X</v>
      </c>
      <c r="HF418" s="58" t="str">
        <f t="shared" ca="1" si="1628"/>
        <v>X</v>
      </c>
      <c r="HG418" s="58" t="str">
        <f t="shared" ca="1" si="1629"/>
        <v>X</v>
      </c>
      <c r="HH418" s="58" t="str">
        <f t="shared" ca="1" si="1630"/>
        <v>X</v>
      </c>
      <c r="HI418" s="58" t="str">
        <f t="shared" ca="1" si="1631"/>
        <v>X</v>
      </c>
      <c r="HJ418" s="58" t="str">
        <f t="shared" ca="1" si="1632"/>
        <v>X</v>
      </c>
      <c r="HK418" s="58" t="str">
        <f t="shared" ca="1" si="1633"/>
        <v>X</v>
      </c>
      <c r="HL418" s="58" t="str">
        <f t="shared" ca="1" si="1634"/>
        <v>X</v>
      </c>
      <c r="HM418" s="58" t="str">
        <f t="shared" ca="1" si="1635"/>
        <v>X</v>
      </c>
      <c r="HN418" s="58" t="str">
        <f t="shared" ca="1" si="1636"/>
        <v>X</v>
      </c>
      <c r="HO418" s="58" t="str">
        <f t="shared" ca="1" si="1637"/>
        <v>X</v>
      </c>
      <c r="HP418" s="58" t="str">
        <f t="shared" ca="1" si="1638"/>
        <v>X</v>
      </c>
      <c r="HQ418" s="58" t="str">
        <f t="shared" ca="1" si="1639"/>
        <v>X</v>
      </c>
      <c r="HR418" s="58" t="str">
        <f t="shared" ca="1" si="1640"/>
        <v>X</v>
      </c>
      <c r="HS418" s="58" t="str">
        <f t="shared" ca="1" si="1641"/>
        <v>X</v>
      </c>
      <c r="HT418" s="58" t="str">
        <f t="shared" ca="1" si="1642"/>
        <v>X</v>
      </c>
      <c r="HU418" s="58" t="str">
        <f t="shared" ca="1" si="1643"/>
        <v>X</v>
      </c>
      <c r="HV418" s="58" t="str">
        <f t="shared" ca="1" si="1644"/>
        <v>X</v>
      </c>
      <c r="HW418" s="58" t="str">
        <f t="shared" ca="1" si="1645"/>
        <v>X</v>
      </c>
      <c r="HX418" s="58" t="str">
        <f t="shared" ca="1" si="1646"/>
        <v>X</v>
      </c>
      <c r="HY418" s="58" t="str">
        <f t="shared" ca="1" si="1647"/>
        <v>X</v>
      </c>
      <c r="HZ418" s="58" t="str">
        <f t="shared" ca="1" si="1648"/>
        <v>X</v>
      </c>
      <c r="IA418" s="58" t="str">
        <f t="shared" ca="1" si="1649"/>
        <v>X</v>
      </c>
      <c r="IB418" s="58" t="str">
        <f t="shared" ca="1" si="1650"/>
        <v>X</v>
      </c>
      <c r="IC418" s="58" t="str">
        <f t="shared" ca="1" si="1651"/>
        <v>X</v>
      </c>
      <c r="ID418" s="58" t="str">
        <f t="shared" ca="1" si="1652"/>
        <v>X</v>
      </c>
      <c r="IE418" s="58" t="str">
        <f t="shared" ca="1" si="1653"/>
        <v>X</v>
      </c>
      <c r="IF418" s="58" t="str">
        <f t="shared" ca="1" si="1654"/>
        <v>X</v>
      </c>
      <c r="IG418" s="58" t="str">
        <f t="shared" ca="1" si="1655"/>
        <v>X</v>
      </c>
      <c r="IH418" s="58" t="str">
        <f t="shared" ca="1" si="1656"/>
        <v>X</v>
      </c>
      <c r="II418" s="58" t="str">
        <f t="shared" ca="1" si="1657"/>
        <v>X</v>
      </c>
      <c r="IJ418" s="58" t="str">
        <f t="shared" ca="1" si="1658"/>
        <v>X</v>
      </c>
      <c r="IK418" s="58" t="str">
        <f t="shared" ca="1" si="1659"/>
        <v>X</v>
      </c>
      <c r="IL418" s="58" t="str">
        <f t="shared" ca="1" si="1660"/>
        <v>X</v>
      </c>
      <c r="IM418" s="58" t="str">
        <f t="shared" ca="1" si="1661"/>
        <v>X</v>
      </c>
      <c r="IN418" s="58" t="str">
        <f t="shared" ca="1" si="1662"/>
        <v>X</v>
      </c>
      <c r="IO418" s="58" t="str">
        <f t="shared" ca="1" si="1663"/>
        <v>X</v>
      </c>
      <c r="IP418" s="58" t="str">
        <f t="shared" ca="1" si="1664"/>
        <v>X</v>
      </c>
      <c r="IQ418" s="58" t="str">
        <f t="shared" ca="1" si="1665"/>
        <v>X</v>
      </c>
      <c r="IR418" s="58" t="str">
        <f t="shared" ca="1" si="1666"/>
        <v>X</v>
      </c>
      <c r="IS418" s="58" t="str">
        <f t="shared" ca="1" si="1667"/>
        <v>X</v>
      </c>
      <c r="IT418" s="58" t="str">
        <f t="shared" ca="1" si="1668"/>
        <v>X</v>
      </c>
      <c r="IU418" s="58" t="str">
        <f t="shared" ca="1" si="1669"/>
        <v>X</v>
      </c>
      <c r="IV418" s="58" t="str">
        <f t="shared" ca="1" si="1670"/>
        <v>X</v>
      </c>
      <c r="IW418" s="58" t="str">
        <f t="shared" ca="1" si="1671"/>
        <v>X</v>
      </c>
      <c r="IX418" s="58" t="str">
        <f t="shared" ca="1" si="1672"/>
        <v>X</v>
      </c>
      <c r="IY418" s="58" t="str">
        <f t="shared" ca="1" si="1673"/>
        <v>X</v>
      </c>
      <c r="IZ418" s="58" t="str">
        <f t="shared" ca="1" si="1674"/>
        <v>X</v>
      </c>
      <c r="JA418" s="58" t="str">
        <f t="shared" ca="1" si="1675"/>
        <v>X</v>
      </c>
      <c r="JB418" s="58" t="str">
        <f t="shared" ca="1" si="1676"/>
        <v>X</v>
      </c>
      <c r="JC418" s="58" t="str">
        <f t="shared" ca="1" si="1677"/>
        <v>X</v>
      </c>
      <c r="JD418" s="58" t="str">
        <f t="shared" ca="1" si="1678"/>
        <v>X</v>
      </c>
      <c r="JE418" s="58" t="str">
        <f t="shared" ca="1" si="1679"/>
        <v>X</v>
      </c>
      <c r="JF418" s="58" t="str">
        <f t="shared" ca="1" si="1680"/>
        <v>X</v>
      </c>
      <c r="JG418" s="58" t="str">
        <f t="shared" ca="1" si="1681"/>
        <v>X</v>
      </c>
      <c r="JH418" s="58" t="str">
        <f t="shared" ca="1" si="1682"/>
        <v>X</v>
      </c>
      <c r="JI418" s="58" t="str">
        <f t="shared" ca="1" si="1683"/>
        <v>X</v>
      </c>
      <c r="JJ418" s="58" t="str">
        <f t="shared" ca="1" si="1684"/>
        <v>X</v>
      </c>
      <c r="JK418" s="58" t="str">
        <f t="shared" ca="1" si="1685"/>
        <v>X</v>
      </c>
      <c r="JL418" s="58" t="str">
        <f t="shared" ca="1" si="1686"/>
        <v>X</v>
      </c>
      <c r="JM418" s="58" t="str">
        <f t="shared" ca="1" si="1687"/>
        <v>X</v>
      </c>
      <c r="JN418" s="58" t="str">
        <f t="shared" ca="1" si="1688"/>
        <v>X</v>
      </c>
      <c r="JO418" s="58" t="str">
        <f t="shared" ca="1" si="1689"/>
        <v>X</v>
      </c>
      <c r="JP418" s="58" t="str">
        <f t="shared" ca="1" si="1690"/>
        <v>X</v>
      </c>
      <c r="JQ418" s="58" t="str">
        <f t="shared" ca="1" si="1691"/>
        <v>X</v>
      </c>
      <c r="JR418" s="58" t="str">
        <f t="shared" ca="1" si="1692"/>
        <v>X</v>
      </c>
      <c r="JS418" s="58" t="str">
        <f t="shared" ca="1" si="1693"/>
        <v>X</v>
      </c>
      <c r="JT418" s="58" t="str">
        <f t="shared" ca="1" si="1694"/>
        <v>X</v>
      </c>
      <c r="JU418" s="58" t="str">
        <f t="shared" ca="1" si="1695"/>
        <v>X</v>
      </c>
      <c r="JV418" s="58" t="str">
        <f t="shared" ca="1" si="1696"/>
        <v>X</v>
      </c>
      <c r="JW418" s="58" t="str">
        <f t="shared" ca="1" si="1697"/>
        <v>X</v>
      </c>
      <c r="JX418" s="58" t="str">
        <f t="shared" ca="1" si="1698"/>
        <v>X</v>
      </c>
      <c r="JY418" s="58" t="str">
        <f t="shared" ca="1" si="1699"/>
        <v>X</v>
      </c>
      <c r="JZ418" s="58" t="str">
        <f t="shared" ca="1" si="1700"/>
        <v>X</v>
      </c>
      <c r="KA418" s="58" t="str">
        <f t="shared" ca="1" si="1701"/>
        <v>X</v>
      </c>
      <c r="KB418" s="58" t="str">
        <f t="shared" ca="1" si="1702"/>
        <v>X</v>
      </c>
      <c r="KC418" s="58" t="str">
        <f t="shared" ca="1" si="1703"/>
        <v>X</v>
      </c>
      <c r="KD418" s="58" t="str">
        <f t="shared" ca="1" si="1704"/>
        <v>X</v>
      </c>
      <c r="KE418" s="58" t="str">
        <f t="shared" ca="1" si="1705"/>
        <v>X</v>
      </c>
      <c r="KF418" s="58" t="str">
        <f t="shared" ca="1" si="1706"/>
        <v>X</v>
      </c>
      <c r="KG418" s="58" t="str">
        <f t="shared" ca="1" si="1707"/>
        <v>X</v>
      </c>
      <c r="KH418" s="58" t="str">
        <f t="shared" ca="1" si="1708"/>
        <v>X</v>
      </c>
      <c r="KI418" s="58" t="str">
        <f t="shared" ca="1" si="1709"/>
        <v>X</v>
      </c>
      <c r="KJ418" s="58" t="str">
        <f t="shared" ca="1" si="1710"/>
        <v>X</v>
      </c>
      <c r="KK418" s="58" t="str">
        <f t="shared" ca="1" si="1711"/>
        <v>X</v>
      </c>
      <c r="KL418" s="58" t="str">
        <f t="shared" ca="1" si="1712"/>
        <v>X</v>
      </c>
      <c r="KM418" s="58" t="str">
        <f t="shared" ca="1" si="1713"/>
        <v>X</v>
      </c>
      <c r="KN418" s="58" t="str">
        <f t="shared" ca="1" si="1714"/>
        <v>X</v>
      </c>
      <c r="KO418" s="58" t="str">
        <f t="shared" ca="1" si="1715"/>
        <v>X</v>
      </c>
      <c r="KP418" s="58" t="str">
        <f t="shared" ca="1" si="1716"/>
        <v>X</v>
      </c>
      <c r="KQ418" s="58" t="str">
        <f t="shared" ca="1" si="1717"/>
        <v>X</v>
      </c>
      <c r="KR418" s="58" t="str">
        <f t="shared" ca="1" si="1718"/>
        <v>X</v>
      </c>
      <c r="KS418" s="58" t="str">
        <f t="shared" ca="1" si="1719"/>
        <v>X</v>
      </c>
      <c r="KT418" s="58" t="str">
        <f t="shared" ca="1" si="1720"/>
        <v>X</v>
      </c>
      <c r="KU418" s="58" t="str">
        <f t="shared" ca="1" si="1721"/>
        <v>X</v>
      </c>
      <c r="KV418" s="58" t="str">
        <f t="shared" ca="1" si="1722"/>
        <v>X</v>
      </c>
      <c r="KW418" s="58" t="str">
        <f t="shared" ca="1" si="1723"/>
        <v>X</v>
      </c>
      <c r="KX418" s="58" t="str">
        <f t="shared" ca="1" si="1724"/>
        <v>X</v>
      </c>
      <c r="KY418" s="58" t="str">
        <f t="shared" ca="1" si="1725"/>
        <v>X</v>
      </c>
      <c r="KZ418" s="58">
        <f t="shared" ca="1" si="1726"/>
        <v>46262</v>
      </c>
      <c r="LA418" s="58">
        <f t="shared" ca="1" si="1727"/>
        <v>46262</v>
      </c>
      <c r="LB418" s="58">
        <f t="shared" ca="1" si="1728"/>
        <v>46262</v>
      </c>
      <c r="LC418" s="58" t="str">
        <f t="shared" ca="1" si="1729"/>
        <v>X</v>
      </c>
      <c r="LD418" s="58" t="str">
        <f t="shared" ca="1" si="1730"/>
        <v>X</v>
      </c>
      <c r="LE418" s="58" t="str">
        <f t="shared" ca="1" si="1731"/>
        <v>X</v>
      </c>
      <c r="LF418" s="58" t="str">
        <f t="shared" ca="1" si="1732"/>
        <v>X</v>
      </c>
      <c r="LG418" s="58" t="str">
        <f t="shared" ca="1" si="1733"/>
        <v>X</v>
      </c>
      <c r="LH418" s="58" t="str">
        <f t="shared" ca="1" si="1734"/>
        <v>X</v>
      </c>
      <c r="LI418" s="58" t="str">
        <f t="shared" ca="1" si="1735"/>
        <v>X</v>
      </c>
      <c r="LJ418" s="58" t="str">
        <f t="shared" ca="1" si="1736"/>
        <v>X</v>
      </c>
      <c r="LK418" s="58" t="str">
        <f t="shared" ca="1" si="1737"/>
        <v>X</v>
      </c>
      <c r="LL418" s="58" t="str">
        <f t="shared" ca="1" si="1738"/>
        <v>X</v>
      </c>
      <c r="LM418" s="58" t="str">
        <f t="shared" ca="1" si="1739"/>
        <v>X</v>
      </c>
      <c r="LN418" s="58">
        <f t="shared" ca="1" si="1740"/>
        <v>46290</v>
      </c>
      <c r="LO418" s="58">
        <f t="shared" ca="1" si="1741"/>
        <v>46290</v>
      </c>
      <c r="LP418" s="58">
        <f t="shared" ca="1" si="1742"/>
        <v>46290</v>
      </c>
      <c r="LQ418" s="58" t="str">
        <f t="shared" ca="1" si="1743"/>
        <v>X</v>
      </c>
      <c r="LR418" s="58" t="str">
        <f t="shared" ca="1" si="1744"/>
        <v>X</v>
      </c>
      <c r="LS418" s="58">
        <f t="shared" ca="1" si="1745"/>
        <v>46319</v>
      </c>
      <c r="LT418" s="58">
        <f t="shared" ca="1" si="1746"/>
        <v>46319</v>
      </c>
      <c r="LU418" s="58">
        <f t="shared" ca="1" si="1747"/>
        <v>46319</v>
      </c>
      <c r="LV418" s="58" t="str">
        <f t="shared" ca="1" si="1748"/>
        <v>X</v>
      </c>
      <c r="LW418" s="58" t="str">
        <f t="shared" ca="1" si="1749"/>
        <v>X</v>
      </c>
      <c r="LX418" s="58" t="str">
        <f t="shared" ca="1" si="1750"/>
        <v>X</v>
      </c>
      <c r="LY418" s="58" t="str">
        <f t="shared" ca="1" si="1751"/>
        <v>X</v>
      </c>
      <c r="LZ418" s="58" t="str">
        <f t="shared" ca="1" si="1752"/>
        <v>X</v>
      </c>
      <c r="MA418" s="58" t="str">
        <f t="shared" ca="1" si="1753"/>
        <v>X</v>
      </c>
      <c r="MB418" s="58">
        <f t="shared" ca="1" si="1754"/>
        <v>46325</v>
      </c>
      <c r="MC418" s="58">
        <f t="shared" ca="1" si="1755"/>
        <v>46325</v>
      </c>
      <c r="MD418" s="58">
        <f t="shared" ca="1" si="1756"/>
        <v>46325</v>
      </c>
      <c r="ME418" s="58" t="str">
        <f t="shared" ca="1" si="1757"/>
        <v>X</v>
      </c>
      <c r="MF418" s="58" t="str">
        <f t="shared" ca="1" si="1758"/>
        <v>X</v>
      </c>
      <c r="MG418" s="58">
        <f t="shared" ca="1" si="1759"/>
        <v>46354</v>
      </c>
      <c r="MH418" s="58">
        <f t="shared" ca="1" si="1760"/>
        <v>46354</v>
      </c>
      <c r="MI418" s="58">
        <f t="shared" ca="1" si="1761"/>
        <v>46354</v>
      </c>
      <c r="MJ418" s="58" t="str">
        <f t="shared" ca="1" si="1762"/>
        <v>X</v>
      </c>
      <c r="MK418" s="58" t="str">
        <f t="shared" ca="1" si="1763"/>
        <v>X</v>
      </c>
      <c r="ML418" s="58" t="str">
        <f t="shared" ca="1" si="1764"/>
        <v>X</v>
      </c>
      <c r="MM418" s="58" t="str">
        <f t="shared" ca="1" si="1765"/>
        <v>X</v>
      </c>
      <c r="MN418" s="58" t="str">
        <f t="shared" ca="1" si="1766"/>
        <v>X</v>
      </c>
      <c r="MO418" s="58" t="str">
        <f t="shared" ca="1" si="1767"/>
        <v>X</v>
      </c>
      <c r="MP418" s="58">
        <f t="shared" ca="1" si="1768"/>
        <v>46353</v>
      </c>
      <c r="MQ418" s="58">
        <f t="shared" ca="1" si="1769"/>
        <v>46353</v>
      </c>
      <c r="MR418" s="58">
        <f t="shared" ca="1" si="1770"/>
        <v>46353</v>
      </c>
      <c r="MS418" s="58" t="str">
        <f t="shared" ca="1" si="1771"/>
        <v>X</v>
      </c>
      <c r="MT418" s="58" t="str">
        <f t="shared" ref="MT418:NE418" ca="1" si="1825">IF($K418=INDIRECT(CONCATENATE("$AG$"&amp;GH$392)),INDIRECT(CONCATENATE("$AG$"&amp;GH$391)),
IF($K418=INDIRECT(CONCATENATE("$AF$"&amp;GH$392)),INDIRECT(CONCATENATE("$AF$"&amp;GH$391)),
IF($K418=INDIRECT(CONCATENATE("$AE$"&amp;GH$392)),INDIRECT(CONCATENATE("$AE$"&amp;GH$391)),
IF($K418=INDIRECT(CONCATENATE("$AD$"&amp;GH$392)),INDIRECT(CONCATENATE("$AD$"&amp;GH$391)),
IF($K418=INDIRECT(CONCATENATE("$AC$"&amp;GH$392)),INDIRECT(CONCATENATE("$AC$"&amp;GH$391)),
IF($K418=INDIRECT(CONCATENATE("$AB$"&amp;GH$392)),INDIRECT(CONCATENATE("$AB$"&amp;GH$391)),
IF($K418=INDIRECT(CONCATENATE("$AA$"&amp;GH$392)),INDIRECT(CONCATENATE("$AA$"&amp;GH$391)),
IF($K418=INDIRECT(CONCATENATE("$Z$"&amp;GH$392)),INDIRECT(CONCATENATE("$Z$"&amp;GH$391)),
IF($K418=INDIRECT(CONCATENATE("$Y$"&amp;GH$392)),INDIRECT(CONCATENATE("$Y$"&amp;GH$391)),
IF($K418=INDIRECT(CONCATENATE("$X$"&amp;GH$392)),INDIRECT(CONCATENATE("$X$"&amp;GH$391)),
IF($K418=INDIRECT(CONCATENATE("$W$"&amp;GH$392)),INDIRECT(CONCATENATE("$W$"&amp;GH$391)),
IF($K418=INDIRECT(CONCATENATE("$V$"&amp;GH$392)),INDIRECT(CONCATENATE("$V$"&amp;GH$391)),
IF($K418=INDIRECT(CONCATENATE("$U$"&amp;GH$392)),INDIRECT(CONCATENATE("$U$"&amp;GH$391)),
IF($K418=INDIRECT(CONCATENATE("$T$"&amp;GH$392)),INDIRECT(CONCATENATE("$T$"&amp;GH$391)),
IF($K418=INDIRECT(CONCATENATE("$S$"&amp;GH$392)),INDIRECT(CONCATENATE("$S$"&amp;GH$391)),
IF($K418=INDIRECT(CONCATENATE("$R$"&amp;GH$392)),INDIRECT(CONCATENATE("$R$"&amp;GH$391)),
IF($K418=INDIRECT(CONCATENATE("$Q$"&amp;GH$392)),INDIRECT(CONCATENATE("$Q$"&amp;GH$391)),
IF($K418=INDIRECT(CONCATENATE("$P$"&amp;GH$392)),INDIRECT(CONCATENATE("$P$"&amp;GH$391)),
IF($K418=INDIRECT(CONCATENATE("$O$"&amp;GH$392)),INDIRECT(CONCATENATE("$O$"&amp;GH$391)),
IF($K418=INDIRECT(CONCATENATE("$N$"&amp;GH$392)),INDIRECT(CONCATENATE("$N$"&amp;GH$391)),
IF($K418=INDIRECT(CONCATENATE("$M$"&amp;GH$392)),INDIRECT(CONCATENATE("$M$"&amp;GH$391)),
IF($K418=INDIRECT(CONCATENATE("$L$"&amp;GH$392)),INDIRECT(CONCATENATE("$L$"&amp;GH$391)),
IF($K418=INDIRECT(CONCATENATE("$K$"&amp;GH$392)),INDIRECT(CONCATENATE("$K$"&amp;GH$391)),
IF($K418=INDIRECT(CONCATENATE("$J$"&amp;GH$392)),INDIRECT(CONCATENATE("$J$"&amp;GH$391)),
IF($K418=INDIRECT(CONCATENATE("$I$"&amp;GH$392)),INDIRECT(CONCATENATE("$I$"&amp;GH$391)),
IF($K418=INDIRECT(CONCATENATE("$H$"&amp;GH$392)),INDIRECT(CONCATENATE("$H$"&amp;GH$391)),
IF($K418=INDIRECT(CONCATENATE("$G$"&amp;GH$392)),INDIRECT(CONCATENATE("$G$"&amp;GH$391)),
IF($K418=INDIRECT(CONCATENATE("$F$"&amp;GH$392)),INDIRECT(CONCATENATE("$F$"&amp;GH$391)),
IF($K418=INDIRECT(CONCATENATE("$E$"&amp;GH$392)),INDIRECT(CONCATENATE("$E$"&amp;GH$391)),
IF($K418=INDIRECT(CONCATENATE("$D$"&amp;GH$392)),INDIRECT(CONCATENATE("$D$"&amp;GH$391)),
IF($K418=INDIRECT(CONCATENATE("$C$"&amp;GH$392)),INDIRECT(CONCATENATE("$C$"&amp;GH$391)),"X")))))))))))))))))))))))))))))))</f>
        <v>X</v>
      </c>
      <c r="MU418" s="58">
        <f t="shared" ca="1" si="1825"/>
        <v>46375</v>
      </c>
      <c r="MV418" s="58">
        <f t="shared" ca="1" si="1825"/>
        <v>46375</v>
      </c>
      <c r="MW418" s="58">
        <f t="shared" ca="1" si="1825"/>
        <v>46375</v>
      </c>
      <c r="MX418" s="58" t="str">
        <f t="shared" ca="1" si="1825"/>
        <v>X</v>
      </c>
      <c r="MY418" s="58" t="str">
        <f t="shared" ca="1" si="1825"/>
        <v>X</v>
      </c>
      <c r="MZ418" s="58" t="str">
        <f t="shared" ca="1" si="1825"/>
        <v>X</v>
      </c>
      <c r="NA418" s="58" t="str">
        <f t="shared" ca="1" si="1825"/>
        <v>X</v>
      </c>
      <c r="NB418" s="58" t="str">
        <f t="shared" ca="1" si="1825"/>
        <v>X</v>
      </c>
      <c r="NC418" s="58" t="str">
        <f t="shared" ca="1" si="1825"/>
        <v>X</v>
      </c>
      <c r="ND418" s="58">
        <f t="shared" ca="1" si="1825"/>
        <v>46378</v>
      </c>
      <c r="NE418" s="58">
        <f t="shared" ca="1" si="1825"/>
        <v>46378</v>
      </c>
      <c r="NF418" s="58">
        <f t="shared" ca="1" si="1773"/>
        <v>46378</v>
      </c>
      <c r="NG418" s="58" t="str">
        <f t="shared" ca="1" si="1774"/>
        <v>X</v>
      </c>
    </row>
    <row r="419" spans="1:371" ht="18" customHeight="1">
      <c r="A419" s="230" t="s">
        <v>92</v>
      </c>
      <c r="B419" s="231"/>
      <c r="C419" s="231"/>
      <c r="D419" s="231"/>
      <c r="E419" s="231"/>
      <c r="F419" s="231"/>
      <c r="G419" s="231"/>
      <c r="H419" s="231"/>
      <c r="I419" s="231"/>
      <c r="J419" s="232"/>
      <c r="K419" s="235" t="s">
        <v>51</v>
      </c>
      <c r="L419" s="236"/>
      <c r="M419" s="181">
        <v>48</v>
      </c>
      <c r="N419" s="225" t="s">
        <v>91</v>
      </c>
      <c r="O419" s="304"/>
      <c r="P419" s="304"/>
      <c r="Q419" s="304"/>
      <c r="R419" s="303"/>
      <c r="S419" s="226">
        <v>96379</v>
      </c>
      <c r="T419" s="304"/>
      <c r="U419" s="303"/>
      <c r="V419" s="227" t="s">
        <v>96</v>
      </c>
      <c r="W419" s="303"/>
      <c r="X419" s="56">
        <f t="shared" ca="1" si="1775"/>
        <v>46254</v>
      </c>
      <c r="Y419" s="56">
        <f t="shared" ca="1" si="1776"/>
        <v>46379</v>
      </c>
      <c r="Z419" s="228" t="str">
        <f t="shared" ca="1" si="1612"/>
        <v>EM ANDAMENTO</v>
      </c>
      <c r="AA419" s="304"/>
      <c r="AB419" s="303"/>
      <c r="AC419" s="224">
        <f t="shared" si="1777"/>
        <v>48</v>
      </c>
      <c r="AD419" s="303"/>
      <c r="AE419" s="229">
        <f t="shared" si="1778"/>
        <v>0</v>
      </c>
      <c r="AF419" s="303"/>
      <c r="AG419" s="57" t="str">
        <f t="shared" si="1615"/>
        <v>OK</v>
      </c>
      <c r="AH419" s="21"/>
      <c r="AI419" s="70"/>
      <c r="AJ419" s="58" t="str">
        <f t="shared" ref="AJ419:GT419" ca="1" si="1826">IF($K419=INDIRECT(CONCATENATE("$C$"&amp;AJ$392)), INDIRECT(CONCATENATE("$C$"&amp;AJ$391)),
IF($K419=INDIRECT(CONCATENATE("$D$"&amp;AJ$392)), INDIRECT(CONCATENATE("$D$"&amp;AJ$391)),
IF($K419=INDIRECT(CONCATENATE("$E$"&amp;AJ$392)), INDIRECT(CONCATENATE("$E$"&amp;AJ$391)),
IF($K419=INDIRECT(CONCATENATE("$F$"&amp;AJ$392)), INDIRECT(CONCATENATE("$F$"&amp;AJ$391)),
IF($K419=INDIRECT(CONCATENATE("$G$"&amp;AJ$392)), INDIRECT(CONCATENATE("$G$"&amp;AJ$391)),
IF($K419=INDIRECT(CONCATENATE("$H$"&amp;AJ$392)), INDIRECT(CONCATENATE("$H$"&amp;AJ$391)),
IF($K419=INDIRECT(CONCATENATE("$I$"&amp;AJ$392)), INDIRECT(CONCATENATE("$I$"&amp;AJ$391)),
IF($K419=INDIRECT(CONCATENATE("$J$"&amp;AJ$392)), INDIRECT(CONCATENATE("$J$"&amp;AJ$391)),
IF($K419=INDIRECT(CONCATENATE("$K$"&amp;AJ$392)), INDIRECT(CONCATENATE("$K$"&amp;AJ$391)),
IF($K419=INDIRECT(CONCATENATE("$L$"&amp;AJ$392)), INDIRECT(CONCATENATE("$L$"&amp;AJ$391)),
IF($K419=INDIRECT(CONCATENATE("$M$"&amp;AJ$392)), INDIRECT(CONCATENATE("$M$"&amp;AJ$391)),
IF($K419=INDIRECT(CONCATENATE("$N$"&amp;AJ$392)), INDIRECT(CONCATENATE("$N$"&amp;AJ$391)),
IF($K419=INDIRECT(CONCATENATE("$O$"&amp;AJ$392)), INDIRECT(CONCATENATE("$O$"&amp;AJ$391)),
IF($K419=INDIRECT(CONCATENATE("$P$"&amp;AJ$392)), INDIRECT(CONCATENATE("$P$"&amp;AJ$391)),
IF($K419=INDIRECT(CONCATENATE("$Q$"&amp;AJ$392)), INDIRECT(CONCATENATE("$Q$"&amp;AJ$391)),
IF($K419=INDIRECT(CONCATENATE("$R$"&amp;AJ$392)), INDIRECT(CONCATENATE("$R$"&amp;AJ$391)),
IF($K419=INDIRECT(CONCATENATE("$S$"&amp;AJ$392)), INDIRECT(CONCATENATE("$S$"&amp;AJ$391)),
IF($K419=INDIRECT(CONCATENATE("$T$"&amp;AJ$392)), INDIRECT(CONCATENATE("$T$"&amp;AJ$391)),
IF($K419=INDIRECT(CONCATENATE("$U$"&amp;AJ$392)), INDIRECT(CONCATENATE("$U$"&amp;AJ$391)),
IF($K419=INDIRECT(CONCATENATE("$V$"&amp;AJ$392)), INDIRECT(CONCATENATE("$V$"&amp;AJ$391)),
IF($K419=INDIRECT(CONCATENATE("$W$"&amp;AJ$392)), INDIRECT(CONCATENATE("$W$"&amp;AJ$391)),
IF($K419=INDIRECT(CONCATENATE("$X$"&amp;AJ$392)), INDIRECT(CONCATENATE("$X$"&amp;AJ$391)),
IF($K419=INDIRECT(CONCATENATE("$Y$"&amp;AJ$392)), INDIRECT(CONCATENATE("$Y$"&amp;AJ$391)),
IF($K419=INDIRECT(CONCATENATE("$Z$"&amp;AJ$392)), INDIRECT(CONCATENATE("$Z$"&amp;AJ$391)),
IF($K419=INDIRECT(CONCATENATE("$AA$"&amp;AJ$392)), INDIRECT(CONCATENATE("$AA$"&amp;AJ$391)),
IF($K419=INDIRECT(CONCATENATE("$AB$"&amp;AJ$392)), INDIRECT(CONCATENATE("$AB$"&amp;AJ$391)),
IF($K419=INDIRECT(CONCATENATE("$AC$"&amp;AJ$392)), INDIRECT(CONCATENATE("$AC$"&amp;AJ$391)),
IF($K419=INDIRECT(CONCATENATE("$AD$"&amp;AJ$392)), INDIRECT(CONCATENATE("$AD$"&amp;AJ$391)),
IF($K419=INDIRECT(CONCATENATE("$AE$"&amp;AJ$392)), INDIRECT(CONCATENATE("$AE$"&amp;AJ$391)),
IF($K419=INDIRECT(CONCATENATE("$AF$"&amp;AJ$392)), INDIRECT(CONCATENATE("$AF$"&amp;AJ$391)),
IF($K419=INDIRECT(CONCATENATE("$AG$"&amp;AJ$392)), INDIRECT(CONCATENATE("$AG$"&amp;AJ$391)),"X")))))))))))))))))))))))))))))))</f>
        <v>X</v>
      </c>
      <c r="AK419" s="58" t="str">
        <f t="shared" ca="1" si="1826"/>
        <v>X</v>
      </c>
      <c r="AL419" s="58" t="str">
        <f t="shared" ca="1" si="1826"/>
        <v>X</v>
      </c>
      <c r="AM419" s="58" t="str">
        <f t="shared" ca="1" si="1826"/>
        <v>X</v>
      </c>
      <c r="AN419" s="58" t="str">
        <f t="shared" ca="1" si="1826"/>
        <v>X</v>
      </c>
      <c r="AO419" s="58" t="str">
        <f t="shared" ca="1" si="1826"/>
        <v>X</v>
      </c>
      <c r="AP419" s="58" t="str">
        <f t="shared" ca="1" si="1826"/>
        <v>X</v>
      </c>
      <c r="AQ419" s="58" t="str">
        <f t="shared" ca="1" si="1826"/>
        <v>X</v>
      </c>
      <c r="AR419" s="58" t="str">
        <f t="shared" ca="1" si="1826"/>
        <v>X</v>
      </c>
      <c r="AS419" s="58" t="str">
        <f t="shared" ca="1" si="1826"/>
        <v>X</v>
      </c>
      <c r="AT419" s="58" t="str">
        <f t="shared" ca="1" si="1826"/>
        <v>X</v>
      </c>
      <c r="AU419" s="58" t="str">
        <f t="shared" ca="1" si="1826"/>
        <v>X</v>
      </c>
      <c r="AV419" s="58" t="str">
        <f t="shared" ca="1" si="1826"/>
        <v>X</v>
      </c>
      <c r="AW419" s="58" t="str">
        <f t="shared" ca="1" si="1826"/>
        <v>X</v>
      </c>
      <c r="AX419" s="58" t="str">
        <f t="shared" ca="1" si="1826"/>
        <v>X</v>
      </c>
      <c r="AY419" s="58" t="str">
        <f t="shared" ca="1" si="1826"/>
        <v>X</v>
      </c>
      <c r="AZ419" s="58" t="str">
        <f t="shared" ca="1" si="1826"/>
        <v>X</v>
      </c>
      <c r="BA419" s="58" t="str">
        <f t="shared" ca="1" si="1826"/>
        <v>X</v>
      </c>
      <c r="BB419" s="58" t="str">
        <f t="shared" ca="1" si="1826"/>
        <v>X</v>
      </c>
      <c r="BC419" s="58" t="str">
        <f t="shared" ca="1" si="1826"/>
        <v>X</v>
      </c>
      <c r="BD419" s="58" t="str">
        <f t="shared" ca="1" si="1826"/>
        <v>X</v>
      </c>
      <c r="BE419" s="58" t="str">
        <f t="shared" ca="1" si="1826"/>
        <v>X</v>
      </c>
      <c r="BF419" s="58" t="str">
        <f t="shared" ca="1" si="1826"/>
        <v>X</v>
      </c>
      <c r="BG419" s="58" t="str">
        <f t="shared" ca="1" si="1826"/>
        <v>X</v>
      </c>
      <c r="BH419" s="58" t="str">
        <f t="shared" ca="1" si="1826"/>
        <v>X</v>
      </c>
      <c r="BI419" s="58" t="str">
        <f t="shared" ca="1" si="1826"/>
        <v>X</v>
      </c>
      <c r="BJ419" s="58" t="str">
        <f t="shared" ca="1" si="1826"/>
        <v>X</v>
      </c>
      <c r="BK419" s="58" t="str">
        <f t="shared" ca="1" si="1826"/>
        <v>X</v>
      </c>
      <c r="BL419" s="58" t="str">
        <f t="shared" ca="1" si="1826"/>
        <v>X</v>
      </c>
      <c r="BM419" s="58" t="str">
        <f t="shared" ca="1" si="1826"/>
        <v>X</v>
      </c>
      <c r="BN419" s="58" t="str">
        <f t="shared" ca="1" si="1826"/>
        <v>X</v>
      </c>
      <c r="BO419" s="58" t="str">
        <f t="shared" ca="1" si="1826"/>
        <v>X</v>
      </c>
      <c r="BP419" s="58" t="str">
        <f t="shared" ca="1" si="1826"/>
        <v>X</v>
      </c>
      <c r="BQ419" s="58" t="str">
        <f t="shared" ca="1" si="1826"/>
        <v>X</v>
      </c>
      <c r="BR419" s="58" t="str">
        <f t="shared" ca="1" si="1826"/>
        <v>X</v>
      </c>
      <c r="BS419" s="58" t="str">
        <f t="shared" ca="1" si="1826"/>
        <v>X</v>
      </c>
      <c r="BT419" s="58" t="str">
        <f t="shared" ca="1" si="1826"/>
        <v>X</v>
      </c>
      <c r="BU419" s="58" t="str">
        <f t="shared" ca="1" si="1826"/>
        <v>X</v>
      </c>
      <c r="BV419" s="58" t="str">
        <f t="shared" ca="1" si="1826"/>
        <v>X</v>
      </c>
      <c r="BW419" s="58" t="str">
        <f t="shared" ca="1" si="1826"/>
        <v>X</v>
      </c>
      <c r="BX419" s="58" t="str">
        <f t="shared" ca="1" si="1826"/>
        <v>X</v>
      </c>
      <c r="BY419" s="58" t="str">
        <f t="shared" ca="1" si="1826"/>
        <v>X</v>
      </c>
      <c r="BZ419" s="58" t="str">
        <f t="shared" ca="1" si="1826"/>
        <v>X</v>
      </c>
      <c r="CA419" s="58" t="str">
        <f t="shared" ca="1" si="1826"/>
        <v>X</v>
      </c>
      <c r="CB419" s="58" t="str">
        <f t="shared" ca="1" si="1826"/>
        <v>X</v>
      </c>
      <c r="CC419" s="58" t="str">
        <f t="shared" ca="1" si="1826"/>
        <v>X</v>
      </c>
      <c r="CD419" s="58" t="str">
        <f t="shared" ca="1" si="1826"/>
        <v>X</v>
      </c>
      <c r="CE419" s="58" t="str">
        <f t="shared" ca="1" si="1826"/>
        <v>X</v>
      </c>
      <c r="CF419" s="58" t="str">
        <f t="shared" ca="1" si="1826"/>
        <v>X</v>
      </c>
      <c r="CG419" s="58" t="str">
        <f t="shared" ca="1" si="1826"/>
        <v>X</v>
      </c>
      <c r="CH419" s="58" t="str">
        <f t="shared" ca="1" si="1826"/>
        <v>X</v>
      </c>
      <c r="CI419" s="58" t="str">
        <f t="shared" ca="1" si="1826"/>
        <v>X</v>
      </c>
      <c r="CJ419" s="58" t="str">
        <f t="shared" ca="1" si="1826"/>
        <v>X</v>
      </c>
      <c r="CK419" s="58" t="str">
        <f t="shared" ca="1" si="1826"/>
        <v>X</v>
      </c>
      <c r="CL419" s="58" t="str">
        <f t="shared" ca="1" si="1826"/>
        <v>X</v>
      </c>
      <c r="CM419" s="58" t="str">
        <f t="shared" ca="1" si="1826"/>
        <v>X</v>
      </c>
      <c r="CN419" s="58" t="str">
        <f t="shared" ca="1" si="1826"/>
        <v>X</v>
      </c>
      <c r="CO419" s="58" t="str">
        <f t="shared" ca="1" si="1826"/>
        <v>X</v>
      </c>
      <c r="CP419" s="58" t="str">
        <f t="shared" ca="1" si="1826"/>
        <v>X</v>
      </c>
      <c r="CQ419" s="58" t="str">
        <f t="shared" ca="1" si="1826"/>
        <v>X</v>
      </c>
      <c r="CR419" s="58" t="str">
        <f t="shared" ca="1" si="1826"/>
        <v>X</v>
      </c>
      <c r="CS419" s="58" t="str">
        <f t="shared" ca="1" si="1826"/>
        <v>X</v>
      </c>
      <c r="CT419" s="58" t="str">
        <f t="shared" ca="1" si="1826"/>
        <v>X</v>
      </c>
      <c r="CU419" s="58" t="str">
        <f t="shared" ca="1" si="1826"/>
        <v>X</v>
      </c>
      <c r="CV419" s="58" t="str">
        <f t="shared" ca="1" si="1826"/>
        <v>X</v>
      </c>
      <c r="CW419" s="58" t="str">
        <f t="shared" ca="1" si="1826"/>
        <v>X</v>
      </c>
      <c r="CX419" s="58" t="str">
        <f t="shared" ca="1" si="1826"/>
        <v>X</v>
      </c>
      <c r="CY419" s="58" t="str">
        <f t="shared" ca="1" si="1826"/>
        <v>X</v>
      </c>
      <c r="CZ419" s="58" t="str">
        <f t="shared" ca="1" si="1826"/>
        <v>X</v>
      </c>
      <c r="DA419" s="58" t="str">
        <f t="shared" ca="1" si="1826"/>
        <v>X</v>
      </c>
      <c r="DB419" s="58" t="str">
        <f t="shared" ca="1" si="1826"/>
        <v>X</v>
      </c>
      <c r="DC419" s="58" t="str">
        <f t="shared" ca="1" si="1826"/>
        <v>X</v>
      </c>
      <c r="DD419" s="58" t="str">
        <f t="shared" ca="1" si="1826"/>
        <v>X</v>
      </c>
      <c r="DE419" s="58" t="str">
        <f t="shared" ca="1" si="1826"/>
        <v>X</v>
      </c>
      <c r="DF419" s="58" t="str">
        <f t="shared" ca="1" si="1826"/>
        <v>X</v>
      </c>
      <c r="DG419" s="58" t="str">
        <f t="shared" ca="1" si="1826"/>
        <v>X</v>
      </c>
      <c r="DH419" s="58" t="str">
        <f t="shared" ca="1" si="1826"/>
        <v>X</v>
      </c>
      <c r="DI419" s="58" t="str">
        <f t="shared" ca="1" si="1826"/>
        <v>X</v>
      </c>
      <c r="DJ419" s="58" t="str">
        <f t="shared" ca="1" si="1826"/>
        <v>X</v>
      </c>
      <c r="DK419" s="58" t="str">
        <f t="shared" ca="1" si="1826"/>
        <v>X</v>
      </c>
      <c r="DL419" s="58" t="str">
        <f t="shared" ca="1" si="1826"/>
        <v>X</v>
      </c>
      <c r="DM419" s="58" t="str">
        <f t="shared" ca="1" si="1826"/>
        <v>X</v>
      </c>
      <c r="DN419" s="58" t="str">
        <f t="shared" ca="1" si="1826"/>
        <v>X</v>
      </c>
      <c r="DO419" s="58" t="str">
        <f t="shared" ca="1" si="1826"/>
        <v>X</v>
      </c>
      <c r="DP419" s="58" t="str">
        <f t="shared" ca="1" si="1826"/>
        <v>X</v>
      </c>
      <c r="DQ419" s="58" t="str">
        <f t="shared" ca="1" si="1826"/>
        <v>X</v>
      </c>
      <c r="DR419" s="58" t="str">
        <f t="shared" ca="1" si="1826"/>
        <v>X</v>
      </c>
      <c r="DS419" s="58" t="str">
        <f t="shared" ca="1" si="1826"/>
        <v>X</v>
      </c>
      <c r="DT419" s="58" t="str">
        <f t="shared" ca="1" si="1826"/>
        <v>X</v>
      </c>
      <c r="DU419" s="58" t="str">
        <f t="shared" ca="1" si="1826"/>
        <v>X</v>
      </c>
      <c r="DV419" s="58" t="str">
        <f t="shared" ca="1" si="1826"/>
        <v>X</v>
      </c>
      <c r="DW419" s="58" t="str">
        <f t="shared" ca="1" si="1826"/>
        <v>X</v>
      </c>
      <c r="DX419" s="58" t="str">
        <f t="shared" ca="1" si="1826"/>
        <v>X</v>
      </c>
      <c r="DY419" s="58" t="str">
        <f t="shared" ca="1" si="1826"/>
        <v>X</v>
      </c>
      <c r="DZ419" s="58" t="str">
        <f t="shared" ca="1" si="1826"/>
        <v>X</v>
      </c>
      <c r="EA419" s="58" t="str">
        <f t="shared" ca="1" si="1826"/>
        <v>X</v>
      </c>
      <c r="EB419" s="58" t="str">
        <f t="shared" ca="1" si="1826"/>
        <v>X</v>
      </c>
      <c r="EC419" s="58" t="str">
        <f t="shared" ca="1" si="1826"/>
        <v>X</v>
      </c>
      <c r="ED419" s="58" t="str">
        <f t="shared" ca="1" si="1826"/>
        <v>X</v>
      </c>
      <c r="EE419" s="58" t="str">
        <f t="shared" ca="1" si="1826"/>
        <v>X</v>
      </c>
      <c r="EF419" s="58" t="str">
        <f t="shared" ca="1" si="1826"/>
        <v>X</v>
      </c>
      <c r="EG419" s="58" t="str">
        <f t="shared" ca="1" si="1826"/>
        <v>X</v>
      </c>
      <c r="EH419" s="58" t="str">
        <f t="shared" ca="1" si="1826"/>
        <v>X</v>
      </c>
      <c r="EI419" s="58" t="str">
        <f t="shared" ca="1" si="1826"/>
        <v>X</v>
      </c>
      <c r="EJ419" s="58" t="str">
        <f t="shared" ca="1" si="1826"/>
        <v>X</v>
      </c>
      <c r="EK419" s="58" t="str">
        <f t="shared" ca="1" si="1826"/>
        <v>X</v>
      </c>
      <c r="EL419" s="58" t="str">
        <f t="shared" ca="1" si="1826"/>
        <v>X</v>
      </c>
      <c r="EM419" s="58" t="str">
        <f t="shared" ca="1" si="1826"/>
        <v>X</v>
      </c>
      <c r="EN419" s="58">
        <f t="shared" ca="1" si="1826"/>
        <v>46254</v>
      </c>
      <c r="EO419" s="58">
        <f t="shared" ca="1" si="1826"/>
        <v>46254</v>
      </c>
      <c r="EP419" s="58">
        <f t="shared" ca="1" si="1826"/>
        <v>46254</v>
      </c>
      <c r="EQ419" s="58" t="str">
        <f t="shared" ca="1" si="1826"/>
        <v>X</v>
      </c>
      <c r="ER419" s="58" t="str">
        <f t="shared" ca="1" si="1826"/>
        <v>X</v>
      </c>
      <c r="ES419" s="58" t="str">
        <f t="shared" ca="1" si="1826"/>
        <v>X</v>
      </c>
      <c r="ET419" s="58" t="str">
        <f t="shared" ca="1" si="1826"/>
        <v>X</v>
      </c>
      <c r="EU419" s="58" t="str">
        <f t="shared" ca="1" si="1826"/>
        <v>X</v>
      </c>
      <c r="EV419" s="58" t="str">
        <f t="shared" ca="1" si="1826"/>
        <v>X</v>
      </c>
      <c r="EW419" s="58" t="str">
        <f t="shared" ca="1" si="1826"/>
        <v>X</v>
      </c>
      <c r="EX419" s="58" t="str">
        <f t="shared" ca="1" si="1826"/>
        <v>X</v>
      </c>
      <c r="EY419" s="58" t="str">
        <f t="shared" ca="1" si="1826"/>
        <v>X</v>
      </c>
      <c r="EZ419" s="58" t="str">
        <f t="shared" ca="1" si="1826"/>
        <v>X</v>
      </c>
      <c r="FA419" s="58" t="str">
        <f t="shared" ca="1" si="1826"/>
        <v>X</v>
      </c>
      <c r="FB419" s="58">
        <f t="shared" ca="1" si="1826"/>
        <v>46268</v>
      </c>
      <c r="FC419" s="58">
        <f t="shared" ca="1" si="1826"/>
        <v>46268</v>
      </c>
      <c r="FD419" s="58">
        <f t="shared" ca="1" si="1826"/>
        <v>46268</v>
      </c>
      <c r="FE419" s="58" t="str">
        <f t="shared" ca="1" si="1826"/>
        <v>X</v>
      </c>
      <c r="FF419" s="58" t="str">
        <f t="shared" ca="1" si="1826"/>
        <v>X</v>
      </c>
      <c r="FG419" s="58">
        <f t="shared" ca="1" si="1826"/>
        <v>46326</v>
      </c>
      <c r="FH419" s="58">
        <f t="shared" ca="1" si="1826"/>
        <v>46326</v>
      </c>
      <c r="FI419" s="58">
        <f t="shared" ca="1" si="1826"/>
        <v>46326</v>
      </c>
      <c r="FJ419" s="58" t="str">
        <f t="shared" ca="1" si="1826"/>
        <v>X</v>
      </c>
      <c r="FK419" s="58" t="str">
        <f t="shared" ca="1" si="1826"/>
        <v>X</v>
      </c>
      <c r="FL419" s="58" t="str">
        <f t="shared" ca="1" si="1826"/>
        <v>X</v>
      </c>
      <c r="FM419" s="58" t="str">
        <f t="shared" ca="1" si="1826"/>
        <v>X</v>
      </c>
      <c r="FN419" s="58" t="str">
        <f t="shared" ca="1" si="1826"/>
        <v>X</v>
      </c>
      <c r="FO419" s="58" t="str">
        <f t="shared" ca="1" si="1826"/>
        <v>X</v>
      </c>
      <c r="FP419" s="58">
        <f t="shared" ca="1" si="1826"/>
        <v>46296</v>
      </c>
      <c r="FQ419" s="58">
        <f t="shared" ca="1" si="1826"/>
        <v>46296</v>
      </c>
      <c r="FR419" s="58">
        <f t="shared" ca="1" si="1826"/>
        <v>46296</v>
      </c>
      <c r="FS419" s="58" t="str">
        <f t="shared" ca="1" si="1826"/>
        <v>X</v>
      </c>
      <c r="FT419" s="58" t="str">
        <f t="shared" ca="1" si="1826"/>
        <v>X</v>
      </c>
      <c r="FU419" s="58">
        <f t="shared" ca="1" si="1826"/>
        <v>46340</v>
      </c>
      <c r="FV419" s="58">
        <f t="shared" ca="1" si="1826"/>
        <v>46340</v>
      </c>
      <c r="FW419" s="58">
        <f t="shared" ca="1" si="1826"/>
        <v>46340</v>
      </c>
      <c r="FX419" s="58" t="str">
        <f t="shared" ca="1" si="1826"/>
        <v>X</v>
      </c>
      <c r="FY419" s="58" t="str">
        <f t="shared" ca="1" si="1826"/>
        <v>X</v>
      </c>
      <c r="FZ419" s="58" t="str">
        <f t="shared" ca="1" si="1826"/>
        <v>X</v>
      </c>
      <c r="GA419" s="58" t="str">
        <f t="shared" ca="1" si="1826"/>
        <v>X</v>
      </c>
      <c r="GB419" s="58" t="str">
        <f t="shared" ca="1" si="1826"/>
        <v>X</v>
      </c>
      <c r="GC419" s="58" t="str">
        <f t="shared" ca="1" si="1826"/>
        <v>X</v>
      </c>
      <c r="GD419" s="58">
        <f t="shared" ca="1" si="1826"/>
        <v>46332</v>
      </c>
      <c r="GE419" s="58">
        <f t="shared" ca="1" si="1826"/>
        <v>46332</v>
      </c>
      <c r="GF419" s="58">
        <f t="shared" ca="1" si="1826"/>
        <v>46332</v>
      </c>
      <c r="GG419" s="58" t="str">
        <f t="shared" ca="1" si="1826"/>
        <v>X</v>
      </c>
      <c r="GH419" s="58" t="str">
        <f t="shared" ca="1" si="1826"/>
        <v>X</v>
      </c>
      <c r="GI419" s="58" t="str">
        <f t="shared" ca="1" si="1826"/>
        <v>X</v>
      </c>
      <c r="GJ419" s="58" t="str">
        <f t="shared" ca="1" si="1826"/>
        <v>X</v>
      </c>
      <c r="GK419" s="58" t="str">
        <f t="shared" ca="1" si="1826"/>
        <v>X</v>
      </c>
      <c r="GL419" s="58" t="str">
        <f t="shared" ca="1" si="1826"/>
        <v>X</v>
      </c>
      <c r="GM419" s="58" t="str">
        <f t="shared" ca="1" si="1826"/>
        <v>X</v>
      </c>
      <c r="GN419" s="58" t="str">
        <f t="shared" ca="1" si="1826"/>
        <v>X</v>
      </c>
      <c r="GO419" s="58" t="str">
        <f t="shared" ca="1" si="1826"/>
        <v>X</v>
      </c>
      <c r="GP419" s="58" t="str">
        <f t="shared" ca="1" si="1826"/>
        <v>X</v>
      </c>
      <c r="GQ419" s="58" t="str">
        <f t="shared" ca="1" si="1826"/>
        <v>X</v>
      </c>
      <c r="GR419" s="58">
        <f t="shared" ca="1" si="1826"/>
        <v>46367</v>
      </c>
      <c r="GS419" s="80">
        <f t="shared" ca="1" si="1826"/>
        <v>46367</v>
      </c>
      <c r="GT419" s="58">
        <f t="shared" ca="1" si="1826"/>
        <v>46367</v>
      </c>
      <c r="GU419" s="82" t="str">
        <f t="shared" ca="1" si="1617"/>
        <v>X</v>
      </c>
      <c r="GV419" s="58" t="str">
        <f t="shared" ca="1" si="1618"/>
        <v>X</v>
      </c>
      <c r="GW419" s="58" t="str">
        <f t="shared" ca="1" si="1619"/>
        <v>X</v>
      </c>
      <c r="GX419" s="58" t="str">
        <f t="shared" ca="1" si="1620"/>
        <v>X</v>
      </c>
      <c r="GY419" s="58" t="str">
        <f t="shared" ca="1" si="1621"/>
        <v>X</v>
      </c>
      <c r="GZ419" s="58" t="str">
        <f t="shared" ca="1" si="1622"/>
        <v>X</v>
      </c>
      <c r="HA419" s="58" t="str">
        <f t="shared" ca="1" si="1623"/>
        <v>X</v>
      </c>
      <c r="HB419" s="58" t="str">
        <f t="shared" ca="1" si="1624"/>
        <v>X</v>
      </c>
      <c r="HC419" s="58" t="str">
        <f t="shared" ca="1" si="1625"/>
        <v>X</v>
      </c>
      <c r="HD419" s="58" t="str">
        <f t="shared" ca="1" si="1626"/>
        <v>X</v>
      </c>
      <c r="HE419" s="58" t="str">
        <f t="shared" ca="1" si="1627"/>
        <v>X</v>
      </c>
      <c r="HF419" s="58" t="str">
        <f t="shared" ca="1" si="1628"/>
        <v>X</v>
      </c>
      <c r="HG419" s="58" t="str">
        <f t="shared" ca="1" si="1629"/>
        <v>X</v>
      </c>
      <c r="HH419" s="58" t="str">
        <f t="shared" ca="1" si="1630"/>
        <v>X</v>
      </c>
      <c r="HI419" s="58" t="str">
        <f t="shared" ca="1" si="1631"/>
        <v>X</v>
      </c>
      <c r="HJ419" s="58" t="str">
        <f t="shared" ca="1" si="1632"/>
        <v>X</v>
      </c>
      <c r="HK419" s="58" t="str">
        <f t="shared" ca="1" si="1633"/>
        <v>X</v>
      </c>
      <c r="HL419" s="58" t="str">
        <f t="shared" ca="1" si="1634"/>
        <v>X</v>
      </c>
      <c r="HM419" s="58" t="str">
        <f t="shared" ca="1" si="1635"/>
        <v>X</v>
      </c>
      <c r="HN419" s="58" t="str">
        <f t="shared" ca="1" si="1636"/>
        <v>X</v>
      </c>
      <c r="HO419" s="58" t="str">
        <f t="shared" ca="1" si="1637"/>
        <v>X</v>
      </c>
      <c r="HP419" s="58" t="str">
        <f t="shared" ca="1" si="1638"/>
        <v>X</v>
      </c>
      <c r="HQ419" s="58" t="str">
        <f t="shared" ca="1" si="1639"/>
        <v>X</v>
      </c>
      <c r="HR419" s="58" t="str">
        <f t="shared" ca="1" si="1640"/>
        <v>X</v>
      </c>
      <c r="HS419" s="58" t="str">
        <f t="shared" ca="1" si="1641"/>
        <v>X</v>
      </c>
      <c r="HT419" s="58" t="str">
        <f t="shared" ca="1" si="1642"/>
        <v>X</v>
      </c>
      <c r="HU419" s="58" t="str">
        <f t="shared" ca="1" si="1643"/>
        <v>X</v>
      </c>
      <c r="HV419" s="58" t="str">
        <f t="shared" ca="1" si="1644"/>
        <v>X</v>
      </c>
      <c r="HW419" s="58" t="str">
        <f t="shared" ca="1" si="1645"/>
        <v>X</v>
      </c>
      <c r="HX419" s="58" t="str">
        <f t="shared" ca="1" si="1646"/>
        <v>X</v>
      </c>
      <c r="HY419" s="58" t="str">
        <f t="shared" ca="1" si="1647"/>
        <v>X</v>
      </c>
      <c r="HZ419" s="58" t="str">
        <f t="shared" ca="1" si="1648"/>
        <v>X</v>
      </c>
      <c r="IA419" s="58" t="str">
        <f t="shared" ca="1" si="1649"/>
        <v>X</v>
      </c>
      <c r="IB419" s="58" t="str">
        <f t="shared" ca="1" si="1650"/>
        <v>X</v>
      </c>
      <c r="IC419" s="58" t="str">
        <f t="shared" ca="1" si="1651"/>
        <v>X</v>
      </c>
      <c r="ID419" s="58" t="str">
        <f t="shared" ca="1" si="1652"/>
        <v>X</v>
      </c>
      <c r="IE419" s="58" t="str">
        <f t="shared" ca="1" si="1653"/>
        <v>X</v>
      </c>
      <c r="IF419" s="58" t="str">
        <f t="shared" ca="1" si="1654"/>
        <v>X</v>
      </c>
      <c r="IG419" s="58" t="str">
        <f t="shared" ca="1" si="1655"/>
        <v>X</v>
      </c>
      <c r="IH419" s="58" t="str">
        <f t="shared" ca="1" si="1656"/>
        <v>X</v>
      </c>
      <c r="II419" s="58" t="str">
        <f t="shared" ca="1" si="1657"/>
        <v>X</v>
      </c>
      <c r="IJ419" s="58" t="str">
        <f t="shared" ca="1" si="1658"/>
        <v>X</v>
      </c>
      <c r="IK419" s="58" t="str">
        <f t="shared" ca="1" si="1659"/>
        <v>X</v>
      </c>
      <c r="IL419" s="58" t="str">
        <f t="shared" ca="1" si="1660"/>
        <v>X</v>
      </c>
      <c r="IM419" s="58" t="str">
        <f t="shared" ca="1" si="1661"/>
        <v>X</v>
      </c>
      <c r="IN419" s="58" t="str">
        <f t="shared" ca="1" si="1662"/>
        <v>X</v>
      </c>
      <c r="IO419" s="58" t="str">
        <f t="shared" ca="1" si="1663"/>
        <v>X</v>
      </c>
      <c r="IP419" s="58" t="str">
        <f t="shared" ca="1" si="1664"/>
        <v>X</v>
      </c>
      <c r="IQ419" s="58" t="str">
        <f t="shared" ca="1" si="1665"/>
        <v>X</v>
      </c>
      <c r="IR419" s="58" t="str">
        <f t="shared" ca="1" si="1666"/>
        <v>X</v>
      </c>
      <c r="IS419" s="58" t="str">
        <f t="shared" ca="1" si="1667"/>
        <v>X</v>
      </c>
      <c r="IT419" s="58" t="str">
        <f t="shared" ca="1" si="1668"/>
        <v>X</v>
      </c>
      <c r="IU419" s="58" t="str">
        <f t="shared" ca="1" si="1669"/>
        <v>X</v>
      </c>
      <c r="IV419" s="58" t="str">
        <f t="shared" ca="1" si="1670"/>
        <v>X</v>
      </c>
      <c r="IW419" s="58" t="str">
        <f t="shared" ca="1" si="1671"/>
        <v>X</v>
      </c>
      <c r="IX419" s="58" t="str">
        <f t="shared" ca="1" si="1672"/>
        <v>X</v>
      </c>
      <c r="IY419" s="58" t="str">
        <f t="shared" ca="1" si="1673"/>
        <v>X</v>
      </c>
      <c r="IZ419" s="58" t="str">
        <f t="shared" ca="1" si="1674"/>
        <v>X</v>
      </c>
      <c r="JA419" s="58" t="str">
        <f t="shared" ca="1" si="1675"/>
        <v>X</v>
      </c>
      <c r="JB419" s="58" t="str">
        <f t="shared" ca="1" si="1676"/>
        <v>X</v>
      </c>
      <c r="JC419" s="58" t="str">
        <f t="shared" ca="1" si="1677"/>
        <v>X</v>
      </c>
      <c r="JD419" s="58" t="str">
        <f t="shared" ca="1" si="1678"/>
        <v>X</v>
      </c>
      <c r="JE419" s="58" t="str">
        <f t="shared" ca="1" si="1679"/>
        <v>X</v>
      </c>
      <c r="JF419" s="58" t="str">
        <f t="shared" ca="1" si="1680"/>
        <v>X</v>
      </c>
      <c r="JG419" s="58" t="str">
        <f t="shared" ca="1" si="1681"/>
        <v>X</v>
      </c>
      <c r="JH419" s="58" t="str">
        <f t="shared" ca="1" si="1682"/>
        <v>X</v>
      </c>
      <c r="JI419" s="58" t="str">
        <f t="shared" ca="1" si="1683"/>
        <v>X</v>
      </c>
      <c r="JJ419" s="58" t="str">
        <f t="shared" ca="1" si="1684"/>
        <v>X</v>
      </c>
      <c r="JK419" s="58" t="str">
        <f t="shared" ca="1" si="1685"/>
        <v>X</v>
      </c>
      <c r="JL419" s="58" t="str">
        <f t="shared" ca="1" si="1686"/>
        <v>X</v>
      </c>
      <c r="JM419" s="58" t="str">
        <f t="shared" ca="1" si="1687"/>
        <v>X</v>
      </c>
      <c r="JN419" s="58" t="str">
        <f t="shared" ca="1" si="1688"/>
        <v>X</v>
      </c>
      <c r="JO419" s="58" t="str">
        <f t="shared" ca="1" si="1689"/>
        <v>X</v>
      </c>
      <c r="JP419" s="58" t="str">
        <f t="shared" ca="1" si="1690"/>
        <v>X</v>
      </c>
      <c r="JQ419" s="58" t="str">
        <f t="shared" ca="1" si="1691"/>
        <v>X</v>
      </c>
      <c r="JR419" s="58" t="str">
        <f t="shared" ca="1" si="1692"/>
        <v>X</v>
      </c>
      <c r="JS419" s="58" t="str">
        <f t="shared" ca="1" si="1693"/>
        <v>X</v>
      </c>
      <c r="JT419" s="58" t="str">
        <f t="shared" ca="1" si="1694"/>
        <v>X</v>
      </c>
      <c r="JU419" s="58" t="str">
        <f t="shared" ca="1" si="1695"/>
        <v>X</v>
      </c>
      <c r="JV419" s="58" t="str">
        <f t="shared" ca="1" si="1696"/>
        <v>X</v>
      </c>
      <c r="JW419" s="58" t="str">
        <f t="shared" ca="1" si="1697"/>
        <v>X</v>
      </c>
      <c r="JX419" s="58" t="str">
        <f t="shared" ca="1" si="1698"/>
        <v>X</v>
      </c>
      <c r="JY419" s="58" t="str">
        <f t="shared" ca="1" si="1699"/>
        <v>X</v>
      </c>
      <c r="JZ419" s="58" t="str">
        <f t="shared" ca="1" si="1700"/>
        <v>X</v>
      </c>
      <c r="KA419" s="58" t="str">
        <f t="shared" ca="1" si="1701"/>
        <v>X</v>
      </c>
      <c r="KB419" s="58" t="str">
        <f t="shared" ca="1" si="1702"/>
        <v>X</v>
      </c>
      <c r="KC419" s="58" t="str">
        <f t="shared" ca="1" si="1703"/>
        <v>X</v>
      </c>
      <c r="KD419" s="58" t="str">
        <f t="shared" ca="1" si="1704"/>
        <v>X</v>
      </c>
      <c r="KE419" s="58" t="str">
        <f t="shared" ca="1" si="1705"/>
        <v>X</v>
      </c>
      <c r="KF419" s="58" t="str">
        <f t="shared" ca="1" si="1706"/>
        <v>X</v>
      </c>
      <c r="KG419" s="58" t="str">
        <f t="shared" ca="1" si="1707"/>
        <v>X</v>
      </c>
      <c r="KH419" s="58" t="str">
        <f t="shared" ca="1" si="1708"/>
        <v>X</v>
      </c>
      <c r="KI419" s="58" t="str">
        <f t="shared" ca="1" si="1709"/>
        <v>X</v>
      </c>
      <c r="KJ419" s="58" t="str">
        <f t="shared" ca="1" si="1710"/>
        <v>X</v>
      </c>
      <c r="KK419" s="58" t="str">
        <f t="shared" ca="1" si="1711"/>
        <v>X</v>
      </c>
      <c r="KL419" s="58" t="str">
        <f t="shared" ca="1" si="1712"/>
        <v>X</v>
      </c>
      <c r="KM419" s="58" t="str">
        <f t="shared" ca="1" si="1713"/>
        <v>X</v>
      </c>
      <c r="KN419" s="58" t="str">
        <f t="shared" ca="1" si="1714"/>
        <v>X</v>
      </c>
      <c r="KO419" s="58" t="str">
        <f t="shared" ca="1" si="1715"/>
        <v>X</v>
      </c>
      <c r="KP419" s="58" t="str">
        <f t="shared" ca="1" si="1716"/>
        <v>X</v>
      </c>
      <c r="KQ419" s="58" t="str">
        <f t="shared" ca="1" si="1717"/>
        <v>X</v>
      </c>
      <c r="KR419" s="58" t="str">
        <f t="shared" ca="1" si="1718"/>
        <v>X</v>
      </c>
      <c r="KS419" s="58" t="str">
        <f t="shared" ca="1" si="1719"/>
        <v>X</v>
      </c>
      <c r="KT419" s="58" t="str">
        <f t="shared" ca="1" si="1720"/>
        <v>X</v>
      </c>
      <c r="KU419" s="58" t="str">
        <f t="shared" ca="1" si="1721"/>
        <v>X</v>
      </c>
      <c r="KV419" s="58" t="str">
        <f t="shared" ca="1" si="1722"/>
        <v>X</v>
      </c>
      <c r="KW419" s="58" t="str">
        <f t="shared" ca="1" si="1723"/>
        <v>X</v>
      </c>
      <c r="KX419" s="58" t="str">
        <f t="shared" ca="1" si="1724"/>
        <v>X</v>
      </c>
      <c r="KY419" s="58" t="str">
        <f t="shared" ca="1" si="1725"/>
        <v>X</v>
      </c>
      <c r="KZ419" s="58">
        <f t="shared" ca="1" si="1726"/>
        <v>46261</v>
      </c>
      <c r="LA419" s="58">
        <f t="shared" ca="1" si="1727"/>
        <v>46261</v>
      </c>
      <c r="LB419" s="58">
        <f t="shared" ca="1" si="1728"/>
        <v>46261</v>
      </c>
      <c r="LC419" s="58" t="str">
        <f t="shared" ca="1" si="1729"/>
        <v>X</v>
      </c>
      <c r="LD419" s="58" t="str">
        <f t="shared" ca="1" si="1730"/>
        <v>X</v>
      </c>
      <c r="LE419" s="58" t="str">
        <f t="shared" ca="1" si="1731"/>
        <v>X</v>
      </c>
      <c r="LF419" s="58" t="str">
        <f t="shared" ca="1" si="1732"/>
        <v>X</v>
      </c>
      <c r="LG419" s="58" t="str">
        <f t="shared" ca="1" si="1733"/>
        <v>X</v>
      </c>
      <c r="LH419" s="58" t="str">
        <f t="shared" ca="1" si="1734"/>
        <v>X</v>
      </c>
      <c r="LI419" s="58" t="str">
        <f t="shared" ca="1" si="1735"/>
        <v>X</v>
      </c>
      <c r="LJ419" s="58" t="str">
        <f t="shared" ca="1" si="1736"/>
        <v>X</v>
      </c>
      <c r="LK419" s="58" t="str">
        <f t="shared" ca="1" si="1737"/>
        <v>X</v>
      </c>
      <c r="LL419" s="58" t="str">
        <f t="shared" ca="1" si="1738"/>
        <v>X</v>
      </c>
      <c r="LM419" s="58" t="str">
        <f t="shared" ca="1" si="1739"/>
        <v>X</v>
      </c>
      <c r="LN419" s="58">
        <f t="shared" ca="1" si="1740"/>
        <v>46289</v>
      </c>
      <c r="LO419" s="58">
        <f t="shared" ca="1" si="1741"/>
        <v>46289</v>
      </c>
      <c r="LP419" s="58">
        <f t="shared" ca="1" si="1742"/>
        <v>46289</v>
      </c>
      <c r="LQ419" s="58" t="str">
        <f t="shared" ca="1" si="1743"/>
        <v>X</v>
      </c>
      <c r="LR419" s="58" t="str">
        <f t="shared" ca="1" si="1744"/>
        <v>X</v>
      </c>
      <c r="LS419" s="58">
        <f t="shared" ca="1" si="1745"/>
        <v>46326</v>
      </c>
      <c r="LT419" s="58">
        <f t="shared" ca="1" si="1746"/>
        <v>46326</v>
      </c>
      <c r="LU419" s="58">
        <f t="shared" ca="1" si="1747"/>
        <v>46326</v>
      </c>
      <c r="LV419" s="58" t="str">
        <f t="shared" ca="1" si="1748"/>
        <v>X</v>
      </c>
      <c r="LW419" s="58" t="str">
        <f t="shared" ca="1" si="1749"/>
        <v>X</v>
      </c>
      <c r="LX419" s="58" t="str">
        <f t="shared" ca="1" si="1750"/>
        <v>X</v>
      </c>
      <c r="LY419" s="58" t="str">
        <f t="shared" ca="1" si="1751"/>
        <v>X</v>
      </c>
      <c r="LZ419" s="58" t="str">
        <f t="shared" ca="1" si="1752"/>
        <v>X</v>
      </c>
      <c r="MA419" s="58" t="str">
        <f t="shared" ca="1" si="1753"/>
        <v>X</v>
      </c>
      <c r="MB419" s="58">
        <f t="shared" ca="1" si="1754"/>
        <v>46317</v>
      </c>
      <c r="MC419" s="58">
        <f t="shared" ca="1" si="1755"/>
        <v>46317</v>
      </c>
      <c r="MD419" s="58">
        <f t="shared" ca="1" si="1756"/>
        <v>46317</v>
      </c>
      <c r="ME419" s="58" t="str">
        <f t="shared" ca="1" si="1757"/>
        <v>X</v>
      </c>
      <c r="MF419" s="58" t="str">
        <f t="shared" ca="1" si="1758"/>
        <v>X</v>
      </c>
      <c r="MG419" s="58">
        <f t="shared" ca="1" si="1759"/>
        <v>46340</v>
      </c>
      <c r="MH419" s="58">
        <f t="shared" ca="1" si="1760"/>
        <v>46340</v>
      </c>
      <c r="MI419" s="58">
        <f t="shared" ca="1" si="1761"/>
        <v>46340</v>
      </c>
      <c r="MJ419" s="58" t="str">
        <f t="shared" ca="1" si="1762"/>
        <v>X</v>
      </c>
      <c r="MK419" s="58" t="str">
        <f t="shared" ca="1" si="1763"/>
        <v>X</v>
      </c>
      <c r="ML419" s="58" t="str">
        <f t="shared" ca="1" si="1764"/>
        <v>X</v>
      </c>
      <c r="MM419" s="58" t="str">
        <f t="shared" ca="1" si="1765"/>
        <v>X</v>
      </c>
      <c r="MN419" s="58" t="str">
        <f t="shared" ca="1" si="1766"/>
        <v>X</v>
      </c>
      <c r="MO419" s="58" t="str">
        <f t="shared" ca="1" si="1767"/>
        <v>X</v>
      </c>
      <c r="MP419" s="58">
        <f t="shared" ca="1" si="1768"/>
        <v>46332</v>
      </c>
      <c r="MQ419" s="58">
        <f t="shared" ca="1" si="1769"/>
        <v>46332</v>
      </c>
      <c r="MR419" s="58">
        <f t="shared" ca="1" si="1770"/>
        <v>46332</v>
      </c>
      <c r="MS419" s="58" t="str">
        <f t="shared" ca="1" si="1771"/>
        <v>X</v>
      </c>
      <c r="MT419" s="58" t="str">
        <f t="shared" ref="MT419:NE419" ca="1" si="1827">IF($K419=INDIRECT(CONCATENATE("$AG$"&amp;GH$392)),INDIRECT(CONCATENATE("$AG$"&amp;GH$391)),
IF($K419=INDIRECT(CONCATENATE("$AF$"&amp;GH$392)),INDIRECT(CONCATENATE("$AF$"&amp;GH$391)),
IF($K419=INDIRECT(CONCATENATE("$AE$"&amp;GH$392)),INDIRECT(CONCATENATE("$AE$"&amp;GH$391)),
IF($K419=INDIRECT(CONCATENATE("$AD$"&amp;GH$392)),INDIRECT(CONCATENATE("$AD$"&amp;GH$391)),
IF($K419=INDIRECT(CONCATENATE("$AC$"&amp;GH$392)),INDIRECT(CONCATENATE("$AC$"&amp;GH$391)),
IF($K419=INDIRECT(CONCATENATE("$AB$"&amp;GH$392)),INDIRECT(CONCATENATE("$AB$"&amp;GH$391)),
IF($K419=INDIRECT(CONCATENATE("$AA$"&amp;GH$392)),INDIRECT(CONCATENATE("$AA$"&amp;GH$391)),
IF($K419=INDIRECT(CONCATENATE("$Z$"&amp;GH$392)),INDIRECT(CONCATENATE("$Z$"&amp;GH$391)),
IF($K419=INDIRECT(CONCATENATE("$Y$"&amp;GH$392)),INDIRECT(CONCATENATE("$Y$"&amp;GH$391)),
IF($K419=INDIRECT(CONCATENATE("$X$"&amp;GH$392)),INDIRECT(CONCATENATE("$X$"&amp;GH$391)),
IF($K419=INDIRECT(CONCATENATE("$W$"&amp;GH$392)),INDIRECT(CONCATENATE("$W$"&amp;GH$391)),
IF($K419=INDIRECT(CONCATENATE("$V$"&amp;GH$392)),INDIRECT(CONCATENATE("$V$"&amp;GH$391)),
IF($K419=INDIRECT(CONCATENATE("$U$"&amp;GH$392)),INDIRECT(CONCATENATE("$U$"&amp;GH$391)),
IF($K419=INDIRECT(CONCATENATE("$T$"&amp;GH$392)),INDIRECT(CONCATENATE("$T$"&amp;GH$391)),
IF($K419=INDIRECT(CONCATENATE("$S$"&amp;GH$392)),INDIRECT(CONCATENATE("$S$"&amp;GH$391)),
IF($K419=INDIRECT(CONCATENATE("$R$"&amp;GH$392)),INDIRECT(CONCATENATE("$R$"&amp;GH$391)),
IF($K419=INDIRECT(CONCATENATE("$Q$"&amp;GH$392)),INDIRECT(CONCATENATE("$Q$"&amp;GH$391)),
IF($K419=INDIRECT(CONCATENATE("$P$"&amp;GH$392)),INDIRECT(CONCATENATE("$P$"&amp;GH$391)),
IF($K419=INDIRECT(CONCATENATE("$O$"&amp;GH$392)),INDIRECT(CONCATENATE("$O$"&amp;GH$391)),
IF($K419=INDIRECT(CONCATENATE("$N$"&amp;GH$392)),INDIRECT(CONCATENATE("$N$"&amp;GH$391)),
IF($K419=INDIRECT(CONCATENATE("$M$"&amp;GH$392)),INDIRECT(CONCATENATE("$M$"&amp;GH$391)),
IF($K419=INDIRECT(CONCATENATE("$L$"&amp;GH$392)),INDIRECT(CONCATENATE("$L$"&amp;GH$391)),
IF($K419=INDIRECT(CONCATENATE("$K$"&amp;GH$392)),INDIRECT(CONCATENATE("$K$"&amp;GH$391)),
IF($K419=INDIRECT(CONCATENATE("$J$"&amp;GH$392)),INDIRECT(CONCATENATE("$J$"&amp;GH$391)),
IF($K419=INDIRECT(CONCATENATE("$I$"&amp;GH$392)),INDIRECT(CONCATENATE("$I$"&amp;GH$391)),
IF($K419=INDIRECT(CONCATENATE("$H$"&amp;GH$392)),INDIRECT(CONCATENATE("$H$"&amp;GH$391)),
IF($K419=INDIRECT(CONCATENATE("$G$"&amp;GH$392)),INDIRECT(CONCATENATE("$G$"&amp;GH$391)),
IF($K419=INDIRECT(CONCATENATE("$F$"&amp;GH$392)),INDIRECT(CONCATENATE("$F$"&amp;GH$391)),
IF($K419=INDIRECT(CONCATENATE("$E$"&amp;GH$392)),INDIRECT(CONCATENATE("$E$"&amp;GH$391)),
IF($K419=INDIRECT(CONCATENATE("$D$"&amp;GH$392)),INDIRECT(CONCATENATE("$D$"&amp;GH$391)),
IF($K419=INDIRECT(CONCATENATE("$C$"&amp;GH$392)),INDIRECT(CONCATENATE("$C$"&amp;GH$391)),"X")))))))))))))))))))))))))))))))</f>
        <v>X</v>
      </c>
      <c r="MU419" s="58" t="str">
        <f t="shared" ca="1" si="1827"/>
        <v>X</v>
      </c>
      <c r="MV419" s="58" t="str">
        <f t="shared" ca="1" si="1827"/>
        <v>X</v>
      </c>
      <c r="MW419" s="58" t="str">
        <f t="shared" ca="1" si="1827"/>
        <v>X</v>
      </c>
      <c r="MX419" s="58" t="str">
        <f t="shared" ca="1" si="1827"/>
        <v>X</v>
      </c>
      <c r="MY419" s="58" t="str">
        <f t="shared" ca="1" si="1827"/>
        <v>X</v>
      </c>
      <c r="MZ419" s="58" t="str">
        <f t="shared" ca="1" si="1827"/>
        <v>X</v>
      </c>
      <c r="NA419" s="58" t="str">
        <f t="shared" ca="1" si="1827"/>
        <v>X</v>
      </c>
      <c r="NB419" s="58" t="str">
        <f t="shared" ca="1" si="1827"/>
        <v>X</v>
      </c>
      <c r="NC419" s="58" t="str">
        <f t="shared" ca="1" si="1827"/>
        <v>X</v>
      </c>
      <c r="ND419" s="58">
        <f t="shared" ca="1" si="1827"/>
        <v>46379</v>
      </c>
      <c r="NE419" s="58">
        <f t="shared" ca="1" si="1827"/>
        <v>46379</v>
      </c>
      <c r="NF419" s="58">
        <f t="shared" ca="1" si="1773"/>
        <v>46379</v>
      </c>
      <c r="NG419" s="58" t="str">
        <f t="shared" ca="1" si="1774"/>
        <v>X</v>
      </c>
    </row>
    <row r="420" spans="1:371" ht="18" customHeight="1">
      <c r="A420" s="233" t="s">
        <v>111</v>
      </c>
      <c r="B420" s="312"/>
      <c r="C420" s="312"/>
      <c r="D420" s="312"/>
      <c r="E420" s="312"/>
      <c r="F420" s="312"/>
      <c r="G420" s="312"/>
      <c r="H420" s="312"/>
      <c r="I420" s="312"/>
      <c r="J420" s="313"/>
      <c r="K420" s="234" t="s">
        <v>54</v>
      </c>
      <c r="L420" s="313"/>
      <c r="M420" s="60">
        <v>4</v>
      </c>
      <c r="N420" s="225" t="s">
        <v>112</v>
      </c>
      <c r="O420" s="304"/>
      <c r="P420" s="304"/>
      <c r="Q420" s="304"/>
      <c r="R420" s="303"/>
      <c r="S420" s="226" t="s">
        <v>113</v>
      </c>
      <c r="T420" s="304"/>
      <c r="U420" s="303"/>
      <c r="V420" s="227" t="s">
        <v>87</v>
      </c>
      <c r="W420" s="303"/>
      <c r="X420" s="56">
        <f t="shared" ca="1" si="1775"/>
        <v>46277</v>
      </c>
      <c r="Y420" s="56">
        <f t="shared" ca="1" si="1776"/>
        <v>46277</v>
      </c>
      <c r="Z420" s="228" t="str">
        <f t="shared" ca="1" si="1612"/>
        <v>CONCLUÍDA</v>
      </c>
      <c r="AA420" s="304"/>
      <c r="AB420" s="303"/>
      <c r="AC420" s="224">
        <f t="shared" si="1777"/>
        <v>4</v>
      </c>
      <c r="AD420" s="303"/>
      <c r="AE420" s="229">
        <f t="shared" si="1778"/>
        <v>0</v>
      </c>
      <c r="AF420" s="303"/>
      <c r="AG420" s="57" t="str">
        <f t="shared" si="1615"/>
        <v>OK</v>
      </c>
      <c r="AH420" s="21"/>
      <c r="AI420" s="70"/>
      <c r="AJ420" s="58" t="str">
        <f t="shared" ref="AJ420:GT420" ca="1" si="1828">IF($K420=INDIRECT(CONCATENATE("$C$"&amp;AJ$392)), INDIRECT(CONCATENATE("$C$"&amp;AJ$391)),
IF($K420=INDIRECT(CONCATENATE("$D$"&amp;AJ$392)), INDIRECT(CONCATENATE("$D$"&amp;AJ$391)),
IF($K420=INDIRECT(CONCATENATE("$E$"&amp;AJ$392)), INDIRECT(CONCATENATE("$E$"&amp;AJ$391)),
IF($K420=INDIRECT(CONCATENATE("$F$"&amp;AJ$392)), INDIRECT(CONCATENATE("$F$"&amp;AJ$391)),
IF($K420=INDIRECT(CONCATENATE("$G$"&amp;AJ$392)), INDIRECT(CONCATENATE("$G$"&amp;AJ$391)),
IF($K420=INDIRECT(CONCATENATE("$H$"&amp;AJ$392)), INDIRECT(CONCATENATE("$H$"&amp;AJ$391)),
IF($K420=INDIRECT(CONCATENATE("$I$"&amp;AJ$392)), INDIRECT(CONCATENATE("$I$"&amp;AJ$391)),
IF($K420=INDIRECT(CONCATENATE("$J$"&amp;AJ$392)), INDIRECT(CONCATENATE("$J$"&amp;AJ$391)),
IF($K420=INDIRECT(CONCATENATE("$K$"&amp;AJ$392)), INDIRECT(CONCATENATE("$K$"&amp;AJ$391)),
IF($K420=INDIRECT(CONCATENATE("$L$"&amp;AJ$392)), INDIRECT(CONCATENATE("$L$"&amp;AJ$391)),
IF($K420=INDIRECT(CONCATENATE("$M$"&amp;AJ$392)), INDIRECT(CONCATENATE("$M$"&amp;AJ$391)),
IF($K420=INDIRECT(CONCATENATE("$N$"&amp;AJ$392)), INDIRECT(CONCATENATE("$N$"&amp;AJ$391)),
IF($K420=INDIRECT(CONCATENATE("$O$"&amp;AJ$392)), INDIRECT(CONCATENATE("$O$"&amp;AJ$391)),
IF($K420=INDIRECT(CONCATENATE("$P$"&amp;AJ$392)), INDIRECT(CONCATENATE("$P$"&amp;AJ$391)),
IF($K420=INDIRECT(CONCATENATE("$Q$"&amp;AJ$392)), INDIRECT(CONCATENATE("$Q$"&amp;AJ$391)),
IF($K420=INDIRECT(CONCATENATE("$R$"&amp;AJ$392)), INDIRECT(CONCATENATE("$R$"&amp;AJ$391)),
IF($K420=INDIRECT(CONCATENATE("$S$"&amp;AJ$392)), INDIRECT(CONCATENATE("$S$"&amp;AJ$391)),
IF($K420=INDIRECT(CONCATENATE("$T$"&amp;AJ$392)), INDIRECT(CONCATENATE("$T$"&amp;AJ$391)),
IF($K420=INDIRECT(CONCATENATE("$U$"&amp;AJ$392)), INDIRECT(CONCATENATE("$U$"&amp;AJ$391)),
IF($K420=INDIRECT(CONCATENATE("$V$"&amp;AJ$392)), INDIRECT(CONCATENATE("$V$"&amp;AJ$391)),
IF($K420=INDIRECT(CONCATENATE("$W$"&amp;AJ$392)), INDIRECT(CONCATENATE("$W$"&amp;AJ$391)),
IF($K420=INDIRECT(CONCATENATE("$X$"&amp;AJ$392)), INDIRECT(CONCATENATE("$X$"&amp;AJ$391)),
IF($K420=INDIRECT(CONCATENATE("$Y$"&amp;AJ$392)), INDIRECT(CONCATENATE("$Y$"&amp;AJ$391)),
IF($K420=INDIRECT(CONCATENATE("$Z$"&amp;AJ$392)), INDIRECT(CONCATENATE("$Z$"&amp;AJ$391)),
IF($K420=INDIRECT(CONCATENATE("$AA$"&amp;AJ$392)), INDIRECT(CONCATENATE("$AA$"&amp;AJ$391)),
IF($K420=INDIRECT(CONCATENATE("$AB$"&amp;AJ$392)), INDIRECT(CONCATENATE("$AB$"&amp;AJ$391)),
IF($K420=INDIRECT(CONCATENATE("$AC$"&amp;AJ$392)), INDIRECT(CONCATENATE("$AC$"&amp;AJ$391)),
IF($K420=INDIRECT(CONCATENATE("$AD$"&amp;AJ$392)), INDIRECT(CONCATENATE("$AD$"&amp;AJ$391)),
IF($K420=INDIRECT(CONCATENATE("$AE$"&amp;AJ$392)), INDIRECT(CONCATENATE("$AE$"&amp;AJ$391)),
IF($K420=INDIRECT(CONCATENATE("$AF$"&amp;AJ$392)), INDIRECT(CONCATENATE("$AF$"&amp;AJ$391)),
IF($K420=INDIRECT(CONCATENATE("$AG$"&amp;AJ$392)), INDIRECT(CONCATENATE("$AG$"&amp;AJ$391)),"X")))))))))))))))))))))))))))))))</f>
        <v>X</v>
      </c>
      <c r="AK420" s="58" t="str">
        <f t="shared" ca="1" si="1828"/>
        <v>X</v>
      </c>
      <c r="AL420" s="58" t="str">
        <f t="shared" ca="1" si="1828"/>
        <v>X</v>
      </c>
      <c r="AM420" s="58" t="str">
        <f t="shared" ca="1" si="1828"/>
        <v>X</v>
      </c>
      <c r="AN420" s="58" t="str">
        <f t="shared" ca="1" si="1828"/>
        <v>X</v>
      </c>
      <c r="AO420" s="58" t="str">
        <f t="shared" ca="1" si="1828"/>
        <v>X</v>
      </c>
      <c r="AP420" s="58" t="str">
        <f t="shared" ca="1" si="1828"/>
        <v>X</v>
      </c>
      <c r="AQ420" s="58" t="str">
        <f t="shared" ca="1" si="1828"/>
        <v>X</v>
      </c>
      <c r="AR420" s="58" t="str">
        <f t="shared" ca="1" si="1828"/>
        <v>X</v>
      </c>
      <c r="AS420" s="58" t="str">
        <f t="shared" ca="1" si="1828"/>
        <v>X</v>
      </c>
      <c r="AT420" s="58" t="str">
        <f t="shared" ca="1" si="1828"/>
        <v>X</v>
      </c>
      <c r="AU420" s="58" t="str">
        <f t="shared" ca="1" si="1828"/>
        <v>X</v>
      </c>
      <c r="AV420" s="58" t="str">
        <f t="shared" ca="1" si="1828"/>
        <v>X</v>
      </c>
      <c r="AW420" s="58" t="str">
        <f t="shared" ca="1" si="1828"/>
        <v>X</v>
      </c>
      <c r="AX420" s="58" t="str">
        <f t="shared" ca="1" si="1828"/>
        <v>X</v>
      </c>
      <c r="AY420" s="58" t="str">
        <f t="shared" ca="1" si="1828"/>
        <v>X</v>
      </c>
      <c r="AZ420" s="58" t="str">
        <f t="shared" ca="1" si="1828"/>
        <v>X</v>
      </c>
      <c r="BA420" s="58" t="str">
        <f t="shared" ca="1" si="1828"/>
        <v>X</v>
      </c>
      <c r="BB420" s="58" t="str">
        <f t="shared" ca="1" si="1828"/>
        <v>X</v>
      </c>
      <c r="BC420" s="58" t="str">
        <f t="shared" ca="1" si="1828"/>
        <v>X</v>
      </c>
      <c r="BD420" s="58" t="str">
        <f t="shared" ca="1" si="1828"/>
        <v>X</v>
      </c>
      <c r="BE420" s="58" t="str">
        <f t="shared" ca="1" si="1828"/>
        <v>X</v>
      </c>
      <c r="BF420" s="58" t="str">
        <f t="shared" ca="1" si="1828"/>
        <v>X</v>
      </c>
      <c r="BG420" s="58" t="str">
        <f t="shared" ca="1" si="1828"/>
        <v>X</v>
      </c>
      <c r="BH420" s="58" t="str">
        <f t="shared" ca="1" si="1828"/>
        <v>X</v>
      </c>
      <c r="BI420" s="58" t="str">
        <f t="shared" ca="1" si="1828"/>
        <v>X</v>
      </c>
      <c r="BJ420" s="58" t="str">
        <f t="shared" ca="1" si="1828"/>
        <v>X</v>
      </c>
      <c r="BK420" s="58" t="str">
        <f t="shared" ca="1" si="1828"/>
        <v>X</v>
      </c>
      <c r="BL420" s="58" t="str">
        <f t="shared" ca="1" si="1828"/>
        <v>X</v>
      </c>
      <c r="BM420" s="58" t="str">
        <f t="shared" ca="1" si="1828"/>
        <v>X</v>
      </c>
      <c r="BN420" s="58" t="str">
        <f t="shared" ca="1" si="1828"/>
        <v>X</v>
      </c>
      <c r="BO420" s="58" t="str">
        <f t="shared" ca="1" si="1828"/>
        <v>X</v>
      </c>
      <c r="BP420" s="58" t="str">
        <f t="shared" ca="1" si="1828"/>
        <v>X</v>
      </c>
      <c r="BQ420" s="58" t="str">
        <f t="shared" ca="1" si="1828"/>
        <v>X</v>
      </c>
      <c r="BR420" s="58" t="str">
        <f t="shared" ca="1" si="1828"/>
        <v>X</v>
      </c>
      <c r="BS420" s="58" t="str">
        <f t="shared" ca="1" si="1828"/>
        <v>X</v>
      </c>
      <c r="BT420" s="58" t="str">
        <f t="shared" ca="1" si="1828"/>
        <v>X</v>
      </c>
      <c r="BU420" s="58" t="str">
        <f t="shared" ca="1" si="1828"/>
        <v>X</v>
      </c>
      <c r="BV420" s="58" t="str">
        <f t="shared" ca="1" si="1828"/>
        <v>X</v>
      </c>
      <c r="BW420" s="58" t="str">
        <f t="shared" ca="1" si="1828"/>
        <v>X</v>
      </c>
      <c r="BX420" s="58" t="str">
        <f t="shared" ca="1" si="1828"/>
        <v>X</v>
      </c>
      <c r="BY420" s="58" t="str">
        <f t="shared" ca="1" si="1828"/>
        <v>X</v>
      </c>
      <c r="BZ420" s="58" t="str">
        <f t="shared" ca="1" si="1828"/>
        <v>X</v>
      </c>
      <c r="CA420" s="58" t="str">
        <f t="shared" ca="1" si="1828"/>
        <v>X</v>
      </c>
      <c r="CB420" s="58" t="str">
        <f t="shared" ca="1" si="1828"/>
        <v>X</v>
      </c>
      <c r="CC420" s="58" t="str">
        <f t="shared" ca="1" si="1828"/>
        <v>X</v>
      </c>
      <c r="CD420" s="58" t="str">
        <f t="shared" ca="1" si="1828"/>
        <v>X</v>
      </c>
      <c r="CE420" s="58" t="str">
        <f t="shared" ca="1" si="1828"/>
        <v>X</v>
      </c>
      <c r="CF420" s="58" t="str">
        <f t="shared" ca="1" si="1828"/>
        <v>X</v>
      </c>
      <c r="CG420" s="58" t="str">
        <f t="shared" ca="1" si="1828"/>
        <v>X</v>
      </c>
      <c r="CH420" s="58" t="str">
        <f t="shared" ca="1" si="1828"/>
        <v>X</v>
      </c>
      <c r="CI420" s="58" t="str">
        <f t="shared" ca="1" si="1828"/>
        <v>X</v>
      </c>
      <c r="CJ420" s="58" t="str">
        <f t="shared" ca="1" si="1828"/>
        <v>X</v>
      </c>
      <c r="CK420" s="58" t="str">
        <f t="shared" ca="1" si="1828"/>
        <v>X</v>
      </c>
      <c r="CL420" s="58" t="str">
        <f t="shared" ca="1" si="1828"/>
        <v>X</v>
      </c>
      <c r="CM420" s="58" t="str">
        <f t="shared" ca="1" si="1828"/>
        <v>X</v>
      </c>
      <c r="CN420" s="58" t="str">
        <f t="shared" ca="1" si="1828"/>
        <v>X</v>
      </c>
      <c r="CO420" s="58" t="str">
        <f t="shared" ca="1" si="1828"/>
        <v>X</v>
      </c>
      <c r="CP420" s="58" t="str">
        <f t="shared" ca="1" si="1828"/>
        <v>X</v>
      </c>
      <c r="CQ420" s="58" t="str">
        <f t="shared" ca="1" si="1828"/>
        <v>X</v>
      </c>
      <c r="CR420" s="58" t="str">
        <f t="shared" ca="1" si="1828"/>
        <v>X</v>
      </c>
      <c r="CS420" s="58" t="str">
        <f t="shared" ca="1" si="1828"/>
        <v>X</v>
      </c>
      <c r="CT420" s="58" t="str">
        <f t="shared" ca="1" si="1828"/>
        <v>X</v>
      </c>
      <c r="CU420" s="58" t="str">
        <f t="shared" ca="1" si="1828"/>
        <v>X</v>
      </c>
      <c r="CV420" s="58" t="str">
        <f t="shared" ca="1" si="1828"/>
        <v>X</v>
      </c>
      <c r="CW420" s="58" t="str">
        <f t="shared" ca="1" si="1828"/>
        <v>X</v>
      </c>
      <c r="CX420" s="58" t="str">
        <f t="shared" ca="1" si="1828"/>
        <v>X</v>
      </c>
      <c r="CY420" s="58" t="str">
        <f t="shared" ca="1" si="1828"/>
        <v>X</v>
      </c>
      <c r="CZ420" s="58" t="str">
        <f t="shared" ca="1" si="1828"/>
        <v>X</v>
      </c>
      <c r="DA420" s="58" t="str">
        <f t="shared" ca="1" si="1828"/>
        <v>X</v>
      </c>
      <c r="DB420" s="58" t="str">
        <f t="shared" ca="1" si="1828"/>
        <v>X</v>
      </c>
      <c r="DC420" s="58" t="str">
        <f t="shared" ca="1" si="1828"/>
        <v>X</v>
      </c>
      <c r="DD420" s="58" t="str">
        <f t="shared" ca="1" si="1828"/>
        <v>X</v>
      </c>
      <c r="DE420" s="58" t="str">
        <f t="shared" ca="1" si="1828"/>
        <v>X</v>
      </c>
      <c r="DF420" s="58" t="str">
        <f t="shared" ca="1" si="1828"/>
        <v>X</v>
      </c>
      <c r="DG420" s="58" t="str">
        <f t="shared" ca="1" si="1828"/>
        <v>X</v>
      </c>
      <c r="DH420" s="58" t="str">
        <f t="shared" ca="1" si="1828"/>
        <v>X</v>
      </c>
      <c r="DI420" s="58" t="str">
        <f t="shared" ca="1" si="1828"/>
        <v>X</v>
      </c>
      <c r="DJ420" s="58" t="str">
        <f t="shared" ca="1" si="1828"/>
        <v>X</v>
      </c>
      <c r="DK420" s="58" t="str">
        <f t="shared" ca="1" si="1828"/>
        <v>X</v>
      </c>
      <c r="DL420" s="58" t="str">
        <f t="shared" ca="1" si="1828"/>
        <v>X</v>
      </c>
      <c r="DM420" s="58" t="str">
        <f t="shared" ca="1" si="1828"/>
        <v>X</v>
      </c>
      <c r="DN420" s="58" t="str">
        <f t="shared" ca="1" si="1828"/>
        <v>X</v>
      </c>
      <c r="DO420" s="58" t="str">
        <f t="shared" ca="1" si="1828"/>
        <v>X</v>
      </c>
      <c r="DP420" s="58" t="str">
        <f t="shared" ca="1" si="1828"/>
        <v>X</v>
      </c>
      <c r="DQ420" s="58" t="str">
        <f t="shared" ca="1" si="1828"/>
        <v>X</v>
      </c>
      <c r="DR420" s="58" t="str">
        <f t="shared" ca="1" si="1828"/>
        <v>X</v>
      </c>
      <c r="DS420" s="58" t="str">
        <f t="shared" ca="1" si="1828"/>
        <v>X</v>
      </c>
      <c r="DT420" s="58" t="str">
        <f t="shared" ca="1" si="1828"/>
        <v>X</v>
      </c>
      <c r="DU420" s="58" t="str">
        <f t="shared" ca="1" si="1828"/>
        <v>X</v>
      </c>
      <c r="DV420" s="58" t="str">
        <f t="shared" ca="1" si="1828"/>
        <v>X</v>
      </c>
      <c r="DW420" s="58" t="str">
        <f t="shared" ca="1" si="1828"/>
        <v>X</v>
      </c>
      <c r="DX420" s="58" t="str">
        <f t="shared" ca="1" si="1828"/>
        <v>X</v>
      </c>
      <c r="DY420" s="58" t="str">
        <f t="shared" ca="1" si="1828"/>
        <v>X</v>
      </c>
      <c r="DZ420" s="58" t="str">
        <f t="shared" ca="1" si="1828"/>
        <v>X</v>
      </c>
      <c r="EA420" s="58" t="str">
        <f t="shared" ca="1" si="1828"/>
        <v>X</v>
      </c>
      <c r="EB420" s="58" t="str">
        <f t="shared" ca="1" si="1828"/>
        <v>X</v>
      </c>
      <c r="EC420" s="58" t="str">
        <f t="shared" ca="1" si="1828"/>
        <v>X</v>
      </c>
      <c r="ED420" s="58" t="str">
        <f t="shared" ca="1" si="1828"/>
        <v>X</v>
      </c>
      <c r="EE420" s="58" t="str">
        <f t="shared" ca="1" si="1828"/>
        <v>X</v>
      </c>
      <c r="EF420" s="58" t="str">
        <f t="shared" ca="1" si="1828"/>
        <v>X</v>
      </c>
      <c r="EG420" s="58" t="str">
        <f t="shared" ca="1" si="1828"/>
        <v>X</v>
      </c>
      <c r="EH420" s="58" t="str">
        <f t="shared" ca="1" si="1828"/>
        <v>X</v>
      </c>
      <c r="EI420" s="58" t="str">
        <f t="shared" ca="1" si="1828"/>
        <v>X</v>
      </c>
      <c r="EJ420" s="58" t="str">
        <f t="shared" ca="1" si="1828"/>
        <v>X</v>
      </c>
      <c r="EK420" s="58" t="str">
        <f t="shared" ca="1" si="1828"/>
        <v>X</v>
      </c>
      <c r="EL420" s="58" t="str">
        <f t="shared" ca="1" si="1828"/>
        <v>X</v>
      </c>
      <c r="EM420" s="58" t="str">
        <f t="shared" ca="1" si="1828"/>
        <v>X</v>
      </c>
      <c r="EN420" s="58" t="str">
        <f t="shared" ca="1" si="1828"/>
        <v>X</v>
      </c>
      <c r="EO420" s="58" t="str">
        <f t="shared" ca="1" si="1828"/>
        <v>X</v>
      </c>
      <c r="EP420" s="58" t="str">
        <f t="shared" ca="1" si="1828"/>
        <v>X</v>
      </c>
      <c r="EQ420" s="58" t="str">
        <f t="shared" ca="1" si="1828"/>
        <v>X</v>
      </c>
      <c r="ER420" s="58" t="str">
        <f t="shared" ca="1" si="1828"/>
        <v>X</v>
      </c>
      <c r="ES420" s="58" t="str">
        <f t="shared" ca="1" si="1828"/>
        <v>X</v>
      </c>
      <c r="ET420" s="58" t="str">
        <f t="shared" ca="1" si="1828"/>
        <v>X</v>
      </c>
      <c r="EU420" s="58" t="str">
        <f t="shared" ca="1" si="1828"/>
        <v>X</v>
      </c>
      <c r="EV420" s="58" t="str">
        <f t="shared" ca="1" si="1828"/>
        <v>X</v>
      </c>
      <c r="EW420" s="58" t="str">
        <f t="shared" ca="1" si="1828"/>
        <v>X</v>
      </c>
      <c r="EX420" s="58">
        <f t="shared" ca="1" si="1828"/>
        <v>46277</v>
      </c>
      <c r="EY420" s="58">
        <f t="shared" ca="1" si="1828"/>
        <v>46277</v>
      </c>
      <c r="EZ420" s="58">
        <f t="shared" ca="1" si="1828"/>
        <v>46277</v>
      </c>
      <c r="FA420" s="58">
        <f t="shared" ca="1" si="1828"/>
        <v>46277</v>
      </c>
      <c r="FB420" s="58" t="str">
        <f t="shared" ca="1" si="1828"/>
        <v>X</v>
      </c>
      <c r="FC420" s="58" t="str">
        <f t="shared" ca="1" si="1828"/>
        <v>X</v>
      </c>
      <c r="FD420" s="58" t="str">
        <f t="shared" ca="1" si="1828"/>
        <v>X</v>
      </c>
      <c r="FE420" s="58" t="str">
        <f t="shared" ca="1" si="1828"/>
        <v>X</v>
      </c>
      <c r="FF420" s="58" t="str">
        <f t="shared" ca="1" si="1828"/>
        <v>X</v>
      </c>
      <c r="FG420" s="58" t="str">
        <f t="shared" ca="1" si="1828"/>
        <v>X</v>
      </c>
      <c r="FH420" s="58" t="str">
        <f t="shared" ca="1" si="1828"/>
        <v>X</v>
      </c>
      <c r="FI420" s="58" t="str">
        <f t="shared" ca="1" si="1828"/>
        <v>X</v>
      </c>
      <c r="FJ420" s="58" t="str">
        <f t="shared" ca="1" si="1828"/>
        <v>X</v>
      </c>
      <c r="FK420" s="58" t="str">
        <f t="shared" ca="1" si="1828"/>
        <v>X</v>
      </c>
      <c r="FL420" s="58" t="str">
        <f t="shared" ca="1" si="1828"/>
        <v>X</v>
      </c>
      <c r="FM420" s="58" t="str">
        <f t="shared" ca="1" si="1828"/>
        <v>X</v>
      </c>
      <c r="FN420" s="58" t="str">
        <f t="shared" ca="1" si="1828"/>
        <v>X</v>
      </c>
      <c r="FO420" s="58" t="str">
        <f t="shared" ca="1" si="1828"/>
        <v>X</v>
      </c>
      <c r="FP420" s="58" t="str">
        <f t="shared" ca="1" si="1828"/>
        <v>X</v>
      </c>
      <c r="FQ420" s="58" t="str">
        <f t="shared" ca="1" si="1828"/>
        <v>X</v>
      </c>
      <c r="FR420" s="58" t="str">
        <f t="shared" ca="1" si="1828"/>
        <v>X</v>
      </c>
      <c r="FS420" s="58" t="str">
        <f t="shared" ca="1" si="1828"/>
        <v>X</v>
      </c>
      <c r="FT420" s="58" t="str">
        <f t="shared" ca="1" si="1828"/>
        <v>X</v>
      </c>
      <c r="FU420" s="58" t="str">
        <f t="shared" ca="1" si="1828"/>
        <v>X</v>
      </c>
      <c r="FV420" s="58" t="str">
        <f t="shared" ca="1" si="1828"/>
        <v>X</v>
      </c>
      <c r="FW420" s="58" t="str">
        <f t="shared" ca="1" si="1828"/>
        <v>X</v>
      </c>
      <c r="FX420" s="58" t="str">
        <f t="shared" ca="1" si="1828"/>
        <v>X</v>
      </c>
      <c r="FY420" s="58" t="str">
        <f t="shared" ca="1" si="1828"/>
        <v>X</v>
      </c>
      <c r="FZ420" s="58" t="str">
        <f t="shared" ca="1" si="1828"/>
        <v>X</v>
      </c>
      <c r="GA420" s="58" t="str">
        <f t="shared" ca="1" si="1828"/>
        <v>X</v>
      </c>
      <c r="GB420" s="58" t="str">
        <f t="shared" ca="1" si="1828"/>
        <v>X</v>
      </c>
      <c r="GC420" s="58" t="str">
        <f t="shared" ca="1" si="1828"/>
        <v>X</v>
      </c>
      <c r="GD420" s="58" t="str">
        <f t="shared" ca="1" si="1828"/>
        <v>X</v>
      </c>
      <c r="GE420" s="58" t="str">
        <f t="shared" ca="1" si="1828"/>
        <v>X</v>
      </c>
      <c r="GF420" s="58" t="str">
        <f t="shared" ca="1" si="1828"/>
        <v>X</v>
      </c>
      <c r="GG420" s="58" t="str">
        <f t="shared" ca="1" si="1828"/>
        <v>X</v>
      </c>
      <c r="GH420" s="58" t="str">
        <f t="shared" ca="1" si="1828"/>
        <v>X</v>
      </c>
      <c r="GI420" s="58" t="str">
        <f t="shared" ca="1" si="1828"/>
        <v>X</v>
      </c>
      <c r="GJ420" s="58" t="str">
        <f t="shared" ca="1" si="1828"/>
        <v>X</v>
      </c>
      <c r="GK420" s="58" t="str">
        <f t="shared" ca="1" si="1828"/>
        <v>X</v>
      </c>
      <c r="GL420" s="58" t="str">
        <f t="shared" ca="1" si="1828"/>
        <v>X</v>
      </c>
      <c r="GM420" s="58" t="str">
        <f t="shared" ca="1" si="1828"/>
        <v>X</v>
      </c>
      <c r="GN420" s="58" t="str">
        <f t="shared" ca="1" si="1828"/>
        <v>X</v>
      </c>
      <c r="GO420" s="58" t="str">
        <f t="shared" ca="1" si="1828"/>
        <v>X</v>
      </c>
      <c r="GP420" s="58" t="str">
        <f t="shared" ca="1" si="1828"/>
        <v>X</v>
      </c>
      <c r="GQ420" s="58" t="str">
        <f t="shared" ca="1" si="1828"/>
        <v>X</v>
      </c>
      <c r="GR420" s="58" t="str">
        <f t="shared" ca="1" si="1828"/>
        <v>X</v>
      </c>
      <c r="GS420" s="80" t="str">
        <f t="shared" ca="1" si="1828"/>
        <v>X</v>
      </c>
      <c r="GT420" s="58" t="str">
        <f t="shared" ca="1" si="1828"/>
        <v>X</v>
      </c>
      <c r="GU420" s="82" t="str">
        <f t="shared" ca="1" si="1617"/>
        <v>X</v>
      </c>
      <c r="GV420" s="58" t="str">
        <f t="shared" ca="1" si="1618"/>
        <v>X</v>
      </c>
      <c r="GW420" s="58" t="str">
        <f t="shared" ca="1" si="1619"/>
        <v>X</v>
      </c>
      <c r="GX420" s="58" t="str">
        <f t="shared" ca="1" si="1620"/>
        <v>X</v>
      </c>
      <c r="GY420" s="58" t="str">
        <f t="shared" ca="1" si="1621"/>
        <v>X</v>
      </c>
      <c r="GZ420" s="58" t="str">
        <f t="shared" ca="1" si="1622"/>
        <v>X</v>
      </c>
      <c r="HA420" s="58" t="str">
        <f t="shared" ca="1" si="1623"/>
        <v>X</v>
      </c>
      <c r="HB420" s="58" t="str">
        <f t="shared" ca="1" si="1624"/>
        <v>X</v>
      </c>
      <c r="HC420" s="58" t="str">
        <f t="shared" ca="1" si="1625"/>
        <v>X</v>
      </c>
      <c r="HD420" s="58" t="str">
        <f t="shared" ca="1" si="1626"/>
        <v>X</v>
      </c>
      <c r="HE420" s="58" t="str">
        <f t="shared" ca="1" si="1627"/>
        <v>X</v>
      </c>
      <c r="HF420" s="58" t="str">
        <f t="shared" ca="1" si="1628"/>
        <v>X</v>
      </c>
      <c r="HG420" s="58" t="str">
        <f t="shared" ca="1" si="1629"/>
        <v>X</v>
      </c>
      <c r="HH420" s="58" t="str">
        <f t="shared" ca="1" si="1630"/>
        <v>X</v>
      </c>
      <c r="HI420" s="58" t="str">
        <f t="shared" ca="1" si="1631"/>
        <v>X</v>
      </c>
      <c r="HJ420" s="58" t="str">
        <f t="shared" ca="1" si="1632"/>
        <v>X</v>
      </c>
      <c r="HK420" s="58" t="str">
        <f t="shared" ca="1" si="1633"/>
        <v>X</v>
      </c>
      <c r="HL420" s="58" t="str">
        <f t="shared" ca="1" si="1634"/>
        <v>X</v>
      </c>
      <c r="HM420" s="58" t="str">
        <f t="shared" ca="1" si="1635"/>
        <v>X</v>
      </c>
      <c r="HN420" s="58" t="str">
        <f t="shared" ca="1" si="1636"/>
        <v>X</v>
      </c>
      <c r="HO420" s="58" t="str">
        <f t="shared" ca="1" si="1637"/>
        <v>X</v>
      </c>
      <c r="HP420" s="58" t="str">
        <f t="shared" ca="1" si="1638"/>
        <v>X</v>
      </c>
      <c r="HQ420" s="58" t="str">
        <f t="shared" ca="1" si="1639"/>
        <v>X</v>
      </c>
      <c r="HR420" s="58" t="str">
        <f t="shared" ca="1" si="1640"/>
        <v>X</v>
      </c>
      <c r="HS420" s="58" t="str">
        <f t="shared" ca="1" si="1641"/>
        <v>X</v>
      </c>
      <c r="HT420" s="58" t="str">
        <f t="shared" ca="1" si="1642"/>
        <v>X</v>
      </c>
      <c r="HU420" s="58" t="str">
        <f t="shared" ca="1" si="1643"/>
        <v>X</v>
      </c>
      <c r="HV420" s="58" t="str">
        <f t="shared" ca="1" si="1644"/>
        <v>X</v>
      </c>
      <c r="HW420" s="58" t="str">
        <f t="shared" ca="1" si="1645"/>
        <v>X</v>
      </c>
      <c r="HX420" s="58" t="str">
        <f t="shared" ca="1" si="1646"/>
        <v>X</v>
      </c>
      <c r="HY420" s="58" t="str">
        <f t="shared" ca="1" si="1647"/>
        <v>X</v>
      </c>
      <c r="HZ420" s="58" t="str">
        <f t="shared" ca="1" si="1648"/>
        <v>X</v>
      </c>
      <c r="IA420" s="58" t="str">
        <f t="shared" ca="1" si="1649"/>
        <v>X</v>
      </c>
      <c r="IB420" s="58" t="str">
        <f t="shared" ca="1" si="1650"/>
        <v>X</v>
      </c>
      <c r="IC420" s="58" t="str">
        <f t="shared" ca="1" si="1651"/>
        <v>X</v>
      </c>
      <c r="ID420" s="58" t="str">
        <f t="shared" ca="1" si="1652"/>
        <v>X</v>
      </c>
      <c r="IE420" s="58" t="str">
        <f t="shared" ca="1" si="1653"/>
        <v>X</v>
      </c>
      <c r="IF420" s="58" t="str">
        <f t="shared" ca="1" si="1654"/>
        <v>X</v>
      </c>
      <c r="IG420" s="58" t="str">
        <f t="shared" ca="1" si="1655"/>
        <v>X</v>
      </c>
      <c r="IH420" s="58" t="str">
        <f t="shared" ca="1" si="1656"/>
        <v>X</v>
      </c>
      <c r="II420" s="58" t="str">
        <f t="shared" ca="1" si="1657"/>
        <v>X</v>
      </c>
      <c r="IJ420" s="58" t="str">
        <f t="shared" ca="1" si="1658"/>
        <v>X</v>
      </c>
      <c r="IK420" s="58" t="str">
        <f t="shared" ca="1" si="1659"/>
        <v>X</v>
      </c>
      <c r="IL420" s="58" t="str">
        <f t="shared" ca="1" si="1660"/>
        <v>X</v>
      </c>
      <c r="IM420" s="58" t="str">
        <f t="shared" ca="1" si="1661"/>
        <v>X</v>
      </c>
      <c r="IN420" s="58" t="str">
        <f t="shared" ca="1" si="1662"/>
        <v>X</v>
      </c>
      <c r="IO420" s="58" t="str">
        <f t="shared" ca="1" si="1663"/>
        <v>X</v>
      </c>
      <c r="IP420" s="58" t="str">
        <f t="shared" ca="1" si="1664"/>
        <v>X</v>
      </c>
      <c r="IQ420" s="58" t="str">
        <f t="shared" ca="1" si="1665"/>
        <v>X</v>
      </c>
      <c r="IR420" s="58" t="str">
        <f t="shared" ca="1" si="1666"/>
        <v>X</v>
      </c>
      <c r="IS420" s="58" t="str">
        <f t="shared" ca="1" si="1667"/>
        <v>X</v>
      </c>
      <c r="IT420" s="58" t="str">
        <f t="shared" ca="1" si="1668"/>
        <v>X</v>
      </c>
      <c r="IU420" s="58" t="str">
        <f t="shared" ca="1" si="1669"/>
        <v>X</v>
      </c>
      <c r="IV420" s="58" t="str">
        <f t="shared" ca="1" si="1670"/>
        <v>X</v>
      </c>
      <c r="IW420" s="58" t="str">
        <f t="shared" ca="1" si="1671"/>
        <v>X</v>
      </c>
      <c r="IX420" s="58" t="str">
        <f t="shared" ca="1" si="1672"/>
        <v>X</v>
      </c>
      <c r="IY420" s="58" t="str">
        <f t="shared" ca="1" si="1673"/>
        <v>X</v>
      </c>
      <c r="IZ420" s="58" t="str">
        <f t="shared" ca="1" si="1674"/>
        <v>X</v>
      </c>
      <c r="JA420" s="58" t="str">
        <f t="shared" ca="1" si="1675"/>
        <v>X</v>
      </c>
      <c r="JB420" s="58" t="str">
        <f t="shared" ca="1" si="1676"/>
        <v>X</v>
      </c>
      <c r="JC420" s="58" t="str">
        <f t="shared" ca="1" si="1677"/>
        <v>X</v>
      </c>
      <c r="JD420" s="58" t="str">
        <f t="shared" ca="1" si="1678"/>
        <v>X</v>
      </c>
      <c r="JE420" s="58" t="str">
        <f t="shared" ca="1" si="1679"/>
        <v>X</v>
      </c>
      <c r="JF420" s="58" t="str">
        <f t="shared" ca="1" si="1680"/>
        <v>X</v>
      </c>
      <c r="JG420" s="58" t="str">
        <f t="shared" ca="1" si="1681"/>
        <v>X</v>
      </c>
      <c r="JH420" s="58" t="str">
        <f t="shared" ca="1" si="1682"/>
        <v>X</v>
      </c>
      <c r="JI420" s="58" t="str">
        <f t="shared" ca="1" si="1683"/>
        <v>X</v>
      </c>
      <c r="JJ420" s="58" t="str">
        <f t="shared" ca="1" si="1684"/>
        <v>X</v>
      </c>
      <c r="JK420" s="58" t="str">
        <f t="shared" ca="1" si="1685"/>
        <v>X</v>
      </c>
      <c r="JL420" s="58" t="str">
        <f t="shared" ca="1" si="1686"/>
        <v>X</v>
      </c>
      <c r="JM420" s="58" t="str">
        <f t="shared" ca="1" si="1687"/>
        <v>X</v>
      </c>
      <c r="JN420" s="58" t="str">
        <f t="shared" ca="1" si="1688"/>
        <v>X</v>
      </c>
      <c r="JO420" s="58" t="str">
        <f t="shared" ca="1" si="1689"/>
        <v>X</v>
      </c>
      <c r="JP420" s="58" t="str">
        <f t="shared" ca="1" si="1690"/>
        <v>X</v>
      </c>
      <c r="JQ420" s="58" t="str">
        <f t="shared" ca="1" si="1691"/>
        <v>X</v>
      </c>
      <c r="JR420" s="58" t="str">
        <f t="shared" ca="1" si="1692"/>
        <v>X</v>
      </c>
      <c r="JS420" s="58" t="str">
        <f t="shared" ca="1" si="1693"/>
        <v>X</v>
      </c>
      <c r="JT420" s="58" t="str">
        <f t="shared" ca="1" si="1694"/>
        <v>X</v>
      </c>
      <c r="JU420" s="58" t="str">
        <f t="shared" ca="1" si="1695"/>
        <v>X</v>
      </c>
      <c r="JV420" s="58" t="str">
        <f t="shared" ca="1" si="1696"/>
        <v>X</v>
      </c>
      <c r="JW420" s="58" t="str">
        <f t="shared" ca="1" si="1697"/>
        <v>X</v>
      </c>
      <c r="JX420" s="58" t="str">
        <f t="shared" ca="1" si="1698"/>
        <v>X</v>
      </c>
      <c r="JY420" s="58" t="str">
        <f t="shared" ca="1" si="1699"/>
        <v>X</v>
      </c>
      <c r="JZ420" s="58" t="str">
        <f t="shared" ca="1" si="1700"/>
        <v>X</v>
      </c>
      <c r="KA420" s="58" t="str">
        <f t="shared" ca="1" si="1701"/>
        <v>X</v>
      </c>
      <c r="KB420" s="58" t="str">
        <f t="shared" ca="1" si="1702"/>
        <v>X</v>
      </c>
      <c r="KC420" s="58" t="str">
        <f t="shared" ca="1" si="1703"/>
        <v>X</v>
      </c>
      <c r="KD420" s="58" t="str">
        <f t="shared" ca="1" si="1704"/>
        <v>X</v>
      </c>
      <c r="KE420" s="58" t="str">
        <f t="shared" ca="1" si="1705"/>
        <v>X</v>
      </c>
      <c r="KF420" s="58" t="str">
        <f t="shared" ca="1" si="1706"/>
        <v>X</v>
      </c>
      <c r="KG420" s="58" t="str">
        <f t="shared" ca="1" si="1707"/>
        <v>X</v>
      </c>
      <c r="KH420" s="58" t="str">
        <f t="shared" ca="1" si="1708"/>
        <v>X</v>
      </c>
      <c r="KI420" s="58" t="str">
        <f t="shared" ca="1" si="1709"/>
        <v>X</v>
      </c>
      <c r="KJ420" s="58" t="str">
        <f t="shared" ca="1" si="1710"/>
        <v>X</v>
      </c>
      <c r="KK420" s="58" t="str">
        <f t="shared" ca="1" si="1711"/>
        <v>X</v>
      </c>
      <c r="KL420" s="58" t="str">
        <f t="shared" ca="1" si="1712"/>
        <v>X</v>
      </c>
      <c r="KM420" s="58" t="str">
        <f t="shared" ca="1" si="1713"/>
        <v>X</v>
      </c>
      <c r="KN420" s="58" t="str">
        <f t="shared" ca="1" si="1714"/>
        <v>X</v>
      </c>
      <c r="KO420" s="58" t="str">
        <f t="shared" ca="1" si="1715"/>
        <v>X</v>
      </c>
      <c r="KP420" s="58" t="str">
        <f t="shared" ca="1" si="1716"/>
        <v>X</v>
      </c>
      <c r="KQ420" s="58" t="str">
        <f t="shared" ca="1" si="1717"/>
        <v>X</v>
      </c>
      <c r="KR420" s="58" t="str">
        <f t="shared" ca="1" si="1718"/>
        <v>X</v>
      </c>
      <c r="KS420" s="58" t="str">
        <f t="shared" ca="1" si="1719"/>
        <v>X</v>
      </c>
      <c r="KT420" s="58" t="str">
        <f t="shared" ca="1" si="1720"/>
        <v>X</v>
      </c>
      <c r="KU420" s="58" t="str">
        <f t="shared" ca="1" si="1721"/>
        <v>X</v>
      </c>
      <c r="KV420" s="58" t="str">
        <f t="shared" ca="1" si="1722"/>
        <v>X</v>
      </c>
      <c r="KW420" s="58" t="str">
        <f t="shared" ca="1" si="1723"/>
        <v>X</v>
      </c>
      <c r="KX420" s="58" t="str">
        <f t="shared" ca="1" si="1724"/>
        <v>X</v>
      </c>
      <c r="KY420" s="58" t="str">
        <f t="shared" ca="1" si="1725"/>
        <v>X</v>
      </c>
      <c r="KZ420" s="58" t="str">
        <f t="shared" ca="1" si="1726"/>
        <v>X</v>
      </c>
      <c r="LA420" s="58" t="str">
        <f t="shared" ca="1" si="1727"/>
        <v>X</v>
      </c>
      <c r="LB420" s="58" t="str">
        <f t="shared" ca="1" si="1728"/>
        <v>X</v>
      </c>
      <c r="LC420" s="58" t="str">
        <f t="shared" ca="1" si="1729"/>
        <v>X</v>
      </c>
      <c r="LD420" s="58" t="str">
        <f t="shared" ca="1" si="1730"/>
        <v>X</v>
      </c>
      <c r="LE420" s="58" t="str">
        <f t="shared" ca="1" si="1731"/>
        <v>X</v>
      </c>
      <c r="LF420" s="58" t="str">
        <f t="shared" ca="1" si="1732"/>
        <v>X</v>
      </c>
      <c r="LG420" s="58" t="str">
        <f t="shared" ca="1" si="1733"/>
        <v>X</v>
      </c>
      <c r="LH420" s="58" t="str">
        <f t="shared" ca="1" si="1734"/>
        <v>X</v>
      </c>
      <c r="LI420" s="58" t="str">
        <f t="shared" ca="1" si="1735"/>
        <v>X</v>
      </c>
      <c r="LJ420" s="58">
        <f t="shared" ca="1" si="1736"/>
        <v>46277</v>
      </c>
      <c r="LK420" s="58">
        <f t="shared" ca="1" si="1737"/>
        <v>46277</v>
      </c>
      <c r="LL420" s="58">
        <f t="shared" ca="1" si="1738"/>
        <v>46277</v>
      </c>
      <c r="LM420" s="58">
        <f t="shared" ca="1" si="1739"/>
        <v>46277</v>
      </c>
      <c r="LN420" s="58" t="str">
        <f t="shared" ca="1" si="1740"/>
        <v>X</v>
      </c>
      <c r="LO420" s="58" t="str">
        <f t="shared" ca="1" si="1741"/>
        <v>X</v>
      </c>
      <c r="LP420" s="58" t="str">
        <f t="shared" ca="1" si="1742"/>
        <v>X</v>
      </c>
      <c r="LQ420" s="58" t="str">
        <f t="shared" ca="1" si="1743"/>
        <v>X</v>
      </c>
      <c r="LR420" s="58" t="str">
        <f t="shared" ca="1" si="1744"/>
        <v>X</v>
      </c>
      <c r="LS420" s="58" t="str">
        <f t="shared" ca="1" si="1745"/>
        <v>X</v>
      </c>
      <c r="LT420" s="58" t="str">
        <f t="shared" ca="1" si="1746"/>
        <v>X</v>
      </c>
      <c r="LU420" s="58" t="str">
        <f t="shared" ca="1" si="1747"/>
        <v>X</v>
      </c>
      <c r="LV420" s="58" t="str">
        <f t="shared" ca="1" si="1748"/>
        <v>X</v>
      </c>
      <c r="LW420" s="58" t="str">
        <f t="shared" ca="1" si="1749"/>
        <v>X</v>
      </c>
      <c r="LX420" s="58" t="str">
        <f t="shared" ca="1" si="1750"/>
        <v>X</v>
      </c>
      <c r="LY420" s="58" t="str">
        <f t="shared" ca="1" si="1751"/>
        <v>X</v>
      </c>
      <c r="LZ420" s="58" t="str">
        <f t="shared" ca="1" si="1752"/>
        <v>X</v>
      </c>
      <c r="MA420" s="58" t="str">
        <f t="shared" ca="1" si="1753"/>
        <v>X</v>
      </c>
      <c r="MB420" s="58" t="str">
        <f t="shared" ca="1" si="1754"/>
        <v>X</v>
      </c>
      <c r="MC420" s="58" t="str">
        <f t="shared" ca="1" si="1755"/>
        <v>X</v>
      </c>
      <c r="MD420" s="58" t="str">
        <f t="shared" ca="1" si="1756"/>
        <v>X</v>
      </c>
      <c r="ME420" s="58" t="str">
        <f t="shared" ca="1" si="1757"/>
        <v>X</v>
      </c>
      <c r="MF420" s="58" t="str">
        <f t="shared" ca="1" si="1758"/>
        <v>X</v>
      </c>
      <c r="MG420" s="58" t="str">
        <f t="shared" ca="1" si="1759"/>
        <v>X</v>
      </c>
      <c r="MH420" s="58" t="str">
        <f t="shared" ca="1" si="1760"/>
        <v>X</v>
      </c>
      <c r="MI420" s="58" t="str">
        <f t="shared" ca="1" si="1761"/>
        <v>X</v>
      </c>
      <c r="MJ420" s="58" t="str">
        <f t="shared" ca="1" si="1762"/>
        <v>X</v>
      </c>
      <c r="MK420" s="58" t="str">
        <f t="shared" ca="1" si="1763"/>
        <v>X</v>
      </c>
      <c r="ML420" s="58" t="str">
        <f t="shared" ca="1" si="1764"/>
        <v>X</v>
      </c>
      <c r="MM420" s="58" t="str">
        <f t="shared" ca="1" si="1765"/>
        <v>X</v>
      </c>
      <c r="MN420" s="58" t="str">
        <f t="shared" ca="1" si="1766"/>
        <v>X</v>
      </c>
      <c r="MO420" s="58" t="str">
        <f t="shared" ca="1" si="1767"/>
        <v>X</v>
      </c>
      <c r="MP420" s="58" t="str">
        <f t="shared" ca="1" si="1768"/>
        <v>X</v>
      </c>
      <c r="MQ420" s="58" t="str">
        <f t="shared" ca="1" si="1769"/>
        <v>X</v>
      </c>
      <c r="MR420" s="58" t="str">
        <f t="shared" ca="1" si="1770"/>
        <v>X</v>
      </c>
      <c r="MS420" s="58" t="str">
        <f t="shared" ca="1" si="1771"/>
        <v>X</v>
      </c>
      <c r="MT420" s="58" t="str">
        <f t="shared" ref="MT420:NE420" ca="1" si="1829">IF($K420=INDIRECT(CONCATENATE("$AG$"&amp;GH$392)),INDIRECT(CONCATENATE("$AG$"&amp;GH$391)),
IF($K420=INDIRECT(CONCATENATE("$AF$"&amp;GH$392)),INDIRECT(CONCATENATE("$AF$"&amp;GH$391)),
IF($K420=INDIRECT(CONCATENATE("$AE$"&amp;GH$392)),INDIRECT(CONCATENATE("$AE$"&amp;GH$391)),
IF($K420=INDIRECT(CONCATENATE("$AD$"&amp;GH$392)),INDIRECT(CONCATENATE("$AD$"&amp;GH$391)),
IF($K420=INDIRECT(CONCATENATE("$AC$"&amp;GH$392)),INDIRECT(CONCATENATE("$AC$"&amp;GH$391)),
IF($K420=INDIRECT(CONCATENATE("$AB$"&amp;GH$392)),INDIRECT(CONCATENATE("$AB$"&amp;GH$391)),
IF($K420=INDIRECT(CONCATENATE("$AA$"&amp;GH$392)),INDIRECT(CONCATENATE("$AA$"&amp;GH$391)),
IF($K420=INDIRECT(CONCATENATE("$Z$"&amp;GH$392)),INDIRECT(CONCATENATE("$Z$"&amp;GH$391)),
IF($K420=INDIRECT(CONCATENATE("$Y$"&amp;GH$392)),INDIRECT(CONCATENATE("$Y$"&amp;GH$391)),
IF($K420=INDIRECT(CONCATENATE("$X$"&amp;GH$392)),INDIRECT(CONCATENATE("$X$"&amp;GH$391)),
IF($K420=INDIRECT(CONCATENATE("$W$"&amp;GH$392)),INDIRECT(CONCATENATE("$W$"&amp;GH$391)),
IF($K420=INDIRECT(CONCATENATE("$V$"&amp;GH$392)),INDIRECT(CONCATENATE("$V$"&amp;GH$391)),
IF($K420=INDIRECT(CONCATENATE("$U$"&amp;GH$392)),INDIRECT(CONCATENATE("$U$"&amp;GH$391)),
IF($K420=INDIRECT(CONCATENATE("$T$"&amp;GH$392)),INDIRECT(CONCATENATE("$T$"&amp;GH$391)),
IF($K420=INDIRECT(CONCATENATE("$S$"&amp;GH$392)),INDIRECT(CONCATENATE("$S$"&amp;GH$391)),
IF($K420=INDIRECT(CONCATENATE("$R$"&amp;GH$392)),INDIRECT(CONCATENATE("$R$"&amp;GH$391)),
IF($K420=INDIRECT(CONCATENATE("$Q$"&amp;GH$392)),INDIRECT(CONCATENATE("$Q$"&amp;GH$391)),
IF($K420=INDIRECT(CONCATENATE("$P$"&amp;GH$392)),INDIRECT(CONCATENATE("$P$"&amp;GH$391)),
IF($K420=INDIRECT(CONCATENATE("$O$"&amp;GH$392)),INDIRECT(CONCATENATE("$O$"&amp;GH$391)),
IF($K420=INDIRECT(CONCATENATE("$N$"&amp;GH$392)),INDIRECT(CONCATENATE("$N$"&amp;GH$391)),
IF($K420=INDIRECT(CONCATENATE("$M$"&amp;GH$392)),INDIRECT(CONCATENATE("$M$"&amp;GH$391)),
IF($K420=INDIRECT(CONCATENATE("$L$"&amp;GH$392)),INDIRECT(CONCATENATE("$L$"&amp;GH$391)),
IF($K420=INDIRECT(CONCATENATE("$K$"&amp;GH$392)),INDIRECT(CONCATENATE("$K$"&amp;GH$391)),
IF($K420=INDIRECT(CONCATENATE("$J$"&amp;GH$392)),INDIRECT(CONCATENATE("$J$"&amp;GH$391)),
IF($K420=INDIRECT(CONCATENATE("$I$"&amp;GH$392)),INDIRECT(CONCATENATE("$I$"&amp;GH$391)),
IF($K420=INDIRECT(CONCATENATE("$H$"&amp;GH$392)),INDIRECT(CONCATENATE("$H$"&amp;GH$391)),
IF($K420=INDIRECT(CONCATENATE("$G$"&amp;GH$392)),INDIRECT(CONCATENATE("$G$"&amp;GH$391)),
IF($K420=INDIRECT(CONCATENATE("$F$"&amp;GH$392)),INDIRECT(CONCATENATE("$F$"&amp;GH$391)),
IF($K420=INDIRECT(CONCATENATE("$E$"&amp;GH$392)),INDIRECT(CONCATENATE("$E$"&amp;GH$391)),
IF($K420=INDIRECT(CONCATENATE("$D$"&amp;GH$392)),INDIRECT(CONCATENATE("$D$"&amp;GH$391)),
IF($K420=INDIRECT(CONCATENATE("$C$"&amp;GH$392)),INDIRECT(CONCATENATE("$C$"&amp;GH$391)),"X")))))))))))))))))))))))))))))))</f>
        <v>X</v>
      </c>
      <c r="MU420" s="58" t="str">
        <f t="shared" ca="1" si="1829"/>
        <v>X</v>
      </c>
      <c r="MV420" s="58" t="str">
        <f t="shared" ca="1" si="1829"/>
        <v>X</v>
      </c>
      <c r="MW420" s="58" t="str">
        <f t="shared" ca="1" si="1829"/>
        <v>X</v>
      </c>
      <c r="MX420" s="58" t="str">
        <f t="shared" ca="1" si="1829"/>
        <v>X</v>
      </c>
      <c r="MY420" s="58" t="str">
        <f t="shared" ca="1" si="1829"/>
        <v>X</v>
      </c>
      <c r="MZ420" s="58" t="str">
        <f t="shared" ca="1" si="1829"/>
        <v>X</v>
      </c>
      <c r="NA420" s="58" t="str">
        <f t="shared" ca="1" si="1829"/>
        <v>X</v>
      </c>
      <c r="NB420" s="58" t="str">
        <f t="shared" ca="1" si="1829"/>
        <v>X</v>
      </c>
      <c r="NC420" s="58" t="str">
        <f t="shared" ca="1" si="1829"/>
        <v>X</v>
      </c>
      <c r="ND420" s="58" t="str">
        <f t="shared" ca="1" si="1829"/>
        <v>X</v>
      </c>
      <c r="NE420" s="58" t="str">
        <f t="shared" ca="1" si="1829"/>
        <v>X</v>
      </c>
      <c r="NF420" s="58" t="str">
        <f t="shared" ca="1" si="1773"/>
        <v>X</v>
      </c>
      <c r="NG420" s="58" t="str">
        <f t="shared" ca="1" si="1774"/>
        <v>X</v>
      </c>
    </row>
    <row r="421" spans="1:371" ht="18" customHeight="1">
      <c r="A421" s="241"/>
      <c r="B421" s="304"/>
      <c r="C421" s="304"/>
      <c r="D421" s="304"/>
      <c r="E421" s="304"/>
      <c r="F421" s="304"/>
      <c r="G421" s="304"/>
      <c r="H421" s="304"/>
      <c r="I421" s="304"/>
      <c r="J421" s="303"/>
      <c r="K421" s="237" t="s">
        <v>84</v>
      </c>
      <c r="L421" s="303"/>
      <c r="M421" s="60"/>
      <c r="N421" s="225"/>
      <c r="O421" s="304"/>
      <c r="P421" s="304"/>
      <c r="Q421" s="304"/>
      <c r="R421" s="303"/>
      <c r="S421" s="226"/>
      <c r="T421" s="304"/>
      <c r="U421" s="303"/>
      <c r="V421" s="227"/>
      <c r="W421" s="303"/>
      <c r="X421" s="56" t="str">
        <f t="shared" ca="1" si="1775"/>
        <v>-</v>
      </c>
      <c r="Y421" s="56" t="str">
        <f t="shared" ca="1" si="1776"/>
        <v>-</v>
      </c>
      <c r="Z421" s="228" t="str">
        <f t="shared" ca="1" si="1612"/>
        <v/>
      </c>
      <c r="AA421" s="304"/>
      <c r="AB421" s="303"/>
      <c r="AC421" s="224">
        <f t="shared" si="1777"/>
        <v>0</v>
      </c>
      <c r="AD421" s="303"/>
      <c r="AE421" s="229">
        <f t="shared" si="1778"/>
        <v>0</v>
      </c>
      <c r="AF421" s="303"/>
      <c r="AG421" s="57" t="str">
        <f t="shared" si="1615"/>
        <v/>
      </c>
      <c r="AH421" s="21"/>
      <c r="AI421" s="70"/>
      <c r="AJ421" s="58" t="str">
        <f t="shared" ref="AJ421:GT421" ca="1" si="1830">IF($K421=INDIRECT(CONCATENATE("$C$"&amp;AJ$392)), INDIRECT(CONCATENATE("$C$"&amp;AJ$391)),
IF($K421=INDIRECT(CONCATENATE("$D$"&amp;AJ$392)), INDIRECT(CONCATENATE("$D$"&amp;AJ$391)),
IF($K421=INDIRECT(CONCATENATE("$E$"&amp;AJ$392)), INDIRECT(CONCATENATE("$E$"&amp;AJ$391)),
IF($K421=INDIRECT(CONCATENATE("$F$"&amp;AJ$392)), INDIRECT(CONCATENATE("$F$"&amp;AJ$391)),
IF($K421=INDIRECT(CONCATENATE("$G$"&amp;AJ$392)), INDIRECT(CONCATENATE("$G$"&amp;AJ$391)),
IF($K421=INDIRECT(CONCATENATE("$H$"&amp;AJ$392)), INDIRECT(CONCATENATE("$H$"&amp;AJ$391)),
IF($K421=INDIRECT(CONCATENATE("$I$"&amp;AJ$392)), INDIRECT(CONCATENATE("$I$"&amp;AJ$391)),
IF($K421=INDIRECT(CONCATENATE("$J$"&amp;AJ$392)), INDIRECT(CONCATENATE("$J$"&amp;AJ$391)),
IF($K421=INDIRECT(CONCATENATE("$K$"&amp;AJ$392)), INDIRECT(CONCATENATE("$K$"&amp;AJ$391)),
IF($K421=INDIRECT(CONCATENATE("$L$"&amp;AJ$392)), INDIRECT(CONCATENATE("$L$"&amp;AJ$391)),
IF($K421=INDIRECT(CONCATENATE("$M$"&amp;AJ$392)), INDIRECT(CONCATENATE("$M$"&amp;AJ$391)),
IF($K421=INDIRECT(CONCATENATE("$N$"&amp;AJ$392)), INDIRECT(CONCATENATE("$N$"&amp;AJ$391)),
IF($K421=INDIRECT(CONCATENATE("$O$"&amp;AJ$392)), INDIRECT(CONCATENATE("$O$"&amp;AJ$391)),
IF($K421=INDIRECT(CONCATENATE("$P$"&amp;AJ$392)), INDIRECT(CONCATENATE("$P$"&amp;AJ$391)),
IF($K421=INDIRECT(CONCATENATE("$Q$"&amp;AJ$392)), INDIRECT(CONCATENATE("$Q$"&amp;AJ$391)),
IF($K421=INDIRECT(CONCATENATE("$R$"&amp;AJ$392)), INDIRECT(CONCATENATE("$R$"&amp;AJ$391)),
IF($K421=INDIRECT(CONCATENATE("$S$"&amp;AJ$392)), INDIRECT(CONCATENATE("$S$"&amp;AJ$391)),
IF($K421=INDIRECT(CONCATENATE("$T$"&amp;AJ$392)), INDIRECT(CONCATENATE("$T$"&amp;AJ$391)),
IF($K421=INDIRECT(CONCATENATE("$U$"&amp;AJ$392)), INDIRECT(CONCATENATE("$U$"&amp;AJ$391)),
IF($K421=INDIRECT(CONCATENATE("$V$"&amp;AJ$392)), INDIRECT(CONCATENATE("$V$"&amp;AJ$391)),
IF($K421=INDIRECT(CONCATENATE("$W$"&amp;AJ$392)), INDIRECT(CONCATENATE("$W$"&amp;AJ$391)),
IF($K421=INDIRECT(CONCATENATE("$X$"&amp;AJ$392)), INDIRECT(CONCATENATE("$X$"&amp;AJ$391)),
IF($K421=INDIRECT(CONCATENATE("$Y$"&amp;AJ$392)), INDIRECT(CONCATENATE("$Y$"&amp;AJ$391)),
IF($K421=INDIRECT(CONCATENATE("$Z$"&amp;AJ$392)), INDIRECT(CONCATENATE("$Z$"&amp;AJ$391)),
IF($K421=INDIRECT(CONCATENATE("$AA$"&amp;AJ$392)), INDIRECT(CONCATENATE("$AA$"&amp;AJ$391)),
IF($K421=INDIRECT(CONCATENATE("$AB$"&amp;AJ$392)), INDIRECT(CONCATENATE("$AB$"&amp;AJ$391)),
IF($K421=INDIRECT(CONCATENATE("$AC$"&amp;AJ$392)), INDIRECT(CONCATENATE("$AC$"&amp;AJ$391)),
IF($K421=INDIRECT(CONCATENATE("$AD$"&amp;AJ$392)), INDIRECT(CONCATENATE("$AD$"&amp;AJ$391)),
IF($K421=INDIRECT(CONCATENATE("$AE$"&amp;AJ$392)), INDIRECT(CONCATENATE("$AE$"&amp;AJ$391)),
IF($K421=INDIRECT(CONCATENATE("$AF$"&amp;AJ$392)), INDIRECT(CONCATENATE("$AF$"&amp;AJ$391)),
IF($K421=INDIRECT(CONCATENATE("$AG$"&amp;AJ$392)), INDIRECT(CONCATENATE("$AG$"&amp;AJ$391)),"X")))))))))))))))))))))))))))))))</f>
        <v>X</v>
      </c>
      <c r="AK421" s="58" t="str">
        <f t="shared" ca="1" si="1830"/>
        <v>X</v>
      </c>
      <c r="AL421" s="58" t="str">
        <f t="shared" ca="1" si="1830"/>
        <v>X</v>
      </c>
      <c r="AM421" s="58" t="str">
        <f t="shared" ca="1" si="1830"/>
        <v>X</v>
      </c>
      <c r="AN421" s="58" t="str">
        <f t="shared" ca="1" si="1830"/>
        <v>X</v>
      </c>
      <c r="AO421" s="58" t="str">
        <f t="shared" ca="1" si="1830"/>
        <v>X</v>
      </c>
      <c r="AP421" s="58" t="str">
        <f t="shared" ca="1" si="1830"/>
        <v>X</v>
      </c>
      <c r="AQ421" s="58" t="str">
        <f t="shared" ca="1" si="1830"/>
        <v>X</v>
      </c>
      <c r="AR421" s="58" t="str">
        <f t="shared" ca="1" si="1830"/>
        <v>X</v>
      </c>
      <c r="AS421" s="58" t="str">
        <f t="shared" ca="1" si="1830"/>
        <v>X</v>
      </c>
      <c r="AT421" s="58" t="str">
        <f t="shared" ca="1" si="1830"/>
        <v>X</v>
      </c>
      <c r="AU421" s="58" t="str">
        <f t="shared" ca="1" si="1830"/>
        <v>X</v>
      </c>
      <c r="AV421" s="58" t="str">
        <f t="shared" ca="1" si="1830"/>
        <v>X</v>
      </c>
      <c r="AW421" s="58" t="str">
        <f t="shared" ca="1" si="1830"/>
        <v>X</v>
      </c>
      <c r="AX421" s="58" t="str">
        <f t="shared" ca="1" si="1830"/>
        <v>X</v>
      </c>
      <c r="AY421" s="58" t="str">
        <f t="shared" ca="1" si="1830"/>
        <v>X</v>
      </c>
      <c r="AZ421" s="58" t="str">
        <f t="shared" ca="1" si="1830"/>
        <v>X</v>
      </c>
      <c r="BA421" s="58" t="str">
        <f t="shared" ca="1" si="1830"/>
        <v>X</v>
      </c>
      <c r="BB421" s="58" t="str">
        <f t="shared" ca="1" si="1830"/>
        <v>X</v>
      </c>
      <c r="BC421" s="58" t="str">
        <f t="shared" ca="1" si="1830"/>
        <v>X</v>
      </c>
      <c r="BD421" s="58" t="str">
        <f t="shared" ca="1" si="1830"/>
        <v>X</v>
      </c>
      <c r="BE421" s="58" t="str">
        <f t="shared" ca="1" si="1830"/>
        <v>X</v>
      </c>
      <c r="BF421" s="58" t="str">
        <f t="shared" ca="1" si="1830"/>
        <v>X</v>
      </c>
      <c r="BG421" s="58" t="str">
        <f t="shared" ca="1" si="1830"/>
        <v>X</v>
      </c>
      <c r="BH421" s="58" t="str">
        <f t="shared" ca="1" si="1830"/>
        <v>X</v>
      </c>
      <c r="BI421" s="58" t="str">
        <f t="shared" ca="1" si="1830"/>
        <v>X</v>
      </c>
      <c r="BJ421" s="58" t="str">
        <f t="shared" ca="1" si="1830"/>
        <v>X</v>
      </c>
      <c r="BK421" s="58" t="str">
        <f t="shared" ca="1" si="1830"/>
        <v>X</v>
      </c>
      <c r="BL421" s="58" t="str">
        <f t="shared" ca="1" si="1830"/>
        <v>X</v>
      </c>
      <c r="BM421" s="58" t="str">
        <f t="shared" ca="1" si="1830"/>
        <v>X</v>
      </c>
      <c r="BN421" s="58" t="str">
        <f t="shared" ca="1" si="1830"/>
        <v>X</v>
      </c>
      <c r="BO421" s="58" t="str">
        <f t="shared" ca="1" si="1830"/>
        <v>X</v>
      </c>
      <c r="BP421" s="58" t="str">
        <f t="shared" ca="1" si="1830"/>
        <v>X</v>
      </c>
      <c r="BQ421" s="58" t="str">
        <f t="shared" ca="1" si="1830"/>
        <v>X</v>
      </c>
      <c r="BR421" s="58" t="str">
        <f t="shared" ca="1" si="1830"/>
        <v>X</v>
      </c>
      <c r="BS421" s="58" t="str">
        <f t="shared" ca="1" si="1830"/>
        <v>X</v>
      </c>
      <c r="BT421" s="58" t="str">
        <f t="shared" ca="1" si="1830"/>
        <v>X</v>
      </c>
      <c r="BU421" s="58" t="str">
        <f t="shared" ca="1" si="1830"/>
        <v>X</v>
      </c>
      <c r="BV421" s="58" t="str">
        <f t="shared" ca="1" si="1830"/>
        <v>X</v>
      </c>
      <c r="BW421" s="58" t="str">
        <f t="shared" ca="1" si="1830"/>
        <v>X</v>
      </c>
      <c r="BX421" s="58" t="str">
        <f t="shared" ca="1" si="1830"/>
        <v>X</v>
      </c>
      <c r="BY421" s="58" t="str">
        <f t="shared" ca="1" si="1830"/>
        <v>X</v>
      </c>
      <c r="BZ421" s="58" t="str">
        <f t="shared" ca="1" si="1830"/>
        <v>X</v>
      </c>
      <c r="CA421" s="58" t="str">
        <f t="shared" ca="1" si="1830"/>
        <v>X</v>
      </c>
      <c r="CB421" s="58" t="str">
        <f t="shared" ca="1" si="1830"/>
        <v>X</v>
      </c>
      <c r="CC421" s="58" t="str">
        <f t="shared" ca="1" si="1830"/>
        <v>X</v>
      </c>
      <c r="CD421" s="58" t="str">
        <f t="shared" ca="1" si="1830"/>
        <v>X</v>
      </c>
      <c r="CE421" s="58" t="str">
        <f t="shared" ca="1" si="1830"/>
        <v>X</v>
      </c>
      <c r="CF421" s="58" t="str">
        <f t="shared" ca="1" si="1830"/>
        <v>X</v>
      </c>
      <c r="CG421" s="58" t="str">
        <f t="shared" ca="1" si="1830"/>
        <v>X</v>
      </c>
      <c r="CH421" s="58" t="str">
        <f t="shared" ca="1" si="1830"/>
        <v>X</v>
      </c>
      <c r="CI421" s="58" t="str">
        <f t="shared" ca="1" si="1830"/>
        <v>X</v>
      </c>
      <c r="CJ421" s="58" t="str">
        <f t="shared" ca="1" si="1830"/>
        <v>X</v>
      </c>
      <c r="CK421" s="58" t="str">
        <f t="shared" ca="1" si="1830"/>
        <v>X</v>
      </c>
      <c r="CL421" s="58" t="str">
        <f t="shared" ca="1" si="1830"/>
        <v>X</v>
      </c>
      <c r="CM421" s="58" t="str">
        <f t="shared" ca="1" si="1830"/>
        <v>X</v>
      </c>
      <c r="CN421" s="58" t="str">
        <f t="shared" ca="1" si="1830"/>
        <v>X</v>
      </c>
      <c r="CO421" s="58" t="str">
        <f t="shared" ca="1" si="1830"/>
        <v>X</v>
      </c>
      <c r="CP421" s="58" t="str">
        <f t="shared" ca="1" si="1830"/>
        <v>X</v>
      </c>
      <c r="CQ421" s="58" t="str">
        <f t="shared" ca="1" si="1830"/>
        <v>X</v>
      </c>
      <c r="CR421" s="58" t="str">
        <f t="shared" ca="1" si="1830"/>
        <v>X</v>
      </c>
      <c r="CS421" s="58" t="str">
        <f t="shared" ca="1" si="1830"/>
        <v>X</v>
      </c>
      <c r="CT421" s="58" t="str">
        <f t="shared" ca="1" si="1830"/>
        <v>X</v>
      </c>
      <c r="CU421" s="58" t="str">
        <f t="shared" ca="1" si="1830"/>
        <v>X</v>
      </c>
      <c r="CV421" s="58" t="str">
        <f t="shared" ca="1" si="1830"/>
        <v>X</v>
      </c>
      <c r="CW421" s="58" t="str">
        <f t="shared" ca="1" si="1830"/>
        <v>X</v>
      </c>
      <c r="CX421" s="58" t="str">
        <f t="shared" ca="1" si="1830"/>
        <v>X</v>
      </c>
      <c r="CY421" s="58" t="str">
        <f t="shared" ca="1" si="1830"/>
        <v>X</v>
      </c>
      <c r="CZ421" s="58" t="str">
        <f t="shared" ca="1" si="1830"/>
        <v>X</v>
      </c>
      <c r="DA421" s="58" t="str">
        <f t="shared" ca="1" si="1830"/>
        <v>X</v>
      </c>
      <c r="DB421" s="58" t="str">
        <f t="shared" ca="1" si="1830"/>
        <v>X</v>
      </c>
      <c r="DC421" s="58" t="str">
        <f t="shared" ca="1" si="1830"/>
        <v>X</v>
      </c>
      <c r="DD421" s="58" t="str">
        <f t="shared" ca="1" si="1830"/>
        <v>X</v>
      </c>
      <c r="DE421" s="58" t="str">
        <f t="shared" ca="1" si="1830"/>
        <v>X</v>
      </c>
      <c r="DF421" s="58" t="str">
        <f t="shared" ca="1" si="1830"/>
        <v>X</v>
      </c>
      <c r="DG421" s="58" t="str">
        <f t="shared" ca="1" si="1830"/>
        <v>X</v>
      </c>
      <c r="DH421" s="58" t="str">
        <f t="shared" ca="1" si="1830"/>
        <v>X</v>
      </c>
      <c r="DI421" s="58" t="str">
        <f t="shared" ca="1" si="1830"/>
        <v>X</v>
      </c>
      <c r="DJ421" s="58" t="str">
        <f t="shared" ca="1" si="1830"/>
        <v>X</v>
      </c>
      <c r="DK421" s="58" t="str">
        <f t="shared" ca="1" si="1830"/>
        <v>X</v>
      </c>
      <c r="DL421" s="58" t="str">
        <f t="shared" ca="1" si="1830"/>
        <v>X</v>
      </c>
      <c r="DM421" s="58" t="str">
        <f t="shared" ca="1" si="1830"/>
        <v>X</v>
      </c>
      <c r="DN421" s="58" t="str">
        <f t="shared" ca="1" si="1830"/>
        <v>X</v>
      </c>
      <c r="DO421" s="58" t="str">
        <f t="shared" ca="1" si="1830"/>
        <v>X</v>
      </c>
      <c r="DP421" s="58" t="str">
        <f t="shared" ca="1" si="1830"/>
        <v>X</v>
      </c>
      <c r="DQ421" s="58" t="str">
        <f t="shared" ca="1" si="1830"/>
        <v>X</v>
      </c>
      <c r="DR421" s="58" t="str">
        <f t="shared" ca="1" si="1830"/>
        <v>X</v>
      </c>
      <c r="DS421" s="58" t="str">
        <f t="shared" ca="1" si="1830"/>
        <v>X</v>
      </c>
      <c r="DT421" s="58" t="str">
        <f t="shared" ca="1" si="1830"/>
        <v>X</v>
      </c>
      <c r="DU421" s="58" t="str">
        <f t="shared" ca="1" si="1830"/>
        <v>X</v>
      </c>
      <c r="DV421" s="58" t="str">
        <f t="shared" ca="1" si="1830"/>
        <v>X</v>
      </c>
      <c r="DW421" s="58" t="str">
        <f t="shared" ca="1" si="1830"/>
        <v>X</v>
      </c>
      <c r="DX421" s="58" t="str">
        <f t="shared" ca="1" si="1830"/>
        <v>X</v>
      </c>
      <c r="DY421" s="58" t="str">
        <f t="shared" ca="1" si="1830"/>
        <v>X</v>
      </c>
      <c r="DZ421" s="58" t="str">
        <f t="shared" ca="1" si="1830"/>
        <v>X</v>
      </c>
      <c r="EA421" s="58" t="str">
        <f t="shared" ca="1" si="1830"/>
        <v>X</v>
      </c>
      <c r="EB421" s="58" t="str">
        <f t="shared" ca="1" si="1830"/>
        <v>X</v>
      </c>
      <c r="EC421" s="58" t="str">
        <f t="shared" ca="1" si="1830"/>
        <v>X</v>
      </c>
      <c r="ED421" s="58" t="str">
        <f t="shared" ca="1" si="1830"/>
        <v>X</v>
      </c>
      <c r="EE421" s="58" t="str">
        <f t="shared" ca="1" si="1830"/>
        <v>X</v>
      </c>
      <c r="EF421" s="58" t="str">
        <f t="shared" ca="1" si="1830"/>
        <v>X</v>
      </c>
      <c r="EG421" s="58" t="str">
        <f t="shared" ca="1" si="1830"/>
        <v>X</v>
      </c>
      <c r="EH421" s="58" t="str">
        <f t="shared" ca="1" si="1830"/>
        <v>X</v>
      </c>
      <c r="EI421" s="58" t="str">
        <f t="shared" ca="1" si="1830"/>
        <v>X</v>
      </c>
      <c r="EJ421" s="58" t="str">
        <f t="shared" ca="1" si="1830"/>
        <v>X</v>
      </c>
      <c r="EK421" s="58" t="str">
        <f t="shared" ca="1" si="1830"/>
        <v>X</v>
      </c>
      <c r="EL421" s="58" t="str">
        <f t="shared" ca="1" si="1830"/>
        <v>X</v>
      </c>
      <c r="EM421" s="58" t="str">
        <f t="shared" ca="1" si="1830"/>
        <v>X</v>
      </c>
      <c r="EN421" s="58" t="str">
        <f t="shared" ca="1" si="1830"/>
        <v>X</v>
      </c>
      <c r="EO421" s="58" t="str">
        <f t="shared" ca="1" si="1830"/>
        <v>X</v>
      </c>
      <c r="EP421" s="58" t="str">
        <f t="shared" ca="1" si="1830"/>
        <v>X</v>
      </c>
      <c r="EQ421" s="58" t="str">
        <f t="shared" ca="1" si="1830"/>
        <v>X</v>
      </c>
      <c r="ER421" s="58" t="str">
        <f t="shared" ca="1" si="1830"/>
        <v>X</v>
      </c>
      <c r="ES421" s="58" t="str">
        <f t="shared" ca="1" si="1830"/>
        <v>X</v>
      </c>
      <c r="ET421" s="58" t="str">
        <f t="shared" ca="1" si="1830"/>
        <v>X</v>
      </c>
      <c r="EU421" s="58" t="str">
        <f t="shared" ca="1" si="1830"/>
        <v>X</v>
      </c>
      <c r="EV421" s="58" t="str">
        <f t="shared" ca="1" si="1830"/>
        <v>X</v>
      </c>
      <c r="EW421" s="58" t="str">
        <f t="shared" ca="1" si="1830"/>
        <v>X</v>
      </c>
      <c r="EX421" s="58" t="str">
        <f t="shared" ca="1" si="1830"/>
        <v>X</v>
      </c>
      <c r="EY421" s="58" t="str">
        <f t="shared" ca="1" si="1830"/>
        <v>X</v>
      </c>
      <c r="EZ421" s="58" t="str">
        <f t="shared" ca="1" si="1830"/>
        <v>X</v>
      </c>
      <c r="FA421" s="58" t="str">
        <f t="shared" ca="1" si="1830"/>
        <v>X</v>
      </c>
      <c r="FB421" s="58" t="str">
        <f t="shared" ca="1" si="1830"/>
        <v>X</v>
      </c>
      <c r="FC421" s="58" t="str">
        <f t="shared" ca="1" si="1830"/>
        <v>X</v>
      </c>
      <c r="FD421" s="58" t="str">
        <f t="shared" ca="1" si="1830"/>
        <v>X</v>
      </c>
      <c r="FE421" s="58" t="str">
        <f t="shared" ca="1" si="1830"/>
        <v>X</v>
      </c>
      <c r="FF421" s="58" t="str">
        <f t="shared" ca="1" si="1830"/>
        <v>X</v>
      </c>
      <c r="FG421" s="58" t="str">
        <f t="shared" ca="1" si="1830"/>
        <v>X</v>
      </c>
      <c r="FH421" s="58" t="str">
        <f t="shared" ca="1" si="1830"/>
        <v>X</v>
      </c>
      <c r="FI421" s="58" t="str">
        <f t="shared" ca="1" si="1830"/>
        <v>X</v>
      </c>
      <c r="FJ421" s="58" t="str">
        <f t="shared" ca="1" si="1830"/>
        <v>X</v>
      </c>
      <c r="FK421" s="58" t="str">
        <f t="shared" ca="1" si="1830"/>
        <v>X</v>
      </c>
      <c r="FL421" s="58" t="str">
        <f t="shared" ca="1" si="1830"/>
        <v>X</v>
      </c>
      <c r="FM421" s="58" t="str">
        <f t="shared" ca="1" si="1830"/>
        <v>X</v>
      </c>
      <c r="FN421" s="58" t="str">
        <f t="shared" ca="1" si="1830"/>
        <v>X</v>
      </c>
      <c r="FO421" s="58" t="str">
        <f t="shared" ca="1" si="1830"/>
        <v>X</v>
      </c>
      <c r="FP421" s="58" t="str">
        <f t="shared" ca="1" si="1830"/>
        <v>X</v>
      </c>
      <c r="FQ421" s="58" t="str">
        <f t="shared" ca="1" si="1830"/>
        <v>X</v>
      </c>
      <c r="FR421" s="58" t="str">
        <f t="shared" ca="1" si="1830"/>
        <v>X</v>
      </c>
      <c r="FS421" s="58" t="str">
        <f t="shared" ca="1" si="1830"/>
        <v>X</v>
      </c>
      <c r="FT421" s="58" t="str">
        <f t="shared" ca="1" si="1830"/>
        <v>X</v>
      </c>
      <c r="FU421" s="58" t="str">
        <f t="shared" ca="1" si="1830"/>
        <v>X</v>
      </c>
      <c r="FV421" s="58" t="str">
        <f t="shared" ca="1" si="1830"/>
        <v>X</v>
      </c>
      <c r="FW421" s="58" t="str">
        <f t="shared" ca="1" si="1830"/>
        <v>X</v>
      </c>
      <c r="FX421" s="58" t="str">
        <f t="shared" ca="1" si="1830"/>
        <v>X</v>
      </c>
      <c r="FY421" s="58" t="str">
        <f t="shared" ca="1" si="1830"/>
        <v>X</v>
      </c>
      <c r="FZ421" s="58" t="str">
        <f t="shared" ca="1" si="1830"/>
        <v>X</v>
      </c>
      <c r="GA421" s="58" t="str">
        <f t="shared" ca="1" si="1830"/>
        <v>X</v>
      </c>
      <c r="GB421" s="58" t="str">
        <f t="shared" ca="1" si="1830"/>
        <v>X</v>
      </c>
      <c r="GC421" s="58" t="str">
        <f t="shared" ca="1" si="1830"/>
        <v>X</v>
      </c>
      <c r="GD421" s="58" t="str">
        <f t="shared" ca="1" si="1830"/>
        <v>X</v>
      </c>
      <c r="GE421" s="58" t="str">
        <f t="shared" ca="1" si="1830"/>
        <v>X</v>
      </c>
      <c r="GF421" s="58" t="str">
        <f t="shared" ca="1" si="1830"/>
        <v>X</v>
      </c>
      <c r="GG421" s="58" t="str">
        <f t="shared" ca="1" si="1830"/>
        <v>X</v>
      </c>
      <c r="GH421" s="58" t="str">
        <f t="shared" ca="1" si="1830"/>
        <v>X</v>
      </c>
      <c r="GI421" s="58" t="str">
        <f t="shared" ca="1" si="1830"/>
        <v>X</v>
      </c>
      <c r="GJ421" s="58" t="str">
        <f t="shared" ca="1" si="1830"/>
        <v>X</v>
      </c>
      <c r="GK421" s="58" t="str">
        <f t="shared" ca="1" si="1830"/>
        <v>X</v>
      </c>
      <c r="GL421" s="58" t="str">
        <f t="shared" ca="1" si="1830"/>
        <v>X</v>
      </c>
      <c r="GM421" s="58" t="str">
        <f t="shared" ca="1" si="1830"/>
        <v>X</v>
      </c>
      <c r="GN421" s="58" t="str">
        <f t="shared" ca="1" si="1830"/>
        <v>X</v>
      </c>
      <c r="GO421" s="58" t="str">
        <f t="shared" ca="1" si="1830"/>
        <v>X</v>
      </c>
      <c r="GP421" s="58" t="str">
        <f t="shared" ca="1" si="1830"/>
        <v>X</v>
      </c>
      <c r="GQ421" s="58" t="str">
        <f t="shared" ca="1" si="1830"/>
        <v>X</v>
      </c>
      <c r="GR421" s="58" t="str">
        <f t="shared" ca="1" si="1830"/>
        <v>X</v>
      </c>
      <c r="GS421" s="80" t="str">
        <f t="shared" ca="1" si="1830"/>
        <v>X</v>
      </c>
      <c r="GT421" s="58" t="str">
        <f t="shared" ca="1" si="1830"/>
        <v>X</v>
      </c>
      <c r="GU421" s="82" t="str">
        <f t="shared" ca="1" si="1617"/>
        <v>X</v>
      </c>
      <c r="GV421" s="58" t="str">
        <f t="shared" ca="1" si="1618"/>
        <v>X</v>
      </c>
      <c r="GW421" s="58" t="str">
        <f t="shared" ca="1" si="1619"/>
        <v>X</v>
      </c>
      <c r="GX421" s="58" t="str">
        <f t="shared" ca="1" si="1620"/>
        <v>X</v>
      </c>
      <c r="GY421" s="58" t="str">
        <f t="shared" ca="1" si="1621"/>
        <v>X</v>
      </c>
      <c r="GZ421" s="58" t="str">
        <f t="shared" ca="1" si="1622"/>
        <v>X</v>
      </c>
      <c r="HA421" s="58" t="str">
        <f t="shared" ca="1" si="1623"/>
        <v>X</v>
      </c>
      <c r="HB421" s="58" t="str">
        <f t="shared" ca="1" si="1624"/>
        <v>X</v>
      </c>
      <c r="HC421" s="58" t="str">
        <f t="shared" ca="1" si="1625"/>
        <v>X</v>
      </c>
      <c r="HD421" s="58" t="str">
        <f t="shared" ca="1" si="1626"/>
        <v>X</v>
      </c>
      <c r="HE421" s="58" t="str">
        <f t="shared" ca="1" si="1627"/>
        <v>X</v>
      </c>
      <c r="HF421" s="58" t="str">
        <f t="shared" ca="1" si="1628"/>
        <v>X</v>
      </c>
      <c r="HG421" s="58" t="str">
        <f t="shared" ca="1" si="1629"/>
        <v>X</v>
      </c>
      <c r="HH421" s="58" t="str">
        <f t="shared" ca="1" si="1630"/>
        <v>X</v>
      </c>
      <c r="HI421" s="58" t="str">
        <f t="shared" ca="1" si="1631"/>
        <v>X</v>
      </c>
      <c r="HJ421" s="58" t="str">
        <f t="shared" ca="1" si="1632"/>
        <v>X</v>
      </c>
      <c r="HK421" s="58" t="str">
        <f t="shared" ca="1" si="1633"/>
        <v>X</v>
      </c>
      <c r="HL421" s="58" t="str">
        <f t="shared" ca="1" si="1634"/>
        <v>X</v>
      </c>
      <c r="HM421" s="58" t="str">
        <f t="shared" ca="1" si="1635"/>
        <v>X</v>
      </c>
      <c r="HN421" s="58" t="str">
        <f t="shared" ca="1" si="1636"/>
        <v>X</v>
      </c>
      <c r="HO421" s="58" t="str">
        <f t="shared" ca="1" si="1637"/>
        <v>X</v>
      </c>
      <c r="HP421" s="58" t="str">
        <f t="shared" ca="1" si="1638"/>
        <v>X</v>
      </c>
      <c r="HQ421" s="58" t="str">
        <f t="shared" ca="1" si="1639"/>
        <v>X</v>
      </c>
      <c r="HR421" s="58" t="str">
        <f t="shared" ca="1" si="1640"/>
        <v>X</v>
      </c>
      <c r="HS421" s="58" t="str">
        <f t="shared" ca="1" si="1641"/>
        <v>X</v>
      </c>
      <c r="HT421" s="58" t="str">
        <f t="shared" ca="1" si="1642"/>
        <v>X</v>
      </c>
      <c r="HU421" s="58" t="str">
        <f t="shared" ca="1" si="1643"/>
        <v>X</v>
      </c>
      <c r="HV421" s="58" t="str">
        <f t="shared" ca="1" si="1644"/>
        <v>X</v>
      </c>
      <c r="HW421" s="58" t="str">
        <f t="shared" ca="1" si="1645"/>
        <v>X</v>
      </c>
      <c r="HX421" s="58" t="str">
        <f t="shared" ca="1" si="1646"/>
        <v>X</v>
      </c>
      <c r="HY421" s="58" t="str">
        <f t="shared" ca="1" si="1647"/>
        <v>X</v>
      </c>
      <c r="HZ421" s="58" t="str">
        <f t="shared" ca="1" si="1648"/>
        <v>X</v>
      </c>
      <c r="IA421" s="58" t="str">
        <f t="shared" ca="1" si="1649"/>
        <v>X</v>
      </c>
      <c r="IB421" s="58" t="str">
        <f t="shared" ca="1" si="1650"/>
        <v>X</v>
      </c>
      <c r="IC421" s="58" t="str">
        <f t="shared" ca="1" si="1651"/>
        <v>X</v>
      </c>
      <c r="ID421" s="58" t="str">
        <f t="shared" ca="1" si="1652"/>
        <v>X</v>
      </c>
      <c r="IE421" s="58" t="str">
        <f t="shared" ca="1" si="1653"/>
        <v>X</v>
      </c>
      <c r="IF421" s="58" t="str">
        <f t="shared" ca="1" si="1654"/>
        <v>X</v>
      </c>
      <c r="IG421" s="58" t="str">
        <f t="shared" ca="1" si="1655"/>
        <v>X</v>
      </c>
      <c r="IH421" s="58" t="str">
        <f t="shared" ca="1" si="1656"/>
        <v>X</v>
      </c>
      <c r="II421" s="58" t="str">
        <f t="shared" ca="1" si="1657"/>
        <v>X</v>
      </c>
      <c r="IJ421" s="58" t="str">
        <f t="shared" ca="1" si="1658"/>
        <v>X</v>
      </c>
      <c r="IK421" s="58" t="str">
        <f t="shared" ca="1" si="1659"/>
        <v>X</v>
      </c>
      <c r="IL421" s="58" t="str">
        <f t="shared" ca="1" si="1660"/>
        <v>X</v>
      </c>
      <c r="IM421" s="58" t="str">
        <f t="shared" ca="1" si="1661"/>
        <v>X</v>
      </c>
      <c r="IN421" s="58" t="str">
        <f t="shared" ca="1" si="1662"/>
        <v>X</v>
      </c>
      <c r="IO421" s="58" t="str">
        <f t="shared" ca="1" si="1663"/>
        <v>X</v>
      </c>
      <c r="IP421" s="58" t="str">
        <f t="shared" ca="1" si="1664"/>
        <v>X</v>
      </c>
      <c r="IQ421" s="58" t="str">
        <f t="shared" ca="1" si="1665"/>
        <v>X</v>
      </c>
      <c r="IR421" s="58" t="str">
        <f t="shared" ca="1" si="1666"/>
        <v>X</v>
      </c>
      <c r="IS421" s="58" t="str">
        <f t="shared" ca="1" si="1667"/>
        <v>X</v>
      </c>
      <c r="IT421" s="58" t="str">
        <f t="shared" ca="1" si="1668"/>
        <v>X</v>
      </c>
      <c r="IU421" s="58" t="str">
        <f t="shared" ca="1" si="1669"/>
        <v>X</v>
      </c>
      <c r="IV421" s="58" t="str">
        <f t="shared" ca="1" si="1670"/>
        <v>X</v>
      </c>
      <c r="IW421" s="58" t="str">
        <f t="shared" ca="1" si="1671"/>
        <v>X</v>
      </c>
      <c r="IX421" s="58" t="str">
        <f t="shared" ca="1" si="1672"/>
        <v>X</v>
      </c>
      <c r="IY421" s="58" t="str">
        <f t="shared" ca="1" si="1673"/>
        <v>X</v>
      </c>
      <c r="IZ421" s="58" t="str">
        <f t="shared" ca="1" si="1674"/>
        <v>X</v>
      </c>
      <c r="JA421" s="58" t="str">
        <f t="shared" ca="1" si="1675"/>
        <v>X</v>
      </c>
      <c r="JB421" s="58" t="str">
        <f t="shared" ca="1" si="1676"/>
        <v>X</v>
      </c>
      <c r="JC421" s="58" t="str">
        <f t="shared" ca="1" si="1677"/>
        <v>X</v>
      </c>
      <c r="JD421" s="58" t="str">
        <f t="shared" ca="1" si="1678"/>
        <v>X</v>
      </c>
      <c r="JE421" s="58" t="str">
        <f t="shared" ca="1" si="1679"/>
        <v>X</v>
      </c>
      <c r="JF421" s="58" t="str">
        <f t="shared" ca="1" si="1680"/>
        <v>X</v>
      </c>
      <c r="JG421" s="58" t="str">
        <f t="shared" ca="1" si="1681"/>
        <v>X</v>
      </c>
      <c r="JH421" s="58" t="str">
        <f t="shared" ca="1" si="1682"/>
        <v>X</v>
      </c>
      <c r="JI421" s="58" t="str">
        <f t="shared" ca="1" si="1683"/>
        <v>X</v>
      </c>
      <c r="JJ421" s="58" t="str">
        <f t="shared" ca="1" si="1684"/>
        <v>X</v>
      </c>
      <c r="JK421" s="58" t="str">
        <f t="shared" ca="1" si="1685"/>
        <v>X</v>
      </c>
      <c r="JL421" s="58" t="str">
        <f t="shared" ca="1" si="1686"/>
        <v>X</v>
      </c>
      <c r="JM421" s="58" t="str">
        <f t="shared" ca="1" si="1687"/>
        <v>X</v>
      </c>
      <c r="JN421" s="58" t="str">
        <f t="shared" ca="1" si="1688"/>
        <v>X</v>
      </c>
      <c r="JO421" s="58" t="str">
        <f t="shared" ca="1" si="1689"/>
        <v>X</v>
      </c>
      <c r="JP421" s="58" t="str">
        <f t="shared" ca="1" si="1690"/>
        <v>X</v>
      </c>
      <c r="JQ421" s="58" t="str">
        <f t="shared" ca="1" si="1691"/>
        <v>X</v>
      </c>
      <c r="JR421" s="58" t="str">
        <f t="shared" ca="1" si="1692"/>
        <v>X</v>
      </c>
      <c r="JS421" s="58" t="str">
        <f t="shared" ca="1" si="1693"/>
        <v>X</v>
      </c>
      <c r="JT421" s="58" t="str">
        <f t="shared" ca="1" si="1694"/>
        <v>X</v>
      </c>
      <c r="JU421" s="58" t="str">
        <f t="shared" ca="1" si="1695"/>
        <v>X</v>
      </c>
      <c r="JV421" s="58" t="str">
        <f t="shared" ca="1" si="1696"/>
        <v>X</v>
      </c>
      <c r="JW421" s="58" t="str">
        <f t="shared" ca="1" si="1697"/>
        <v>X</v>
      </c>
      <c r="JX421" s="58" t="str">
        <f t="shared" ca="1" si="1698"/>
        <v>X</v>
      </c>
      <c r="JY421" s="58" t="str">
        <f t="shared" ca="1" si="1699"/>
        <v>X</v>
      </c>
      <c r="JZ421" s="58" t="str">
        <f t="shared" ca="1" si="1700"/>
        <v>X</v>
      </c>
      <c r="KA421" s="58" t="str">
        <f t="shared" ca="1" si="1701"/>
        <v>X</v>
      </c>
      <c r="KB421" s="58" t="str">
        <f t="shared" ca="1" si="1702"/>
        <v>X</v>
      </c>
      <c r="KC421" s="58" t="str">
        <f t="shared" ca="1" si="1703"/>
        <v>X</v>
      </c>
      <c r="KD421" s="58" t="str">
        <f t="shared" ca="1" si="1704"/>
        <v>X</v>
      </c>
      <c r="KE421" s="58" t="str">
        <f t="shared" ca="1" si="1705"/>
        <v>X</v>
      </c>
      <c r="KF421" s="58" t="str">
        <f t="shared" ca="1" si="1706"/>
        <v>X</v>
      </c>
      <c r="KG421" s="58" t="str">
        <f t="shared" ca="1" si="1707"/>
        <v>X</v>
      </c>
      <c r="KH421" s="58" t="str">
        <f t="shared" ca="1" si="1708"/>
        <v>X</v>
      </c>
      <c r="KI421" s="58" t="str">
        <f t="shared" ca="1" si="1709"/>
        <v>X</v>
      </c>
      <c r="KJ421" s="58" t="str">
        <f t="shared" ca="1" si="1710"/>
        <v>X</v>
      </c>
      <c r="KK421" s="58" t="str">
        <f t="shared" ca="1" si="1711"/>
        <v>X</v>
      </c>
      <c r="KL421" s="58" t="str">
        <f t="shared" ca="1" si="1712"/>
        <v>X</v>
      </c>
      <c r="KM421" s="58" t="str">
        <f t="shared" ca="1" si="1713"/>
        <v>X</v>
      </c>
      <c r="KN421" s="58" t="str">
        <f t="shared" ca="1" si="1714"/>
        <v>X</v>
      </c>
      <c r="KO421" s="58" t="str">
        <f t="shared" ca="1" si="1715"/>
        <v>X</v>
      </c>
      <c r="KP421" s="58" t="str">
        <f t="shared" ca="1" si="1716"/>
        <v>X</v>
      </c>
      <c r="KQ421" s="58" t="str">
        <f t="shared" ca="1" si="1717"/>
        <v>X</v>
      </c>
      <c r="KR421" s="58" t="str">
        <f t="shared" ca="1" si="1718"/>
        <v>X</v>
      </c>
      <c r="KS421" s="58" t="str">
        <f t="shared" ca="1" si="1719"/>
        <v>X</v>
      </c>
      <c r="KT421" s="58" t="str">
        <f t="shared" ca="1" si="1720"/>
        <v>X</v>
      </c>
      <c r="KU421" s="58" t="str">
        <f t="shared" ca="1" si="1721"/>
        <v>X</v>
      </c>
      <c r="KV421" s="58" t="str">
        <f t="shared" ca="1" si="1722"/>
        <v>X</v>
      </c>
      <c r="KW421" s="58" t="str">
        <f t="shared" ca="1" si="1723"/>
        <v>X</v>
      </c>
      <c r="KX421" s="58" t="str">
        <f t="shared" ca="1" si="1724"/>
        <v>X</v>
      </c>
      <c r="KY421" s="58" t="str">
        <f t="shared" ca="1" si="1725"/>
        <v>X</v>
      </c>
      <c r="KZ421" s="58" t="str">
        <f t="shared" ca="1" si="1726"/>
        <v>X</v>
      </c>
      <c r="LA421" s="58" t="str">
        <f t="shared" ca="1" si="1727"/>
        <v>X</v>
      </c>
      <c r="LB421" s="58" t="str">
        <f t="shared" ca="1" si="1728"/>
        <v>X</v>
      </c>
      <c r="LC421" s="58" t="str">
        <f t="shared" ca="1" si="1729"/>
        <v>X</v>
      </c>
      <c r="LD421" s="58" t="str">
        <f t="shared" ca="1" si="1730"/>
        <v>X</v>
      </c>
      <c r="LE421" s="58" t="str">
        <f t="shared" ca="1" si="1731"/>
        <v>X</v>
      </c>
      <c r="LF421" s="58" t="str">
        <f t="shared" ca="1" si="1732"/>
        <v>X</v>
      </c>
      <c r="LG421" s="58" t="str">
        <f t="shared" ca="1" si="1733"/>
        <v>X</v>
      </c>
      <c r="LH421" s="58" t="str">
        <f t="shared" ca="1" si="1734"/>
        <v>X</v>
      </c>
      <c r="LI421" s="58" t="str">
        <f t="shared" ca="1" si="1735"/>
        <v>X</v>
      </c>
      <c r="LJ421" s="58" t="str">
        <f t="shared" ca="1" si="1736"/>
        <v>X</v>
      </c>
      <c r="LK421" s="58" t="str">
        <f t="shared" ca="1" si="1737"/>
        <v>X</v>
      </c>
      <c r="LL421" s="58" t="str">
        <f t="shared" ca="1" si="1738"/>
        <v>X</v>
      </c>
      <c r="LM421" s="58" t="str">
        <f t="shared" ca="1" si="1739"/>
        <v>X</v>
      </c>
      <c r="LN421" s="58" t="str">
        <f t="shared" ca="1" si="1740"/>
        <v>X</v>
      </c>
      <c r="LO421" s="58" t="str">
        <f t="shared" ca="1" si="1741"/>
        <v>X</v>
      </c>
      <c r="LP421" s="58" t="str">
        <f t="shared" ca="1" si="1742"/>
        <v>X</v>
      </c>
      <c r="LQ421" s="58" t="str">
        <f t="shared" ca="1" si="1743"/>
        <v>X</v>
      </c>
      <c r="LR421" s="58" t="str">
        <f t="shared" ca="1" si="1744"/>
        <v>X</v>
      </c>
      <c r="LS421" s="58" t="str">
        <f t="shared" ca="1" si="1745"/>
        <v>X</v>
      </c>
      <c r="LT421" s="58" t="str">
        <f t="shared" ca="1" si="1746"/>
        <v>X</v>
      </c>
      <c r="LU421" s="58" t="str">
        <f t="shared" ca="1" si="1747"/>
        <v>X</v>
      </c>
      <c r="LV421" s="58" t="str">
        <f t="shared" ca="1" si="1748"/>
        <v>X</v>
      </c>
      <c r="LW421" s="58" t="str">
        <f t="shared" ca="1" si="1749"/>
        <v>X</v>
      </c>
      <c r="LX421" s="58" t="str">
        <f t="shared" ca="1" si="1750"/>
        <v>X</v>
      </c>
      <c r="LY421" s="58" t="str">
        <f t="shared" ca="1" si="1751"/>
        <v>X</v>
      </c>
      <c r="LZ421" s="58" t="str">
        <f t="shared" ca="1" si="1752"/>
        <v>X</v>
      </c>
      <c r="MA421" s="58" t="str">
        <f t="shared" ca="1" si="1753"/>
        <v>X</v>
      </c>
      <c r="MB421" s="58" t="str">
        <f t="shared" ca="1" si="1754"/>
        <v>X</v>
      </c>
      <c r="MC421" s="58" t="str">
        <f t="shared" ca="1" si="1755"/>
        <v>X</v>
      </c>
      <c r="MD421" s="58" t="str">
        <f t="shared" ca="1" si="1756"/>
        <v>X</v>
      </c>
      <c r="ME421" s="58" t="str">
        <f t="shared" ca="1" si="1757"/>
        <v>X</v>
      </c>
      <c r="MF421" s="58" t="str">
        <f t="shared" ca="1" si="1758"/>
        <v>X</v>
      </c>
      <c r="MG421" s="58" t="str">
        <f t="shared" ca="1" si="1759"/>
        <v>X</v>
      </c>
      <c r="MH421" s="58" t="str">
        <f t="shared" ca="1" si="1760"/>
        <v>X</v>
      </c>
      <c r="MI421" s="58" t="str">
        <f t="shared" ca="1" si="1761"/>
        <v>X</v>
      </c>
      <c r="MJ421" s="58" t="str">
        <f t="shared" ca="1" si="1762"/>
        <v>X</v>
      </c>
      <c r="MK421" s="58" t="str">
        <f t="shared" ca="1" si="1763"/>
        <v>X</v>
      </c>
      <c r="ML421" s="58" t="str">
        <f t="shared" ca="1" si="1764"/>
        <v>X</v>
      </c>
      <c r="MM421" s="58" t="str">
        <f t="shared" ca="1" si="1765"/>
        <v>X</v>
      </c>
      <c r="MN421" s="58" t="str">
        <f t="shared" ca="1" si="1766"/>
        <v>X</v>
      </c>
      <c r="MO421" s="58" t="str">
        <f t="shared" ca="1" si="1767"/>
        <v>X</v>
      </c>
      <c r="MP421" s="58" t="str">
        <f t="shared" ca="1" si="1768"/>
        <v>X</v>
      </c>
      <c r="MQ421" s="58" t="str">
        <f t="shared" ca="1" si="1769"/>
        <v>X</v>
      </c>
      <c r="MR421" s="58" t="str">
        <f t="shared" ca="1" si="1770"/>
        <v>X</v>
      </c>
      <c r="MS421" s="58" t="str">
        <f t="shared" ca="1" si="1771"/>
        <v>X</v>
      </c>
      <c r="MT421" s="58" t="str">
        <f t="shared" ref="MT421:NE421" ca="1" si="1831">IF($K421=INDIRECT(CONCATENATE("$AG$"&amp;GH$392)),INDIRECT(CONCATENATE("$AG$"&amp;GH$391)),
IF($K421=INDIRECT(CONCATENATE("$AF$"&amp;GH$392)),INDIRECT(CONCATENATE("$AF$"&amp;GH$391)),
IF($K421=INDIRECT(CONCATENATE("$AE$"&amp;GH$392)),INDIRECT(CONCATENATE("$AE$"&amp;GH$391)),
IF($K421=INDIRECT(CONCATENATE("$AD$"&amp;GH$392)),INDIRECT(CONCATENATE("$AD$"&amp;GH$391)),
IF($K421=INDIRECT(CONCATENATE("$AC$"&amp;GH$392)),INDIRECT(CONCATENATE("$AC$"&amp;GH$391)),
IF($K421=INDIRECT(CONCATENATE("$AB$"&amp;GH$392)),INDIRECT(CONCATENATE("$AB$"&amp;GH$391)),
IF($K421=INDIRECT(CONCATENATE("$AA$"&amp;GH$392)),INDIRECT(CONCATENATE("$AA$"&amp;GH$391)),
IF($K421=INDIRECT(CONCATENATE("$Z$"&amp;GH$392)),INDIRECT(CONCATENATE("$Z$"&amp;GH$391)),
IF($K421=INDIRECT(CONCATENATE("$Y$"&amp;GH$392)),INDIRECT(CONCATENATE("$Y$"&amp;GH$391)),
IF($K421=INDIRECT(CONCATENATE("$X$"&amp;GH$392)),INDIRECT(CONCATENATE("$X$"&amp;GH$391)),
IF($K421=INDIRECT(CONCATENATE("$W$"&amp;GH$392)),INDIRECT(CONCATENATE("$W$"&amp;GH$391)),
IF($K421=INDIRECT(CONCATENATE("$V$"&amp;GH$392)),INDIRECT(CONCATENATE("$V$"&amp;GH$391)),
IF($K421=INDIRECT(CONCATENATE("$U$"&amp;GH$392)),INDIRECT(CONCATENATE("$U$"&amp;GH$391)),
IF($K421=INDIRECT(CONCATENATE("$T$"&amp;GH$392)),INDIRECT(CONCATENATE("$T$"&amp;GH$391)),
IF($K421=INDIRECT(CONCATENATE("$S$"&amp;GH$392)),INDIRECT(CONCATENATE("$S$"&amp;GH$391)),
IF($K421=INDIRECT(CONCATENATE("$R$"&amp;GH$392)),INDIRECT(CONCATENATE("$R$"&amp;GH$391)),
IF($K421=INDIRECT(CONCATENATE("$Q$"&amp;GH$392)),INDIRECT(CONCATENATE("$Q$"&amp;GH$391)),
IF($K421=INDIRECT(CONCATENATE("$P$"&amp;GH$392)),INDIRECT(CONCATENATE("$P$"&amp;GH$391)),
IF($K421=INDIRECT(CONCATENATE("$O$"&amp;GH$392)),INDIRECT(CONCATENATE("$O$"&amp;GH$391)),
IF($K421=INDIRECT(CONCATENATE("$N$"&amp;GH$392)),INDIRECT(CONCATENATE("$N$"&amp;GH$391)),
IF($K421=INDIRECT(CONCATENATE("$M$"&amp;GH$392)),INDIRECT(CONCATENATE("$M$"&amp;GH$391)),
IF($K421=INDIRECT(CONCATENATE("$L$"&amp;GH$392)),INDIRECT(CONCATENATE("$L$"&amp;GH$391)),
IF($K421=INDIRECT(CONCATENATE("$K$"&amp;GH$392)),INDIRECT(CONCATENATE("$K$"&amp;GH$391)),
IF($K421=INDIRECT(CONCATENATE("$J$"&amp;GH$392)),INDIRECT(CONCATENATE("$J$"&amp;GH$391)),
IF($K421=INDIRECT(CONCATENATE("$I$"&amp;GH$392)),INDIRECT(CONCATENATE("$I$"&amp;GH$391)),
IF($K421=INDIRECT(CONCATENATE("$H$"&amp;GH$392)),INDIRECT(CONCATENATE("$H$"&amp;GH$391)),
IF($K421=INDIRECT(CONCATENATE("$G$"&amp;GH$392)),INDIRECT(CONCATENATE("$G$"&amp;GH$391)),
IF($K421=INDIRECT(CONCATENATE("$F$"&amp;GH$392)),INDIRECT(CONCATENATE("$F$"&amp;GH$391)),
IF($K421=INDIRECT(CONCATENATE("$E$"&amp;GH$392)),INDIRECT(CONCATENATE("$E$"&amp;GH$391)),
IF($K421=INDIRECT(CONCATENATE("$D$"&amp;GH$392)),INDIRECT(CONCATENATE("$D$"&amp;GH$391)),
IF($K421=INDIRECT(CONCATENATE("$C$"&amp;GH$392)),INDIRECT(CONCATENATE("$C$"&amp;GH$391)),"X")))))))))))))))))))))))))))))))</f>
        <v>X</v>
      </c>
      <c r="MU421" s="58" t="str">
        <f t="shared" ca="1" si="1831"/>
        <v>X</v>
      </c>
      <c r="MV421" s="58" t="str">
        <f t="shared" ca="1" si="1831"/>
        <v>X</v>
      </c>
      <c r="MW421" s="58" t="str">
        <f t="shared" ca="1" si="1831"/>
        <v>X</v>
      </c>
      <c r="MX421" s="58" t="str">
        <f t="shared" ca="1" si="1831"/>
        <v>X</v>
      </c>
      <c r="MY421" s="58" t="str">
        <f t="shared" ca="1" si="1831"/>
        <v>X</v>
      </c>
      <c r="MZ421" s="58" t="str">
        <f t="shared" ca="1" si="1831"/>
        <v>X</v>
      </c>
      <c r="NA421" s="58" t="str">
        <f t="shared" ca="1" si="1831"/>
        <v>X</v>
      </c>
      <c r="NB421" s="58" t="str">
        <f t="shared" ca="1" si="1831"/>
        <v>X</v>
      </c>
      <c r="NC421" s="58" t="str">
        <f t="shared" ca="1" si="1831"/>
        <v>X</v>
      </c>
      <c r="ND421" s="58" t="str">
        <f t="shared" ca="1" si="1831"/>
        <v>X</v>
      </c>
      <c r="NE421" s="58" t="str">
        <f t="shared" ca="1" si="1831"/>
        <v>X</v>
      </c>
      <c r="NF421" s="58" t="str">
        <f t="shared" ca="1" si="1773"/>
        <v>X</v>
      </c>
      <c r="NG421" s="58" t="str">
        <f t="shared" ca="1" si="1774"/>
        <v>X</v>
      </c>
    </row>
    <row r="422" spans="1:371" ht="18" customHeight="1">
      <c r="A422" s="241"/>
      <c r="B422" s="304"/>
      <c r="C422" s="304"/>
      <c r="D422" s="304"/>
      <c r="E422" s="304"/>
      <c r="F422" s="304"/>
      <c r="G422" s="304"/>
      <c r="H422" s="304"/>
      <c r="I422" s="304"/>
      <c r="J422" s="303"/>
      <c r="K422" s="237" t="s">
        <v>84</v>
      </c>
      <c r="L422" s="303"/>
      <c r="M422" s="60"/>
      <c r="N422" s="225"/>
      <c r="O422" s="304"/>
      <c r="P422" s="304"/>
      <c r="Q422" s="304"/>
      <c r="R422" s="303"/>
      <c r="S422" s="226"/>
      <c r="T422" s="304"/>
      <c r="U422" s="303"/>
      <c r="V422" s="227"/>
      <c r="W422" s="303"/>
      <c r="X422" s="56" t="str">
        <f t="shared" ca="1" si="1775"/>
        <v>-</v>
      </c>
      <c r="Y422" s="56" t="str">
        <f t="shared" ca="1" si="1776"/>
        <v>-</v>
      </c>
      <c r="Z422" s="228" t="str">
        <f t="shared" ca="1" si="1612"/>
        <v/>
      </c>
      <c r="AA422" s="304"/>
      <c r="AB422" s="303"/>
      <c r="AC422" s="224">
        <f t="shared" si="1777"/>
        <v>0</v>
      </c>
      <c r="AD422" s="303"/>
      <c r="AE422" s="229">
        <f t="shared" si="1778"/>
        <v>0</v>
      </c>
      <c r="AF422" s="303"/>
      <c r="AG422" s="57" t="str">
        <f t="shared" si="1615"/>
        <v/>
      </c>
      <c r="AH422" s="21"/>
      <c r="AI422" s="70"/>
      <c r="AJ422" s="58" t="str">
        <f t="shared" ref="AJ422:GT422" ca="1" si="1832">IF($K422=INDIRECT(CONCATENATE("$C$"&amp;AJ$392)), INDIRECT(CONCATENATE("$C$"&amp;AJ$391)),
IF($K422=INDIRECT(CONCATENATE("$D$"&amp;AJ$392)), INDIRECT(CONCATENATE("$D$"&amp;AJ$391)),
IF($K422=INDIRECT(CONCATENATE("$E$"&amp;AJ$392)), INDIRECT(CONCATENATE("$E$"&amp;AJ$391)),
IF($K422=INDIRECT(CONCATENATE("$F$"&amp;AJ$392)), INDIRECT(CONCATENATE("$F$"&amp;AJ$391)),
IF($K422=INDIRECT(CONCATENATE("$G$"&amp;AJ$392)), INDIRECT(CONCATENATE("$G$"&amp;AJ$391)),
IF($K422=INDIRECT(CONCATENATE("$H$"&amp;AJ$392)), INDIRECT(CONCATENATE("$H$"&amp;AJ$391)),
IF($K422=INDIRECT(CONCATENATE("$I$"&amp;AJ$392)), INDIRECT(CONCATENATE("$I$"&amp;AJ$391)),
IF($K422=INDIRECT(CONCATENATE("$J$"&amp;AJ$392)), INDIRECT(CONCATENATE("$J$"&amp;AJ$391)),
IF($K422=INDIRECT(CONCATENATE("$K$"&amp;AJ$392)), INDIRECT(CONCATENATE("$K$"&amp;AJ$391)),
IF($K422=INDIRECT(CONCATENATE("$L$"&amp;AJ$392)), INDIRECT(CONCATENATE("$L$"&amp;AJ$391)),
IF($K422=INDIRECT(CONCATENATE("$M$"&amp;AJ$392)), INDIRECT(CONCATENATE("$M$"&amp;AJ$391)),
IF($K422=INDIRECT(CONCATENATE("$N$"&amp;AJ$392)), INDIRECT(CONCATENATE("$N$"&amp;AJ$391)),
IF($K422=INDIRECT(CONCATENATE("$O$"&amp;AJ$392)), INDIRECT(CONCATENATE("$O$"&amp;AJ$391)),
IF($K422=INDIRECT(CONCATENATE("$P$"&amp;AJ$392)), INDIRECT(CONCATENATE("$P$"&amp;AJ$391)),
IF($K422=INDIRECT(CONCATENATE("$Q$"&amp;AJ$392)), INDIRECT(CONCATENATE("$Q$"&amp;AJ$391)),
IF($K422=INDIRECT(CONCATENATE("$R$"&amp;AJ$392)), INDIRECT(CONCATENATE("$R$"&amp;AJ$391)),
IF($K422=INDIRECT(CONCATENATE("$S$"&amp;AJ$392)), INDIRECT(CONCATENATE("$S$"&amp;AJ$391)),
IF($K422=INDIRECT(CONCATENATE("$T$"&amp;AJ$392)), INDIRECT(CONCATENATE("$T$"&amp;AJ$391)),
IF($K422=INDIRECT(CONCATENATE("$U$"&amp;AJ$392)), INDIRECT(CONCATENATE("$U$"&amp;AJ$391)),
IF($K422=INDIRECT(CONCATENATE("$V$"&amp;AJ$392)), INDIRECT(CONCATENATE("$V$"&amp;AJ$391)),
IF($K422=INDIRECT(CONCATENATE("$W$"&amp;AJ$392)), INDIRECT(CONCATENATE("$W$"&amp;AJ$391)),
IF($K422=INDIRECT(CONCATENATE("$X$"&amp;AJ$392)), INDIRECT(CONCATENATE("$X$"&amp;AJ$391)),
IF($K422=INDIRECT(CONCATENATE("$Y$"&amp;AJ$392)), INDIRECT(CONCATENATE("$Y$"&amp;AJ$391)),
IF($K422=INDIRECT(CONCATENATE("$Z$"&amp;AJ$392)), INDIRECT(CONCATENATE("$Z$"&amp;AJ$391)),
IF($K422=INDIRECT(CONCATENATE("$AA$"&amp;AJ$392)), INDIRECT(CONCATENATE("$AA$"&amp;AJ$391)),
IF($K422=INDIRECT(CONCATENATE("$AB$"&amp;AJ$392)), INDIRECT(CONCATENATE("$AB$"&amp;AJ$391)),
IF($K422=INDIRECT(CONCATENATE("$AC$"&amp;AJ$392)), INDIRECT(CONCATENATE("$AC$"&amp;AJ$391)),
IF($K422=INDIRECT(CONCATENATE("$AD$"&amp;AJ$392)), INDIRECT(CONCATENATE("$AD$"&amp;AJ$391)),
IF($K422=INDIRECT(CONCATENATE("$AE$"&amp;AJ$392)), INDIRECT(CONCATENATE("$AE$"&amp;AJ$391)),
IF($K422=INDIRECT(CONCATENATE("$AF$"&amp;AJ$392)), INDIRECT(CONCATENATE("$AF$"&amp;AJ$391)),
IF($K422=INDIRECT(CONCATENATE("$AG$"&amp;AJ$392)), INDIRECT(CONCATENATE("$AG$"&amp;AJ$391)),"X")))))))))))))))))))))))))))))))</f>
        <v>X</v>
      </c>
      <c r="AK422" s="58" t="str">
        <f t="shared" ca="1" si="1832"/>
        <v>X</v>
      </c>
      <c r="AL422" s="58" t="str">
        <f t="shared" ca="1" si="1832"/>
        <v>X</v>
      </c>
      <c r="AM422" s="58" t="str">
        <f t="shared" ca="1" si="1832"/>
        <v>X</v>
      </c>
      <c r="AN422" s="58" t="str">
        <f t="shared" ca="1" si="1832"/>
        <v>X</v>
      </c>
      <c r="AO422" s="58" t="str">
        <f t="shared" ca="1" si="1832"/>
        <v>X</v>
      </c>
      <c r="AP422" s="58" t="str">
        <f t="shared" ca="1" si="1832"/>
        <v>X</v>
      </c>
      <c r="AQ422" s="58" t="str">
        <f t="shared" ca="1" si="1832"/>
        <v>X</v>
      </c>
      <c r="AR422" s="58" t="str">
        <f t="shared" ca="1" si="1832"/>
        <v>X</v>
      </c>
      <c r="AS422" s="58" t="str">
        <f t="shared" ca="1" si="1832"/>
        <v>X</v>
      </c>
      <c r="AT422" s="58" t="str">
        <f t="shared" ca="1" si="1832"/>
        <v>X</v>
      </c>
      <c r="AU422" s="58" t="str">
        <f t="shared" ca="1" si="1832"/>
        <v>X</v>
      </c>
      <c r="AV422" s="58" t="str">
        <f t="shared" ca="1" si="1832"/>
        <v>X</v>
      </c>
      <c r="AW422" s="58" t="str">
        <f t="shared" ca="1" si="1832"/>
        <v>X</v>
      </c>
      <c r="AX422" s="58" t="str">
        <f t="shared" ca="1" si="1832"/>
        <v>X</v>
      </c>
      <c r="AY422" s="58" t="str">
        <f t="shared" ca="1" si="1832"/>
        <v>X</v>
      </c>
      <c r="AZ422" s="58" t="str">
        <f t="shared" ca="1" si="1832"/>
        <v>X</v>
      </c>
      <c r="BA422" s="58" t="str">
        <f t="shared" ca="1" si="1832"/>
        <v>X</v>
      </c>
      <c r="BB422" s="58" t="str">
        <f t="shared" ca="1" si="1832"/>
        <v>X</v>
      </c>
      <c r="BC422" s="58" t="str">
        <f t="shared" ca="1" si="1832"/>
        <v>X</v>
      </c>
      <c r="BD422" s="58" t="str">
        <f t="shared" ca="1" si="1832"/>
        <v>X</v>
      </c>
      <c r="BE422" s="58" t="str">
        <f t="shared" ca="1" si="1832"/>
        <v>X</v>
      </c>
      <c r="BF422" s="58" t="str">
        <f t="shared" ca="1" si="1832"/>
        <v>X</v>
      </c>
      <c r="BG422" s="58" t="str">
        <f t="shared" ca="1" si="1832"/>
        <v>X</v>
      </c>
      <c r="BH422" s="58" t="str">
        <f t="shared" ca="1" si="1832"/>
        <v>X</v>
      </c>
      <c r="BI422" s="58" t="str">
        <f t="shared" ca="1" si="1832"/>
        <v>X</v>
      </c>
      <c r="BJ422" s="58" t="str">
        <f t="shared" ca="1" si="1832"/>
        <v>X</v>
      </c>
      <c r="BK422" s="58" t="str">
        <f t="shared" ca="1" si="1832"/>
        <v>X</v>
      </c>
      <c r="BL422" s="58" t="str">
        <f t="shared" ca="1" si="1832"/>
        <v>X</v>
      </c>
      <c r="BM422" s="58" t="str">
        <f t="shared" ca="1" si="1832"/>
        <v>X</v>
      </c>
      <c r="BN422" s="58" t="str">
        <f t="shared" ca="1" si="1832"/>
        <v>X</v>
      </c>
      <c r="BO422" s="58" t="str">
        <f t="shared" ca="1" si="1832"/>
        <v>X</v>
      </c>
      <c r="BP422" s="58" t="str">
        <f t="shared" ca="1" si="1832"/>
        <v>X</v>
      </c>
      <c r="BQ422" s="58" t="str">
        <f t="shared" ca="1" si="1832"/>
        <v>X</v>
      </c>
      <c r="BR422" s="58" t="str">
        <f t="shared" ca="1" si="1832"/>
        <v>X</v>
      </c>
      <c r="BS422" s="58" t="str">
        <f t="shared" ca="1" si="1832"/>
        <v>X</v>
      </c>
      <c r="BT422" s="58" t="str">
        <f t="shared" ca="1" si="1832"/>
        <v>X</v>
      </c>
      <c r="BU422" s="58" t="str">
        <f t="shared" ca="1" si="1832"/>
        <v>X</v>
      </c>
      <c r="BV422" s="58" t="str">
        <f t="shared" ca="1" si="1832"/>
        <v>X</v>
      </c>
      <c r="BW422" s="58" t="str">
        <f t="shared" ca="1" si="1832"/>
        <v>X</v>
      </c>
      <c r="BX422" s="58" t="str">
        <f t="shared" ca="1" si="1832"/>
        <v>X</v>
      </c>
      <c r="BY422" s="58" t="str">
        <f t="shared" ca="1" si="1832"/>
        <v>X</v>
      </c>
      <c r="BZ422" s="58" t="str">
        <f t="shared" ca="1" si="1832"/>
        <v>X</v>
      </c>
      <c r="CA422" s="58" t="str">
        <f t="shared" ca="1" si="1832"/>
        <v>X</v>
      </c>
      <c r="CB422" s="58" t="str">
        <f t="shared" ca="1" si="1832"/>
        <v>X</v>
      </c>
      <c r="CC422" s="58" t="str">
        <f t="shared" ca="1" si="1832"/>
        <v>X</v>
      </c>
      <c r="CD422" s="58" t="str">
        <f t="shared" ca="1" si="1832"/>
        <v>X</v>
      </c>
      <c r="CE422" s="58" t="str">
        <f t="shared" ca="1" si="1832"/>
        <v>X</v>
      </c>
      <c r="CF422" s="58" t="str">
        <f t="shared" ca="1" si="1832"/>
        <v>X</v>
      </c>
      <c r="CG422" s="58" t="str">
        <f t="shared" ca="1" si="1832"/>
        <v>X</v>
      </c>
      <c r="CH422" s="58" t="str">
        <f t="shared" ca="1" si="1832"/>
        <v>X</v>
      </c>
      <c r="CI422" s="58" t="str">
        <f t="shared" ca="1" si="1832"/>
        <v>X</v>
      </c>
      <c r="CJ422" s="58" t="str">
        <f t="shared" ca="1" si="1832"/>
        <v>X</v>
      </c>
      <c r="CK422" s="58" t="str">
        <f t="shared" ca="1" si="1832"/>
        <v>X</v>
      </c>
      <c r="CL422" s="58" t="str">
        <f t="shared" ca="1" si="1832"/>
        <v>X</v>
      </c>
      <c r="CM422" s="58" t="str">
        <f t="shared" ca="1" si="1832"/>
        <v>X</v>
      </c>
      <c r="CN422" s="58" t="str">
        <f t="shared" ca="1" si="1832"/>
        <v>X</v>
      </c>
      <c r="CO422" s="58" t="str">
        <f t="shared" ca="1" si="1832"/>
        <v>X</v>
      </c>
      <c r="CP422" s="58" t="str">
        <f t="shared" ca="1" si="1832"/>
        <v>X</v>
      </c>
      <c r="CQ422" s="58" t="str">
        <f t="shared" ca="1" si="1832"/>
        <v>X</v>
      </c>
      <c r="CR422" s="58" t="str">
        <f t="shared" ca="1" si="1832"/>
        <v>X</v>
      </c>
      <c r="CS422" s="58" t="str">
        <f t="shared" ca="1" si="1832"/>
        <v>X</v>
      </c>
      <c r="CT422" s="58" t="str">
        <f t="shared" ca="1" si="1832"/>
        <v>X</v>
      </c>
      <c r="CU422" s="58" t="str">
        <f t="shared" ca="1" si="1832"/>
        <v>X</v>
      </c>
      <c r="CV422" s="58" t="str">
        <f t="shared" ca="1" si="1832"/>
        <v>X</v>
      </c>
      <c r="CW422" s="58" t="str">
        <f t="shared" ca="1" si="1832"/>
        <v>X</v>
      </c>
      <c r="CX422" s="58" t="str">
        <f t="shared" ca="1" si="1832"/>
        <v>X</v>
      </c>
      <c r="CY422" s="58" t="str">
        <f t="shared" ca="1" si="1832"/>
        <v>X</v>
      </c>
      <c r="CZ422" s="58" t="str">
        <f t="shared" ca="1" si="1832"/>
        <v>X</v>
      </c>
      <c r="DA422" s="58" t="str">
        <f t="shared" ca="1" si="1832"/>
        <v>X</v>
      </c>
      <c r="DB422" s="58" t="str">
        <f t="shared" ca="1" si="1832"/>
        <v>X</v>
      </c>
      <c r="DC422" s="58" t="str">
        <f t="shared" ca="1" si="1832"/>
        <v>X</v>
      </c>
      <c r="DD422" s="58" t="str">
        <f t="shared" ca="1" si="1832"/>
        <v>X</v>
      </c>
      <c r="DE422" s="58" t="str">
        <f t="shared" ca="1" si="1832"/>
        <v>X</v>
      </c>
      <c r="DF422" s="58" t="str">
        <f t="shared" ca="1" si="1832"/>
        <v>X</v>
      </c>
      <c r="DG422" s="58" t="str">
        <f t="shared" ca="1" si="1832"/>
        <v>X</v>
      </c>
      <c r="DH422" s="58" t="str">
        <f t="shared" ca="1" si="1832"/>
        <v>X</v>
      </c>
      <c r="DI422" s="58" t="str">
        <f t="shared" ca="1" si="1832"/>
        <v>X</v>
      </c>
      <c r="DJ422" s="58" t="str">
        <f t="shared" ca="1" si="1832"/>
        <v>X</v>
      </c>
      <c r="DK422" s="58" t="str">
        <f t="shared" ca="1" si="1832"/>
        <v>X</v>
      </c>
      <c r="DL422" s="58" t="str">
        <f t="shared" ca="1" si="1832"/>
        <v>X</v>
      </c>
      <c r="DM422" s="58" t="str">
        <f t="shared" ca="1" si="1832"/>
        <v>X</v>
      </c>
      <c r="DN422" s="58" t="str">
        <f t="shared" ca="1" si="1832"/>
        <v>X</v>
      </c>
      <c r="DO422" s="58" t="str">
        <f t="shared" ca="1" si="1832"/>
        <v>X</v>
      </c>
      <c r="DP422" s="58" t="str">
        <f t="shared" ca="1" si="1832"/>
        <v>X</v>
      </c>
      <c r="DQ422" s="58" t="str">
        <f t="shared" ca="1" si="1832"/>
        <v>X</v>
      </c>
      <c r="DR422" s="58" t="str">
        <f t="shared" ca="1" si="1832"/>
        <v>X</v>
      </c>
      <c r="DS422" s="58" t="str">
        <f t="shared" ca="1" si="1832"/>
        <v>X</v>
      </c>
      <c r="DT422" s="58" t="str">
        <f t="shared" ca="1" si="1832"/>
        <v>X</v>
      </c>
      <c r="DU422" s="58" t="str">
        <f t="shared" ca="1" si="1832"/>
        <v>X</v>
      </c>
      <c r="DV422" s="58" t="str">
        <f t="shared" ca="1" si="1832"/>
        <v>X</v>
      </c>
      <c r="DW422" s="58" t="str">
        <f t="shared" ca="1" si="1832"/>
        <v>X</v>
      </c>
      <c r="DX422" s="58" t="str">
        <f t="shared" ca="1" si="1832"/>
        <v>X</v>
      </c>
      <c r="DY422" s="58" t="str">
        <f t="shared" ca="1" si="1832"/>
        <v>X</v>
      </c>
      <c r="DZ422" s="58" t="str">
        <f t="shared" ca="1" si="1832"/>
        <v>X</v>
      </c>
      <c r="EA422" s="58" t="str">
        <f t="shared" ca="1" si="1832"/>
        <v>X</v>
      </c>
      <c r="EB422" s="58" t="str">
        <f t="shared" ca="1" si="1832"/>
        <v>X</v>
      </c>
      <c r="EC422" s="58" t="str">
        <f t="shared" ca="1" si="1832"/>
        <v>X</v>
      </c>
      <c r="ED422" s="58" t="str">
        <f t="shared" ca="1" si="1832"/>
        <v>X</v>
      </c>
      <c r="EE422" s="58" t="str">
        <f t="shared" ca="1" si="1832"/>
        <v>X</v>
      </c>
      <c r="EF422" s="58" t="str">
        <f t="shared" ca="1" si="1832"/>
        <v>X</v>
      </c>
      <c r="EG422" s="58" t="str">
        <f t="shared" ca="1" si="1832"/>
        <v>X</v>
      </c>
      <c r="EH422" s="58" t="str">
        <f t="shared" ca="1" si="1832"/>
        <v>X</v>
      </c>
      <c r="EI422" s="58" t="str">
        <f t="shared" ca="1" si="1832"/>
        <v>X</v>
      </c>
      <c r="EJ422" s="58" t="str">
        <f t="shared" ca="1" si="1832"/>
        <v>X</v>
      </c>
      <c r="EK422" s="58" t="str">
        <f t="shared" ca="1" si="1832"/>
        <v>X</v>
      </c>
      <c r="EL422" s="58" t="str">
        <f t="shared" ca="1" si="1832"/>
        <v>X</v>
      </c>
      <c r="EM422" s="58" t="str">
        <f t="shared" ca="1" si="1832"/>
        <v>X</v>
      </c>
      <c r="EN422" s="58" t="str">
        <f t="shared" ca="1" si="1832"/>
        <v>X</v>
      </c>
      <c r="EO422" s="58" t="str">
        <f t="shared" ca="1" si="1832"/>
        <v>X</v>
      </c>
      <c r="EP422" s="58" t="str">
        <f t="shared" ca="1" si="1832"/>
        <v>X</v>
      </c>
      <c r="EQ422" s="58" t="str">
        <f t="shared" ca="1" si="1832"/>
        <v>X</v>
      </c>
      <c r="ER422" s="58" t="str">
        <f t="shared" ca="1" si="1832"/>
        <v>X</v>
      </c>
      <c r="ES422" s="58" t="str">
        <f t="shared" ca="1" si="1832"/>
        <v>X</v>
      </c>
      <c r="ET422" s="58" t="str">
        <f t="shared" ca="1" si="1832"/>
        <v>X</v>
      </c>
      <c r="EU422" s="58" t="str">
        <f t="shared" ca="1" si="1832"/>
        <v>X</v>
      </c>
      <c r="EV422" s="58" t="str">
        <f t="shared" ca="1" si="1832"/>
        <v>X</v>
      </c>
      <c r="EW422" s="58" t="str">
        <f t="shared" ca="1" si="1832"/>
        <v>X</v>
      </c>
      <c r="EX422" s="58" t="str">
        <f t="shared" ca="1" si="1832"/>
        <v>X</v>
      </c>
      <c r="EY422" s="58" t="str">
        <f t="shared" ca="1" si="1832"/>
        <v>X</v>
      </c>
      <c r="EZ422" s="58" t="str">
        <f t="shared" ca="1" si="1832"/>
        <v>X</v>
      </c>
      <c r="FA422" s="58" t="str">
        <f t="shared" ca="1" si="1832"/>
        <v>X</v>
      </c>
      <c r="FB422" s="58" t="str">
        <f t="shared" ca="1" si="1832"/>
        <v>X</v>
      </c>
      <c r="FC422" s="58" t="str">
        <f t="shared" ca="1" si="1832"/>
        <v>X</v>
      </c>
      <c r="FD422" s="58" t="str">
        <f t="shared" ca="1" si="1832"/>
        <v>X</v>
      </c>
      <c r="FE422" s="58" t="str">
        <f t="shared" ca="1" si="1832"/>
        <v>X</v>
      </c>
      <c r="FF422" s="58" t="str">
        <f t="shared" ca="1" si="1832"/>
        <v>X</v>
      </c>
      <c r="FG422" s="58" t="str">
        <f t="shared" ca="1" si="1832"/>
        <v>X</v>
      </c>
      <c r="FH422" s="58" t="str">
        <f t="shared" ca="1" si="1832"/>
        <v>X</v>
      </c>
      <c r="FI422" s="58" t="str">
        <f t="shared" ca="1" si="1832"/>
        <v>X</v>
      </c>
      <c r="FJ422" s="58" t="str">
        <f t="shared" ca="1" si="1832"/>
        <v>X</v>
      </c>
      <c r="FK422" s="58" t="str">
        <f t="shared" ca="1" si="1832"/>
        <v>X</v>
      </c>
      <c r="FL422" s="58" t="str">
        <f t="shared" ca="1" si="1832"/>
        <v>X</v>
      </c>
      <c r="FM422" s="58" t="str">
        <f t="shared" ca="1" si="1832"/>
        <v>X</v>
      </c>
      <c r="FN422" s="58" t="str">
        <f t="shared" ca="1" si="1832"/>
        <v>X</v>
      </c>
      <c r="FO422" s="58" t="str">
        <f t="shared" ca="1" si="1832"/>
        <v>X</v>
      </c>
      <c r="FP422" s="58" t="str">
        <f t="shared" ca="1" si="1832"/>
        <v>X</v>
      </c>
      <c r="FQ422" s="58" t="str">
        <f t="shared" ca="1" si="1832"/>
        <v>X</v>
      </c>
      <c r="FR422" s="58" t="str">
        <f t="shared" ca="1" si="1832"/>
        <v>X</v>
      </c>
      <c r="FS422" s="58" t="str">
        <f t="shared" ca="1" si="1832"/>
        <v>X</v>
      </c>
      <c r="FT422" s="58" t="str">
        <f t="shared" ca="1" si="1832"/>
        <v>X</v>
      </c>
      <c r="FU422" s="58" t="str">
        <f t="shared" ca="1" si="1832"/>
        <v>X</v>
      </c>
      <c r="FV422" s="58" t="str">
        <f t="shared" ca="1" si="1832"/>
        <v>X</v>
      </c>
      <c r="FW422" s="58" t="str">
        <f t="shared" ca="1" si="1832"/>
        <v>X</v>
      </c>
      <c r="FX422" s="58" t="str">
        <f t="shared" ca="1" si="1832"/>
        <v>X</v>
      </c>
      <c r="FY422" s="58" t="str">
        <f t="shared" ca="1" si="1832"/>
        <v>X</v>
      </c>
      <c r="FZ422" s="58" t="str">
        <f t="shared" ca="1" si="1832"/>
        <v>X</v>
      </c>
      <c r="GA422" s="58" t="str">
        <f t="shared" ca="1" si="1832"/>
        <v>X</v>
      </c>
      <c r="GB422" s="58" t="str">
        <f t="shared" ca="1" si="1832"/>
        <v>X</v>
      </c>
      <c r="GC422" s="58" t="str">
        <f t="shared" ca="1" si="1832"/>
        <v>X</v>
      </c>
      <c r="GD422" s="58" t="str">
        <f t="shared" ca="1" si="1832"/>
        <v>X</v>
      </c>
      <c r="GE422" s="58" t="str">
        <f t="shared" ca="1" si="1832"/>
        <v>X</v>
      </c>
      <c r="GF422" s="58" t="str">
        <f t="shared" ca="1" si="1832"/>
        <v>X</v>
      </c>
      <c r="GG422" s="58" t="str">
        <f t="shared" ca="1" si="1832"/>
        <v>X</v>
      </c>
      <c r="GH422" s="58" t="str">
        <f t="shared" ca="1" si="1832"/>
        <v>X</v>
      </c>
      <c r="GI422" s="58" t="str">
        <f t="shared" ca="1" si="1832"/>
        <v>X</v>
      </c>
      <c r="GJ422" s="58" t="str">
        <f t="shared" ca="1" si="1832"/>
        <v>X</v>
      </c>
      <c r="GK422" s="58" t="str">
        <f t="shared" ca="1" si="1832"/>
        <v>X</v>
      </c>
      <c r="GL422" s="58" t="str">
        <f t="shared" ca="1" si="1832"/>
        <v>X</v>
      </c>
      <c r="GM422" s="58" t="str">
        <f t="shared" ca="1" si="1832"/>
        <v>X</v>
      </c>
      <c r="GN422" s="58" t="str">
        <f t="shared" ca="1" si="1832"/>
        <v>X</v>
      </c>
      <c r="GO422" s="58" t="str">
        <f t="shared" ca="1" si="1832"/>
        <v>X</v>
      </c>
      <c r="GP422" s="58" t="str">
        <f t="shared" ca="1" si="1832"/>
        <v>X</v>
      </c>
      <c r="GQ422" s="58" t="str">
        <f t="shared" ca="1" si="1832"/>
        <v>X</v>
      </c>
      <c r="GR422" s="58" t="str">
        <f t="shared" ca="1" si="1832"/>
        <v>X</v>
      </c>
      <c r="GS422" s="80" t="str">
        <f t="shared" ca="1" si="1832"/>
        <v>X</v>
      </c>
      <c r="GT422" s="58" t="str">
        <f t="shared" ca="1" si="1832"/>
        <v>X</v>
      </c>
      <c r="GU422" s="82" t="str">
        <f t="shared" ca="1" si="1617"/>
        <v>X</v>
      </c>
      <c r="GV422" s="58" t="str">
        <f t="shared" ca="1" si="1618"/>
        <v>X</v>
      </c>
      <c r="GW422" s="58" t="str">
        <f t="shared" ca="1" si="1619"/>
        <v>X</v>
      </c>
      <c r="GX422" s="58" t="str">
        <f t="shared" ca="1" si="1620"/>
        <v>X</v>
      </c>
      <c r="GY422" s="58" t="str">
        <f t="shared" ca="1" si="1621"/>
        <v>X</v>
      </c>
      <c r="GZ422" s="58" t="str">
        <f t="shared" ca="1" si="1622"/>
        <v>X</v>
      </c>
      <c r="HA422" s="58" t="str">
        <f t="shared" ca="1" si="1623"/>
        <v>X</v>
      </c>
      <c r="HB422" s="58" t="str">
        <f t="shared" ca="1" si="1624"/>
        <v>X</v>
      </c>
      <c r="HC422" s="58" t="str">
        <f t="shared" ca="1" si="1625"/>
        <v>X</v>
      </c>
      <c r="HD422" s="58" t="str">
        <f t="shared" ca="1" si="1626"/>
        <v>X</v>
      </c>
      <c r="HE422" s="58" t="str">
        <f t="shared" ca="1" si="1627"/>
        <v>X</v>
      </c>
      <c r="HF422" s="58" t="str">
        <f t="shared" ca="1" si="1628"/>
        <v>X</v>
      </c>
      <c r="HG422" s="58" t="str">
        <f t="shared" ca="1" si="1629"/>
        <v>X</v>
      </c>
      <c r="HH422" s="58" t="str">
        <f t="shared" ca="1" si="1630"/>
        <v>X</v>
      </c>
      <c r="HI422" s="58" t="str">
        <f t="shared" ca="1" si="1631"/>
        <v>X</v>
      </c>
      <c r="HJ422" s="58" t="str">
        <f t="shared" ca="1" si="1632"/>
        <v>X</v>
      </c>
      <c r="HK422" s="58" t="str">
        <f t="shared" ca="1" si="1633"/>
        <v>X</v>
      </c>
      <c r="HL422" s="58" t="str">
        <f t="shared" ca="1" si="1634"/>
        <v>X</v>
      </c>
      <c r="HM422" s="58" t="str">
        <f t="shared" ca="1" si="1635"/>
        <v>X</v>
      </c>
      <c r="HN422" s="58" t="str">
        <f t="shared" ca="1" si="1636"/>
        <v>X</v>
      </c>
      <c r="HO422" s="58" t="str">
        <f t="shared" ca="1" si="1637"/>
        <v>X</v>
      </c>
      <c r="HP422" s="58" t="str">
        <f t="shared" ca="1" si="1638"/>
        <v>X</v>
      </c>
      <c r="HQ422" s="58" t="str">
        <f t="shared" ca="1" si="1639"/>
        <v>X</v>
      </c>
      <c r="HR422" s="58" t="str">
        <f t="shared" ca="1" si="1640"/>
        <v>X</v>
      </c>
      <c r="HS422" s="58" t="str">
        <f t="shared" ca="1" si="1641"/>
        <v>X</v>
      </c>
      <c r="HT422" s="58" t="str">
        <f t="shared" ca="1" si="1642"/>
        <v>X</v>
      </c>
      <c r="HU422" s="58" t="str">
        <f t="shared" ca="1" si="1643"/>
        <v>X</v>
      </c>
      <c r="HV422" s="58" t="str">
        <f t="shared" ca="1" si="1644"/>
        <v>X</v>
      </c>
      <c r="HW422" s="58" t="str">
        <f t="shared" ca="1" si="1645"/>
        <v>X</v>
      </c>
      <c r="HX422" s="58" t="str">
        <f t="shared" ca="1" si="1646"/>
        <v>X</v>
      </c>
      <c r="HY422" s="58" t="str">
        <f t="shared" ca="1" si="1647"/>
        <v>X</v>
      </c>
      <c r="HZ422" s="58" t="str">
        <f t="shared" ca="1" si="1648"/>
        <v>X</v>
      </c>
      <c r="IA422" s="58" t="str">
        <f t="shared" ca="1" si="1649"/>
        <v>X</v>
      </c>
      <c r="IB422" s="58" t="str">
        <f t="shared" ca="1" si="1650"/>
        <v>X</v>
      </c>
      <c r="IC422" s="58" t="str">
        <f t="shared" ca="1" si="1651"/>
        <v>X</v>
      </c>
      <c r="ID422" s="58" t="str">
        <f t="shared" ca="1" si="1652"/>
        <v>X</v>
      </c>
      <c r="IE422" s="58" t="str">
        <f t="shared" ca="1" si="1653"/>
        <v>X</v>
      </c>
      <c r="IF422" s="58" t="str">
        <f t="shared" ca="1" si="1654"/>
        <v>X</v>
      </c>
      <c r="IG422" s="58" t="str">
        <f t="shared" ca="1" si="1655"/>
        <v>X</v>
      </c>
      <c r="IH422" s="58" t="str">
        <f t="shared" ca="1" si="1656"/>
        <v>X</v>
      </c>
      <c r="II422" s="58" t="str">
        <f t="shared" ca="1" si="1657"/>
        <v>X</v>
      </c>
      <c r="IJ422" s="58" t="str">
        <f t="shared" ca="1" si="1658"/>
        <v>X</v>
      </c>
      <c r="IK422" s="58" t="str">
        <f t="shared" ca="1" si="1659"/>
        <v>X</v>
      </c>
      <c r="IL422" s="58" t="str">
        <f t="shared" ca="1" si="1660"/>
        <v>X</v>
      </c>
      <c r="IM422" s="58" t="str">
        <f t="shared" ca="1" si="1661"/>
        <v>X</v>
      </c>
      <c r="IN422" s="58" t="str">
        <f t="shared" ca="1" si="1662"/>
        <v>X</v>
      </c>
      <c r="IO422" s="58" t="str">
        <f t="shared" ca="1" si="1663"/>
        <v>X</v>
      </c>
      <c r="IP422" s="58" t="str">
        <f t="shared" ca="1" si="1664"/>
        <v>X</v>
      </c>
      <c r="IQ422" s="58" t="str">
        <f t="shared" ca="1" si="1665"/>
        <v>X</v>
      </c>
      <c r="IR422" s="58" t="str">
        <f t="shared" ca="1" si="1666"/>
        <v>X</v>
      </c>
      <c r="IS422" s="58" t="str">
        <f t="shared" ca="1" si="1667"/>
        <v>X</v>
      </c>
      <c r="IT422" s="58" t="str">
        <f t="shared" ca="1" si="1668"/>
        <v>X</v>
      </c>
      <c r="IU422" s="58" t="str">
        <f t="shared" ca="1" si="1669"/>
        <v>X</v>
      </c>
      <c r="IV422" s="58" t="str">
        <f t="shared" ca="1" si="1670"/>
        <v>X</v>
      </c>
      <c r="IW422" s="58" t="str">
        <f t="shared" ca="1" si="1671"/>
        <v>X</v>
      </c>
      <c r="IX422" s="58" t="str">
        <f t="shared" ca="1" si="1672"/>
        <v>X</v>
      </c>
      <c r="IY422" s="58" t="str">
        <f t="shared" ca="1" si="1673"/>
        <v>X</v>
      </c>
      <c r="IZ422" s="58" t="str">
        <f t="shared" ca="1" si="1674"/>
        <v>X</v>
      </c>
      <c r="JA422" s="58" t="str">
        <f t="shared" ca="1" si="1675"/>
        <v>X</v>
      </c>
      <c r="JB422" s="58" t="str">
        <f t="shared" ca="1" si="1676"/>
        <v>X</v>
      </c>
      <c r="JC422" s="58" t="str">
        <f t="shared" ca="1" si="1677"/>
        <v>X</v>
      </c>
      <c r="JD422" s="58" t="str">
        <f t="shared" ca="1" si="1678"/>
        <v>X</v>
      </c>
      <c r="JE422" s="58" t="str">
        <f t="shared" ca="1" si="1679"/>
        <v>X</v>
      </c>
      <c r="JF422" s="58" t="str">
        <f t="shared" ca="1" si="1680"/>
        <v>X</v>
      </c>
      <c r="JG422" s="58" t="str">
        <f t="shared" ca="1" si="1681"/>
        <v>X</v>
      </c>
      <c r="JH422" s="58" t="str">
        <f t="shared" ca="1" si="1682"/>
        <v>X</v>
      </c>
      <c r="JI422" s="58" t="str">
        <f t="shared" ca="1" si="1683"/>
        <v>X</v>
      </c>
      <c r="JJ422" s="58" t="str">
        <f t="shared" ca="1" si="1684"/>
        <v>X</v>
      </c>
      <c r="JK422" s="58" t="str">
        <f t="shared" ca="1" si="1685"/>
        <v>X</v>
      </c>
      <c r="JL422" s="58" t="str">
        <f t="shared" ca="1" si="1686"/>
        <v>X</v>
      </c>
      <c r="JM422" s="58" t="str">
        <f t="shared" ca="1" si="1687"/>
        <v>X</v>
      </c>
      <c r="JN422" s="58" t="str">
        <f t="shared" ca="1" si="1688"/>
        <v>X</v>
      </c>
      <c r="JO422" s="58" t="str">
        <f t="shared" ca="1" si="1689"/>
        <v>X</v>
      </c>
      <c r="JP422" s="58" t="str">
        <f t="shared" ca="1" si="1690"/>
        <v>X</v>
      </c>
      <c r="JQ422" s="58" t="str">
        <f t="shared" ca="1" si="1691"/>
        <v>X</v>
      </c>
      <c r="JR422" s="58" t="str">
        <f t="shared" ca="1" si="1692"/>
        <v>X</v>
      </c>
      <c r="JS422" s="58" t="str">
        <f t="shared" ca="1" si="1693"/>
        <v>X</v>
      </c>
      <c r="JT422" s="58" t="str">
        <f t="shared" ca="1" si="1694"/>
        <v>X</v>
      </c>
      <c r="JU422" s="58" t="str">
        <f t="shared" ca="1" si="1695"/>
        <v>X</v>
      </c>
      <c r="JV422" s="58" t="str">
        <f t="shared" ca="1" si="1696"/>
        <v>X</v>
      </c>
      <c r="JW422" s="58" t="str">
        <f t="shared" ca="1" si="1697"/>
        <v>X</v>
      </c>
      <c r="JX422" s="58" t="str">
        <f t="shared" ca="1" si="1698"/>
        <v>X</v>
      </c>
      <c r="JY422" s="58" t="str">
        <f t="shared" ca="1" si="1699"/>
        <v>X</v>
      </c>
      <c r="JZ422" s="58" t="str">
        <f t="shared" ca="1" si="1700"/>
        <v>X</v>
      </c>
      <c r="KA422" s="58" t="str">
        <f t="shared" ca="1" si="1701"/>
        <v>X</v>
      </c>
      <c r="KB422" s="58" t="str">
        <f t="shared" ca="1" si="1702"/>
        <v>X</v>
      </c>
      <c r="KC422" s="58" t="str">
        <f t="shared" ca="1" si="1703"/>
        <v>X</v>
      </c>
      <c r="KD422" s="58" t="str">
        <f t="shared" ca="1" si="1704"/>
        <v>X</v>
      </c>
      <c r="KE422" s="58" t="str">
        <f t="shared" ca="1" si="1705"/>
        <v>X</v>
      </c>
      <c r="KF422" s="58" t="str">
        <f t="shared" ca="1" si="1706"/>
        <v>X</v>
      </c>
      <c r="KG422" s="58" t="str">
        <f t="shared" ca="1" si="1707"/>
        <v>X</v>
      </c>
      <c r="KH422" s="58" t="str">
        <f t="shared" ca="1" si="1708"/>
        <v>X</v>
      </c>
      <c r="KI422" s="58" t="str">
        <f t="shared" ca="1" si="1709"/>
        <v>X</v>
      </c>
      <c r="KJ422" s="58" t="str">
        <f t="shared" ca="1" si="1710"/>
        <v>X</v>
      </c>
      <c r="KK422" s="58" t="str">
        <f t="shared" ca="1" si="1711"/>
        <v>X</v>
      </c>
      <c r="KL422" s="58" t="str">
        <f t="shared" ca="1" si="1712"/>
        <v>X</v>
      </c>
      <c r="KM422" s="58" t="str">
        <f t="shared" ca="1" si="1713"/>
        <v>X</v>
      </c>
      <c r="KN422" s="58" t="str">
        <f t="shared" ca="1" si="1714"/>
        <v>X</v>
      </c>
      <c r="KO422" s="58" t="str">
        <f t="shared" ca="1" si="1715"/>
        <v>X</v>
      </c>
      <c r="KP422" s="58" t="str">
        <f t="shared" ca="1" si="1716"/>
        <v>X</v>
      </c>
      <c r="KQ422" s="58" t="str">
        <f t="shared" ca="1" si="1717"/>
        <v>X</v>
      </c>
      <c r="KR422" s="58" t="str">
        <f t="shared" ca="1" si="1718"/>
        <v>X</v>
      </c>
      <c r="KS422" s="58" t="str">
        <f t="shared" ca="1" si="1719"/>
        <v>X</v>
      </c>
      <c r="KT422" s="58" t="str">
        <f t="shared" ca="1" si="1720"/>
        <v>X</v>
      </c>
      <c r="KU422" s="58" t="str">
        <f t="shared" ca="1" si="1721"/>
        <v>X</v>
      </c>
      <c r="KV422" s="58" t="str">
        <f t="shared" ca="1" si="1722"/>
        <v>X</v>
      </c>
      <c r="KW422" s="58" t="str">
        <f t="shared" ca="1" si="1723"/>
        <v>X</v>
      </c>
      <c r="KX422" s="58" t="str">
        <f t="shared" ca="1" si="1724"/>
        <v>X</v>
      </c>
      <c r="KY422" s="58" t="str">
        <f t="shared" ca="1" si="1725"/>
        <v>X</v>
      </c>
      <c r="KZ422" s="58" t="str">
        <f t="shared" ca="1" si="1726"/>
        <v>X</v>
      </c>
      <c r="LA422" s="58" t="str">
        <f t="shared" ca="1" si="1727"/>
        <v>X</v>
      </c>
      <c r="LB422" s="58" t="str">
        <f t="shared" ca="1" si="1728"/>
        <v>X</v>
      </c>
      <c r="LC422" s="58" t="str">
        <f t="shared" ca="1" si="1729"/>
        <v>X</v>
      </c>
      <c r="LD422" s="58" t="str">
        <f t="shared" ca="1" si="1730"/>
        <v>X</v>
      </c>
      <c r="LE422" s="58" t="str">
        <f t="shared" ca="1" si="1731"/>
        <v>X</v>
      </c>
      <c r="LF422" s="58" t="str">
        <f t="shared" ca="1" si="1732"/>
        <v>X</v>
      </c>
      <c r="LG422" s="58" t="str">
        <f t="shared" ca="1" si="1733"/>
        <v>X</v>
      </c>
      <c r="LH422" s="58" t="str">
        <f t="shared" ca="1" si="1734"/>
        <v>X</v>
      </c>
      <c r="LI422" s="58" t="str">
        <f t="shared" ca="1" si="1735"/>
        <v>X</v>
      </c>
      <c r="LJ422" s="58" t="str">
        <f t="shared" ca="1" si="1736"/>
        <v>X</v>
      </c>
      <c r="LK422" s="58" t="str">
        <f t="shared" ca="1" si="1737"/>
        <v>X</v>
      </c>
      <c r="LL422" s="58" t="str">
        <f t="shared" ca="1" si="1738"/>
        <v>X</v>
      </c>
      <c r="LM422" s="58" t="str">
        <f t="shared" ca="1" si="1739"/>
        <v>X</v>
      </c>
      <c r="LN422" s="58" t="str">
        <f t="shared" ca="1" si="1740"/>
        <v>X</v>
      </c>
      <c r="LO422" s="58" t="str">
        <f t="shared" ca="1" si="1741"/>
        <v>X</v>
      </c>
      <c r="LP422" s="58" t="str">
        <f t="shared" ca="1" si="1742"/>
        <v>X</v>
      </c>
      <c r="LQ422" s="58" t="str">
        <f t="shared" ca="1" si="1743"/>
        <v>X</v>
      </c>
      <c r="LR422" s="58" t="str">
        <f t="shared" ca="1" si="1744"/>
        <v>X</v>
      </c>
      <c r="LS422" s="58" t="str">
        <f t="shared" ca="1" si="1745"/>
        <v>X</v>
      </c>
      <c r="LT422" s="58" t="str">
        <f t="shared" ca="1" si="1746"/>
        <v>X</v>
      </c>
      <c r="LU422" s="58" t="str">
        <f t="shared" ca="1" si="1747"/>
        <v>X</v>
      </c>
      <c r="LV422" s="58" t="str">
        <f t="shared" ca="1" si="1748"/>
        <v>X</v>
      </c>
      <c r="LW422" s="58" t="str">
        <f t="shared" ca="1" si="1749"/>
        <v>X</v>
      </c>
      <c r="LX422" s="58" t="str">
        <f t="shared" ca="1" si="1750"/>
        <v>X</v>
      </c>
      <c r="LY422" s="58" t="str">
        <f t="shared" ca="1" si="1751"/>
        <v>X</v>
      </c>
      <c r="LZ422" s="58" t="str">
        <f t="shared" ca="1" si="1752"/>
        <v>X</v>
      </c>
      <c r="MA422" s="58" t="str">
        <f t="shared" ca="1" si="1753"/>
        <v>X</v>
      </c>
      <c r="MB422" s="58" t="str">
        <f t="shared" ca="1" si="1754"/>
        <v>X</v>
      </c>
      <c r="MC422" s="58" t="str">
        <f t="shared" ca="1" si="1755"/>
        <v>X</v>
      </c>
      <c r="MD422" s="58" t="str">
        <f t="shared" ca="1" si="1756"/>
        <v>X</v>
      </c>
      <c r="ME422" s="58" t="str">
        <f t="shared" ca="1" si="1757"/>
        <v>X</v>
      </c>
      <c r="MF422" s="58" t="str">
        <f t="shared" ca="1" si="1758"/>
        <v>X</v>
      </c>
      <c r="MG422" s="58" t="str">
        <f t="shared" ca="1" si="1759"/>
        <v>X</v>
      </c>
      <c r="MH422" s="58" t="str">
        <f t="shared" ca="1" si="1760"/>
        <v>X</v>
      </c>
      <c r="MI422" s="58" t="str">
        <f t="shared" ca="1" si="1761"/>
        <v>X</v>
      </c>
      <c r="MJ422" s="58" t="str">
        <f t="shared" ca="1" si="1762"/>
        <v>X</v>
      </c>
      <c r="MK422" s="58" t="str">
        <f t="shared" ca="1" si="1763"/>
        <v>X</v>
      </c>
      <c r="ML422" s="58" t="str">
        <f t="shared" ca="1" si="1764"/>
        <v>X</v>
      </c>
      <c r="MM422" s="58" t="str">
        <f t="shared" ca="1" si="1765"/>
        <v>X</v>
      </c>
      <c r="MN422" s="58" t="str">
        <f t="shared" ca="1" si="1766"/>
        <v>X</v>
      </c>
      <c r="MO422" s="58" t="str">
        <f t="shared" ca="1" si="1767"/>
        <v>X</v>
      </c>
      <c r="MP422" s="58" t="str">
        <f t="shared" ca="1" si="1768"/>
        <v>X</v>
      </c>
      <c r="MQ422" s="58" t="str">
        <f t="shared" ca="1" si="1769"/>
        <v>X</v>
      </c>
      <c r="MR422" s="58" t="str">
        <f t="shared" ca="1" si="1770"/>
        <v>X</v>
      </c>
      <c r="MS422" s="58" t="str">
        <f t="shared" ca="1" si="1771"/>
        <v>X</v>
      </c>
      <c r="MT422" s="58" t="str">
        <f t="shared" ref="MT422:NE422" ca="1" si="1833">IF($K422=INDIRECT(CONCATENATE("$AG$"&amp;GH$392)),INDIRECT(CONCATENATE("$AG$"&amp;GH$391)),
IF($K422=INDIRECT(CONCATENATE("$AF$"&amp;GH$392)),INDIRECT(CONCATENATE("$AF$"&amp;GH$391)),
IF($K422=INDIRECT(CONCATENATE("$AE$"&amp;GH$392)),INDIRECT(CONCATENATE("$AE$"&amp;GH$391)),
IF($K422=INDIRECT(CONCATENATE("$AD$"&amp;GH$392)),INDIRECT(CONCATENATE("$AD$"&amp;GH$391)),
IF($K422=INDIRECT(CONCATENATE("$AC$"&amp;GH$392)),INDIRECT(CONCATENATE("$AC$"&amp;GH$391)),
IF($K422=INDIRECT(CONCATENATE("$AB$"&amp;GH$392)),INDIRECT(CONCATENATE("$AB$"&amp;GH$391)),
IF($K422=INDIRECT(CONCATENATE("$AA$"&amp;GH$392)),INDIRECT(CONCATENATE("$AA$"&amp;GH$391)),
IF($K422=INDIRECT(CONCATENATE("$Z$"&amp;GH$392)),INDIRECT(CONCATENATE("$Z$"&amp;GH$391)),
IF($K422=INDIRECT(CONCATENATE("$Y$"&amp;GH$392)),INDIRECT(CONCATENATE("$Y$"&amp;GH$391)),
IF($K422=INDIRECT(CONCATENATE("$X$"&amp;GH$392)),INDIRECT(CONCATENATE("$X$"&amp;GH$391)),
IF($K422=INDIRECT(CONCATENATE("$W$"&amp;GH$392)),INDIRECT(CONCATENATE("$W$"&amp;GH$391)),
IF($K422=INDIRECT(CONCATENATE("$V$"&amp;GH$392)),INDIRECT(CONCATENATE("$V$"&amp;GH$391)),
IF($K422=INDIRECT(CONCATENATE("$U$"&amp;GH$392)),INDIRECT(CONCATENATE("$U$"&amp;GH$391)),
IF($K422=INDIRECT(CONCATENATE("$T$"&amp;GH$392)),INDIRECT(CONCATENATE("$T$"&amp;GH$391)),
IF($K422=INDIRECT(CONCATENATE("$S$"&amp;GH$392)),INDIRECT(CONCATENATE("$S$"&amp;GH$391)),
IF($K422=INDIRECT(CONCATENATE("$R$"&amp;GH$392)),INDIRECT(CONCATENATE("$R$"&amp;GH$391)),
IF($K422=INDIRECT(CONCATENATE("$Q$"&amp;GH$392)),INDIRECT(CONCATENATE("$Q$"&amp;GH$391)),
IF($K422=INDIRECT(CONCATENATE("$P$"&amp;GH$392)),INDIRECT(CONCATENATE("$P$"&amp;GH$391)),
IF($K422=INDIRECT(CONCATENATE("$O$"&amp;GH$392)),INDIRECT(CONCATENATE("$O$"&amp;GH$391)),
IF($K422=INDIRECT(CONCATENATE("$N$"&amp;GH$392)),INDIRECT(CONCATENATE("$N$"&amp;GH$391)),
IF($K422=INDIRECT(CONCATENATE("$M$"&amp;GH$392)),INDIRECT(CONCATENATE("$M$"&amp;GH$391)),
IF($K422=INDIRECT(CONCATENATE("$L$"&amp;GH$392)),INDIRECT(CONCATENATE("$L$"&amp;GH$391)),
IF($K422=INDIRECT(CONCATENATE("$K$"&amp;GH$392)),INDIRECT(CONCATENATE("$K$"&amp;GH$391)),
IF($K422=INDIRECT(CONCATENATE("$J$"&amp;GH$392)),INDIRECT(CONCATENATE("$J$"&amp;GH$391)),
IF($K422=INDIRECT(CONCATENATE("$I$"&amp;GH$392)),INDIRECT(CONCATENATE("$I$"&amp;GH$391)),
IF($K422=INDIRECT(CONCATENATE("$H$"&amp;GH$392)),INDIRECT(CONCATENATE("$H$"&amp;GH$391)),
IF($K422=INDIRECT(CONCATENATE("$G$"&amp;GH$392)),INDIRECT(CONCATENATE("$G$"&amp;GH$391)),
IF($K422=INDIRECT(CONCATENATE("$F$"&amp;GH$392)),INDIRECT(CONCATENATE("$F$"&amp;GH$391)),
IF($K422=INDIRECT(CONCATENATE("$E$"&amp;GH$392)),INDIRECT(CONCATENATE("$E$"&amp;GH$391)),
IF($K422=INDIRECT(CONCATENATE("$D$"&amp;GH$392)),INDIRECT(CONCATENATE("$D$"&amp;GH$391)),
IF($K422=INDIRECT(CONCATENATE("$C$"&amp;GH$392)),INDIRECT(CONCATENATE("$C$"&amp;GH$391)),"X")))))))))))))))))))))))))))))))</f>
        <v>X</v>
      </c>
      <c r="MU422" s="58" t="str">
        <f t="shared" ca="1" si="1833"/>
        <v>X</v>
      </c>
      <c r="MV422" s="58" t="str">
        <f t="shared" ca="1" si="1833"/>
        <v>X</v>
      </c>
      <c r="MW422" s="58" t="str">
        <f t="shared" ca="1" si="1833"/>
        <v>X</v>
      </c>
      <c r="MX422" s="58" t="str">
        <f t="shared" ca="1" si="1833"/>
        <v>X</v>
      </c>
      <c r="MY422" s="58" t="str">
        <f t="shared" ca="1" si="1833"/>
        <v>X</v>
      </c>
      <c r="MZ422" s="58" t="str">
        <f t="shared" ca="1" si="1833"/>
        <v>X</v>
      </c>
      <c r="NA422" s="58" t="str">
        <f t="shared" ca="1" si="1833"/>
        <v>X</v>
      </c>
      <c r="NB422" s="58" t="str">
        <f t="shared" ca="1" si="1833"/>
        <v>X</v>
      </c>
      <c r="NC422" s="58" t="str">
        <f t="shared" ca="1" si="1833"/>
        <v>X</v>
      </c>
      <c r="ND422" s="58" t="str">
        <f t="shared" ca="1" si="1833"/>
        <v>X</v>
      </c>
      <c r="NE422" s="58" t="str">
        <f t="shared" ca="1" si="1833"/>
        <v>X</v>
      </c>
      <c r="NF422" s="58" t="str">
        <f t="shared" ca="1" si="1773"/>
        <v>X</v>
      </c>
      <c r="NG422" s="58" t="str">
        <f t="shared" ca="1" si="1774"/>
        <v>X</v>
      </c>
    </row>
    <row r="423" spans="1:371" ht="18" customHeight="1">
      <c r="A423" s="241"/>
      <c r="B423" s="304"/>
      <c r="C423" s="304"/>
      <c r="D423" s="304"/>
      <c r="E423" s="304"/>
      <c r="F423" s="304"/>
      <c r="G423" s="304"/>
      <c r="H423" s="304"/>
      <c r="I423" s="304"/>
      <c r="J423" s="303"/>
      <c r="K423" s="237" t="s">
        <v>84</v>
      </c>
      <c r="L423" s="303"/>
      <c r="M423" s="60"/>
      <c r="N423" s="225"/>
      <c r="O423" s="304"/>
      <c r="P423" s="304"/>
      <c r="Q423" s="304"/>
      <c r="R423" s="303"/>
      <c r="S423" s="226"/>
      <c r="T423" s="304"/>
      <c r="U423" s="303"/>
      <c r="V423" s="227"/>
      <c r="W423" s="303"/>
      <c r="X423" s="56" t="str">
        <f t="shared" ca="1" si="1775"/>
        <v>-</v>
      </c>
      <c r="Y423" s="56" t="str">
        <f t="shared" ca="1" si="1776"/>
        <v>-</v>
      </c>
      <c r="Z423" s="228" t="str">
        <f t="shared" ca="1" si="1612"/>
        <v/>
      </c>
      <c r="AA423" s="304"/>
      <c r="AB423" s="303"/>
      <c r="AC423" s="224">
        <f t="shared" si="1777"/>
        <v>0</v>
      </c>
      <c r="AD423" s="303"/>
      <c r="AE423" s="229">
        <f t="shared" si="1778"/>
        <v>0</v>
      </c>
      <c r="AF423" s="303"/>
      <c r="AG423" s="57" t="str">
        <f t="shared" si="1615"/>
        <v/>
      </c>
      <c r="AH423" s="21"/>
      <c r="AI423" s="70"/>
      <c r="AJ423" s="58" t="str">
        <f t="shared" ref="AJ423:GT423" ca="1" si="1834">IF($K423=INDIRECT(CONCATENATE("$C$"&amp;AJ$392)), INDIRECT(CONCATENATE("$C$"&amp;AJ$391)),
IF($K423=INDIRECT(CONCATENATE("$D$"&amp;AJ$392)), INDIRECT(CONCATENATE("$D$"&amp;AJ$391)),
IF($K423=INDIRECT(CONCATENATE("$E$"&amp;AJ$392)), INDIRECT(CONCATENATE("$E$"&amp;AJ$391)),
IF($K423=INDIRECT(CONCATENATE("$F$"&amp;AJ$392)), INDIRECT(CONCATENATE("$F$"&amp;AJ$391)),
IF($K423=INDIRECT(CONCATENATE("$G$"&amp;AJ$392)), INDIRECT(CONCATENATE("$G$"&amp;AJ$391)),
IF($K423=INDIRECT(CONCATENATE("$H$"&amp;AJ$392)), INDIRECT(CONCATENATE("$H$"&amp;AJ$391)),
IF($K423=INDIRECT(CONCATENATE("$I$"&amp;AJ$392)), INDIRECT(CONCATENATE("$I$"&amp;AJ$391)),
IF($K423=INDIRECT(CONCATENATE("$J$"&amp;AJ$392)), INDIRECT(CONCATENATE("$J$"&amp;AJ$391)),
IF($K423=INDIRECT(CONCATENATE("$K$"&amp;AJ$392)), INDIRECT(CONCATENATE("$K$"&amp;AJ$391)),
IF($K423=INDIRECT(CONCATENATE("$L$"&amp;AJ$392)), INDIRECT(CONCATENATE("$L$"&amp;AJ$391)),
IF($K423=INDIRECT(CONCATENATE("$M$"&amp;AJ$392)), INDIRECT(CONCATENATE("$M$"&amp;AJ$391)),
IF($K423=INDIRECT(CONCATENATE("$N$"&amp;AJ$392)), INDIRECT(CONCATENATE("$N$"&amp;AJ$391)),
IF($K423=INDIRECT(CONCATENATE("$O$"&amp;AJ$392)), INDIRECT(CONCATENATE("$O$"&amp;AJ$391)),
IF($K423=INDIRECT(CONCATENATE("$P$"&amp;AJ$392)), INDIRECT(CONCATENATE("$P$"&amp;AJ$391)),
IF($K423=INDIRECT(CONCATENATE("$Q$"&amp;AJ$392)), INDIRECT(CONCATENATE("$Q$"&amp;AJ$391)),
IF($K423=INDIRECT(CONCATENATE("$R$"&amp;AJ$392)), INDIRECT(CONCATENATE("$R$"&amp;AJ$391)),
IF($K423=INDIRECT(CONCATENATE("$S$"&amp;AJ$392)), INDIRECT(CONCATENATE("$S$"&amp;AJ$391)),
IF($K423=INDIRECT(CONCATENATE("$T$"&amp;AJ$392)), INDIRECT(CONCATENATE("$T$"&amp;AJ$391)),
IF($K423=INDIRECT(CONCATENATE("$U$"&amp;AJ$392)), INDIRECT(CONCATENATE("$U$"&amp;AJ$391)),
IF($K423=INDIRECT(CONCATENATE("$V$"&amp;AJ$392)), INDIRECT(CONCATENATE("$V$"&amp;AJ$391)),
IF($K423=INDIRECT(CONCATENATE("$W$"&amp;AJ$392)), INDIRECT(CONCATENATE("$W$"&amp;AJ$391)),
IF($K423=INDIRECT(CONCATENATE("$X$"&amp;AJ$392)), INDIRECT(CONCATENATE("$X$"&amp;AJ$391)),
IF($K423=INDIRECT(CONCATENATE("$Y$"&amp;AJ$392)), INDIRECT(CONCATENATE("$Y$"&amp;AJ$391)),
IF($K423=INDIRECT(CONCATENATE("$Z$"&amp;AJ$392)), INDIRECT(CONCATENATE("$Z$"&amp;AJ$391)),
IF($K423=INDIRECT(CONCATENATE("$AA$"&amp;AJ$392)), INDIRECT(CONCATENATE("$AA$"&amp;AJ$391)),
IF($K423=INDIRECT(CONCATENATE("$AB$"&amp;AJ$392)), INDIRECT(CONCATENATE("$AB$"&amp;AJ$391)),
IF($K423=INDIRECT(CONCATENATE("$AC$"&amp;AJ$392)), INDIRECT(CONCATENATE("$AC$"&amp;AJ$391)),
IF($K423=INDIRECT(CONCATENATE("$AD$"&amp;AJ$392)), INDIRECT(CONCATENATE("$AD$"&amp;AJ$391)),
IF($K423=INDIRECT(CONCATENATE("$AE$"&amp;AJ$392)), INDIRECT(CONCATENATE("$AE$"&amp;AJ$391)),
IF($K423=INDIRECT(CONCATENATE("$AF$"&amp;AJ$392)), INDIRECT(CONCATENATE("$AF$"&amp;AJ$391)),
IF($K423=INDIRECT(CONCATENATE("$AG$"&amp;AJ$392)), INDIRECT(CONCATENATE("$AG$"&amp;AJ$391)),"X")))))))))))))))))))))))))))))))</f>
        <v>X</v>
      </c>
      <c r="AK423" s="58" t="str">
        <f t="shared" ca="1" si="1834"/>
        <v>X</v>
      </c>
      <c r="AL423" s="58" t="str">
        <f t="shared" ca="1" si="1834"/>
        <v>X</v>
      </c>
      <c r="AM423" s="58" t="str">
        <f t="shared" ca="1" si="1834"/>
        <v>X</v>
      </c>
      <c r="AN423" s="58" t="str">
        <f t="shared" ca="1" si="1834"/>
        <v>X</v>
      </c>
      <c r="AO423" s="58" t="str">
        <f t="shared" ca="1" si="1834"/>
        <v>X</v>
      </c>
      <c r="AP423" s="58" t="str">
        <f t="shared" ca="1" si="1834"/>
        <v>X</v>
      </c>
      <c r="AQ423" s="58" t="str">
        <f t="shared" ca="1" si="1834"/>
        <v>X</v>
      </c>
      <c r="AR423" s="58" t="str">
        <f t="shared" ca="1" si="1834"/>
        <v>X</v>
      </c>
      <c r="AS423" s="58" t="str">
        <f t="shared" ca="1" si="1834"/>
        <v>X</v>
      </c>
      <c r="AT423" s="58" t="str">
        <f t="shared" ca="1" si="1834"/>
        <v>X</v>
      </c>
      <c r="AU423" s="58" t="str">
        <f t="shared" ca="1" si="1834"/>
        <v>X</v>
      </c>
      <c r="AV423" s="58" t="str">
        <f t="shared" ca="1" si="1834"/>
        <v>X</v>
      </c>
      <c r="AW423" s="58" t="str">
        <f t="shared" ca="1" si="1834"/>
        <v>X</v>
      </c>
      <c r="AX423" s="58" t="str">
        <f t="shared" ca="1" si="1834"/>
        <v>X</v>
      </c>
      <c r="AY423" s="58" t="str">
        <f t="shared" ca="1" si="1834"/>
        <v>X</v>
      </c>
      <c r="AZ423" s="58" t="str">
        <f t="shared" ca="1" si="1834"/>
        <v>X</v>
      </c>
      <c r="BA423" s="58" t="str">
        <f t="shared" ca="1" si="1834"/>
        <v>X</v>
      </c>
      <c r="BB423" s="58" t="str">
        <f t="shared" ca="1" si="1834"/>
        <v>X</v>
      </c>
      <c r="BC423" s="58" t="str">
        <f t="shared" ca="1" si="1834"/>
        <v>X</v>
      </c>
      <c r="BD423" s="58" t="str">
        <f t="shared" ca="1" si="1834"/>
        <v>X</v>
      </c>
      <c r="BE423" s="58" t="str">
        <f t="shared" ca="1" si="1834"/>
        <v>X</v>
      </c>
      <c r="BF423" s="58" t="str">
        <f t="shared" ca="1" si="1834"/>
        <v>X</v>
      </c>
      <c r="BG423" s="58" t="str">
        <f t="shared" ca="1" si="1834"/>
        <v>X</v>
      </c>
      <c r="BH423" s="58" t="str">
        <f t="shared" ca="1" si="1834"/>
        <v>X</v>
      </c>
      <c r="BI423" s="58" t="str">
        <f t="shared" ca="1" si="1834"/>
        <v>X</v>
      </c>
      <c r="BJ423" s="58" t="str">
        <f t="shared" ca="1" si="1834"/>
        <v>X</v>
      </c>
      <c r="BK423" s="58" t="str">
        <f t="shared" ca="1" si="1834"/>
        <v>X</v>
      </c>
      <c r="BL423" s="58" t="str">
        <f t="shared" ca="1" si="1834"/>
        <v>X</v>
      </c>
      <c r="BM423" s="58" t="str">
        <f t="shared" ca="1" si="1834"/>
        <v>X</v>
      </c>
      <c r="BN423" s="58" t="str">
        <f t="shared" ca="1" si="1834"/>
        <v>X</v>
      </c>
      <c r="BO423" s="58" t="str">
        <f t="shared" ca="1" si="1834"/>
        <v>X</v>
      </c>
      <c r="BP423" s="58" t="str">
        <f t="shared" ca="1" si="1834"/>
        <v>X</v>
      </c>
      <c r="BQ423" s="58" t="str">
        <f t="shared" ca="1" si="1834"/>
        <v>X</v>
      </c>
      <c r="BR423" s="58" t="str">
        <f t="shared" ca="1" si="1834"/>
        <v>X</v>
      </c>
      <c r="BS423" s="58" t="str">
        <f t="shared" ca="1" si="1834"/>
        <v>X</v>
      </c>
      <c r="BT423" s="58" t="str">
        <f t="shared" ca="1" si="1834"/>
        <v>X</v>
      </c>
      <c r="BU423" s="58" t="str">
        <f t="shared" ca="1" si="1834"/>
        <v>X</v>
      </c>
      <c r="BV423" s="58" t="str">
        <f t="shared" ca="1" si="1834"/>
        <v>X</v>
      </c>
      <c r="BW423" s="58" t="str">
        <f t="shared" ca="1" si="1834"/>
        <v>X</v>
      </c>
      <c r="BX423" s="58" t="str">
        <f t="shared" ca="1" si="1834"/>
        <v>X</v>
      </c>
      <c r="BY423" s="58" t="str">
        <f t="shared" ca="1" si="1834"/>
        <v>X</v>
      </c>
      <c r="BZ423" s="58" t="str">
        <f t="shared" ca="1" si="1834"/>
        <v>X</v>
      </c>
      <c r="CA423" s="58" t="str">
        <f t="shared" ca="1" si="1834"/>
        <v>X</v>
      </c>
      <c r="CB423" s="58" t="str">
        <f t="shared" ca="1" si="1834"/>
        <v>X</v>
      </c>
      <c r="CC423" s="58" t="str">
        <f t="shared" ca="1" si="1834"/>
        <v>X</v>
      </c>
      <c r="CD423" s="58" t="str">
        <f t="shared" ca="1" si="1834"/>
        <v>X</v>
      </c>
      <c r="CE423" s="58" t="str">
        <f t="shared" ca="1" si="1834"/>
        <v>X</v>
      </c>
      <c r="CF423" s="58" t="str">
        <f t="shared" ca="1" si="1834"/>
        <v>X</v>
      </c>
      <c r="CG423" s="58" t="str">
        <f t="shared" ca="1" si="1834"/>
        <v>X</v>
      </c>
      <c r="CH423" s="58" t="str">
        <f t="shared" ca="1" si="1834"/>
        <v>X</v>
      </c>
      <c r="CI423" s="58" t="str">
        <f t="shared" ca="1" si="1834"/>
        <v>X</v>
      </c>
      <c r="CJ423" s="58" t="str">
        <f t="shared" ca="1" si="1834"/>
        <v>X</v>
      </c>
      <c r="CK423" s="58" t="str">
        <f t="shared" ca="1" si="1834"/>
        <v>X</v>
      </c>
      <c r="CL423" s="58" t="str">
        <f t="shared" ca="1" si="1834"/>
        <v>X</v>
      </c>
      <c r="CM423" s="58" t="str">
        <f t="shared" ca="1" si="1834"/>
        <v>X</v>
      </c>
      <c r="CN423" s="58" t="str">
        <f t="shared" ca="1" si="1834"/>
        <v>X</v>
      </c>
      <c r="CO423" s="58" t="str">
        <f t="shared" ca="1" si="1834"/>
        <v>X</v>
      </c>
      <c r="CP423" s="58" t="str">
        <f t="shared" ca="1" si="1834"/>
        <v>X</v>
      </c>
      <c r="CQ423" s="58" t="str">
        <f t="shared" ca="1" si="1834"/>
        <v>X</v>
      </c>
      <c r="CR423" s="58" t="str">
        <f t="shared" ca="1" si="1834"/>
        <v>X</v>
      </c>
      <c r="CS423" s="58" t="str">
        <f t="shared" ca="1" si="1834"/>
        <v>X</v>
      </c>
      <c r="CT423" s="58" t="str">
        <f t="shared" ca="1" si="1834"/>
        <v>X</v>
      </c>
      <c r="CU423" s="58" t="str">
        <f t="shared" ca="1" si="1834"/>
        <v>X</v>
      </c>
      <c r="CV423" s="58" t="str">
        <f t="shared" ca="1" si="1834"/>
        <v>X</v>
      </c>
      <c r="CW423" s="58" t="str">
        <f t="shared" ca="1" si="1834"/>
        <v>X</v>
      </c>
      <c r="CX423" s="58" t="str">
        <f t="shared" ca="1" si="1834"/>
        <v>X</v>
      </c>
      <c r="CY423" s="58" t="str">
        <f t="shared" ca="1" si="1834"/>
        <v>X</v>
      </c>
      <c r="CZ423" s="58" t="str">
        <f t="shared" ca="1" si="1834"/>
        <v>X</v>
      </c>
      <c r="DA423" s="58" t="str">
        <f t="shared" ca="1" si="1834"/>
        <v>X</v>
      </c>
      <c r="DB423" s="58" t="str">
        <f t="shared" ca="1" si="1834"/>
        <v>X</v>
      </c>
      <c r="DC423" s="58" t="str">
        <f t="shared" ca="1" si="1834"/>
        <v>X</v>
      </c>
      <c r="DD423" s="58" t="str">
        <f t="shared" ca="1" si="1834"/>
        <v>X</v>
      </c>
      <c r="DE423" s="58" t="str">
        <f t="shared" ca="1" si="1834"/>
        <v>X</v>
      </c>
      <c r="DF423" s="58" t="str">
        <f t="shared" ca="1" si="1834"/>
        <v>X</v>
      </c>
      <c r="DG423" s="58" t="str">
        <f t="shared" ca="1" si="1834"/>
        <v>X</v>
      </c>
      <c r="DH423" s="58" t="str">
        <f t="shared" ca="1" si="1834"/>
        <v>X</v>
      </c>
      <c r="DI423" s="58" t="str">
        <f t="shared" ca="1" si="1834"/>
        <v>X</v>
      </c>
      <c r="DJ423" s="58" t="str">
        <f t="shared" ca="1" si="1834"/>
        <v>X</v>
      </c>
      <c r="DK423" s="58" t="str">
        <f t="shared" ca="1" si="1834"/>
        <v>X</v>
      </c>
      <c r="DL423" s="58" t="str">
        <f t="shared" ca="1" si="1834"/>
        <v>X</v>
      </c>
      <c r="DM423" s="58" t="str">
        <f t="shared" ca="1" si="1834"/>
        <v>X</v>
      </c>
      <c r="DN423" s="58" t="str">
        <f t="shared" ca="1" si="1834"/>
        <v>X</v>
      </c>
      <c r="DO423" s="58" t="str">
        <f t="shared" ca="1" si="1834"/>
        <v>X</v>
      </c>
      <c r="DP423" s="58" t="str">
        <f t="shared" ca="1" si="1834"/>
        <v>X</v>
      </c>
      <c r="DQ423" s="58" t="str">
        <f t="shared" ca="1" si="1834"/>
        <v>X</v>
      </c>
      <c r="DR423" s="58" t="str">
        <f t="shared" ca="1" si="1834"/>
        <v>X</v>
      </c>
      <c r="DS423" s="58" t="str">
        <f t="shared" ca="1" si="1834"/>
        <v>X</v>
      </c>
      <c r="DT423" s="58" t="str">
        <f t="shared" ca="1" si="1834"/>
        <v>X</v>
      </c>
      <c r="DU423" s="58" t="str">
        <f t="shared" ca="1" si="1834"/>
        <v>X</v>
      </c>
      <c r="DV423" s="58" t="str">
        <f t="shared" ca="1" si="1834"/>
        <v>X</v>
      </c>
      <c r="DW423" s="58" t="str">
        <f t="shared" ca="1" si="1834"/>
        <v>X</v>
      </c>
      <c r="DX423" s="58" t="str">
        <f t="shared" ca="1" si="1834"/>
        <v>X</v>
      </c>
      <c r="DY423" s="58" t="str">
        <f t="shared" ca="1" si="1834"/>
        <v>X</v>
      </c>
      <c r="DZ423" s="58" t="str">
        <f t="shared" ca="1" si="1834"/>
        <v>X</v>
      </c>
      <c r="EA423" s="58" t="str">
        <f t="shared" ca="1" si="1834"/>
        <v>X</v>
      </c>
      <c r="EB423" s="58" t="str">
        <f t="shared" ca="1" si="1834"/>
        <v>X</v>
      </c>
      <c r="EC423" s="58" t="str">
        <f t="shared" ca="1" si="1834"/>
        <v>X</v>
      </c>
      <c r="ED423" s="58" t="str">
        <f t="shared" ca="1" si="1834"/>
        <v>X</v>
      </c>
      <c r="EE423" s="58" t="str">
        <f t="shared" ca="1" si="1834"/>
        <v>X</v>
      </c>
      <c r="EF423" s="58" t="str">
        <f t="shared" ca="1" si="1834"/>
        <v>X</v>
      </c>
      <c r="EG423" s="58" t="str">
        <f t="shared" ca="1" si="1834"/>
        <v>X</v>
      </c>
      <c r="EH423" s="58" t="str">
        <f t="shared" ca="1" si="1834"/>
        <v>X</v>
      </c>
      <c r="EI423" s="58" t="str">
        <f t="shared" ca="1" si="1834"/>
        <v>X</v>
      </c>
      <c r="EJ423" s="58" t="str">
        <f t="shared" ca="1" si="1834"/>
        <v>X</v>
      </c>
      <c r="EK423" s="58" t="str">
        <f t="shared" ca="1" si="1834"/>
        <v>X</v>
      </c>
      <c r="EL423" s="58" t="str">
        <f t="shared" ca="1" si="1834"/>
        <v>X</v>
      </c>
      <c r="EM423" s="58" t="str">
        <f t="shared" ca="1" si="1834"/>
        <v>X</v>
      </c>
      <c r="EN423" s="58" t="str">
        <f t="shared" ca="1" si="1834"/>
        <v>X</v>
      </c>
      <c r="EO423" s="58" t="str">
        <f t="shared" ca="1" si="1834"/>
        <v>X</v>
      </c>
      <c r="EP423" s="58" t="str">
        <f t="shared" ca="1" si="1834"/>
        <v>X</v>
      </c>
      <c r="EQ423" s="58" t="str">
        <f t="shared" ca="1" si="1834"/>
        <v>X</v>
      </c>
      <c r="ER423" s="58" t="str">
        <f t="shared" ca="1" si="1834"/>
        <v>X</v>
      </c>
      <c r="ES423" s="58" t="str">
        <f t="shared" ca="1" si="1834"/>
        <v>X</v>
      </c>
      <c r="ET423" s="58" t="str">
        <f t="shared" ca="1" si="1834"/>
        <v>X</v>
      </c>
      <c r="EU423" s="58" t="str">
        <f t="shared" ca="1" si="1834"/>
        <v>X</v>
      </c>
      <c r="EV423" s="58" t="str">
        <f t="shared" ca="1" si="1834"/>
        <v>X</v>
      </c>
      <c r="EW423" s="58" t="str">
        <f t="shared" ca="1" si="1834"/>
        <v>X</v>
      </c>
      <c r="EX423" s="58" t="str">
        <f t="shared" ca="1" si="1834"/>
        <v>X</v>
      </c>
      <c r="EY423" s="58" t="str">
        <f t="shared" ca="1" si="1834"/>
        <v>X</v>
      </c>
      <c r="EZ423" s="58" t="str">
        <f t="shared" ca="1" si="1834"/>
        <v>X</v>
      </c>
      <c r="FA423" s="58" t="str">
        <f t="shared" ca="1" si="1834"/>
        <v>X</v>
      </c>
      <c r="FB423" s="58" t="str">
        <f t="shared" ca="1" si="1834"/>
        <v>X</v>
      </c>
      <c r="FC423" s="58" t="str">
        <f t="shared" ca="1" si="1834"/>
        <v>X</v>
      </c>
      <c r="FD423" s="58" t="str">
        <f t="shared" ca="1" si="1834"/>
        <v>X</v>
      </c>
      <c r="FE423" s="58" t="str">
        <f t="shared" ca="1" si="1834"/>
        <v>X</v>
      </c>
      <c r="FF423" s="58" t="str">
        <f t="shared" ca="1" si="1834"/>
        <v>X</v>
      </c>
      <c r="FG423" s="58" t="str">
        <f t="shared" ca="1" si="1834"/>
        <v>X</v>
      </c>
      <c r="FH423" s="58" t="str">
        <f t="shared" ca="1" si="1834"/>
        <v>X</v>
      </c>
      <c r="FI423" s="58" t="str">
        <f t="shared" ca="1" si="1834"/>
        <v>X</v>
      </c>
      <c r="FJ423" s="58" t="str">
        <f t="shared" ca="1" si="1834"/>
        <v>X</v>
      </c>
      <c r="FK423" s="58" t="str">
        <f t="shared" ca="1" si="1834"/>
        <v>X</v>
      </c>
      <c r="FL423" s="58" t="str">
        <f t="shared" ca="1" si="1834"/>
        <v>X</v>
      </c>
      <c r="FM423" s="58" t="str">
        <f t="shared" ca="1" si="1834"/>
        <v>X</v>
      </c>
      <c r="FN423" s="58" t="str">
        <f t="shared" ca="1" si="1834"/>
        <v>X</v>
      </c>
      <c r="FO423" s="58" t="str">
        <f t="shared" ca="1" si="1834"/>
        <v>X</v>
      </c>
      <c r="FP423" s="58" t="str">
        <f t="shared" ca="1" si="1834"/>
        <v>X</v>
      </c>
      <c r="FQ423" s="58" t="str">
        <f t="shared" ca="1" si="1834"/>
        <v>X</v>
      </c>
      <c r="FR423" s="58" t="str">
        <f t="shared" ca="1" si="1834"/>
        <v>X</v>
      </c>
      <c r="FS423" s="58" t="str">
        <f t="shared" ca="1" si="1834"/>
        <v>X</v>
      </c>
      <c r="FT423" s="58" t="str">
        <f t="shared" ca="1" si="1834"/>
        <v>X</v>
      </c>
      <c r="FU423" s="58" t="str">
        <f t="shared" ca="1" si="1834"/>
        <v>X</v>
      </c>
      <c r="FV423" s="58" t="str">
        <f t="shared" ca="1" si="1834"/>
        <v>X</v>
      </c>
      <c r="FW423" s="58" t="str">
        <f t="shared" ca="1" si="1834"/>
        <v>X</v>
      </c>
      <c r="FX423" s="58" t="str">
        <f t="shared" ca="1" si="1834"/>
        <v>X</v>
      </c>
      <c r="FY423" s="58" t="str">
        <f t="shared" ca="1" si="1834"/>
        <v>X</v>
      </c>
      <c r="FZ423" s="58" t="str">
        <f t="shared" ca="1" si="1834"/>
        <v>X</v>
      </c>
      <c r="GA423" s="58" t="str">
        <f t="shared" ca="1" si="1834"/>
        <v>X</v>
      </c>
      <c r="GB423" s="58" t="str">
        <f t="shared" ca="1" si="1834"/>
        <v>X</v>
      </c>
      <c r="GC423" s="58" t="str">
        <f t="shared" ca="1" si="1834"/>
        <v>X</v>
      </c>
      <c r="GD423" s="58" t="str">
        <f t="shared" ca="1" si="1834"/>
        <v>X</v>
      </c>
      <c r="GE423" s="58" t="str">
        <f t="shared" ca="1" si="1834"/>
        <v>X</v>
      </c>
      <c r="GF423" s="58" t="str">
        <f t="shared" ca="1" si="1834"/>
        <v>X</v>
      </c>
      <c r="GG423" s="58" t="str">
        <f t="shared" ca="1" si="1834"/>
        <v>X</v>
      </c>
      <c r="GH423" s="58" t="str">
        <f t="shared" ca="1" si="1834"/>
        <v>X</v>
      </c>
      <c r="GI423" s="58" t="str">
        <f t="shared" ca="1" si="1834"/>
        <v>X</v>
      </c>
      <c r="GJ423" s="58" t="str">
        <f t="shared" ca="1" si="1834"/>
        <v>X</v>
      </c>
      <c r="GK423" s="58" t="str">
        <f t="shared" ca="1" si="1834"/>
        <v>X</v>
      </c>
      <c r="GL423" s="58" t="str">
        <f t="shared" ca="1" si="1834"/>
        <v>X</v>
      </c>
      <c r="GM423" s="58" t="str">
        <f t="shared" ca="1" si="1834"/>
        <v>X</v>
      </c>
      <c r="GN423" s="58" t="str">
        <f t="shared" ca="1" si="1834"/>
        <v>X</v>
      </c>
      <c r="GO423" s="58" t="str">
        <f t="shared" ca="1" si="1834"/>
        <v>X</v>
      </c>
      <c r="GP423" s="58" t="str">
        <f t="shared" ca="1" si="1834"/>
        <v>X</v>
      </c>
      <c r="GQ423" s="58" t="str">
        <f t="shared" ca="1" si="1834"/>
        <v>X</v>
      </c>
      <c r="GR423" s="58" t="str">
        <f t="shared" ca="1" si="1834"/>
        <v>X</v>
      </c>
      <c r="GS423" s="80" t="str">
        <f t="shared" ca="1" si="1834"/>
        <v>X</v>
      </c>
      <c r="GT423" s="58" t="str">
        <f t="shared" ca="1" si="1834"/>
        <v>X</v>
      </c>
      <c r="GU423" s="82" t="str">
        <f t="shared" ca="1" si="1617"/>
        <v>X</v>
      </c>
      <c r="GV423" s="58" t="str">
        <f t="shared" ca="1" si="1618"/>
        <v>X</v>
      </c>
      <c r="GW423" s="58" t="str">
        <f t="shared" ca="1" si="1619"/>
        <v>X</v>
      </c>
      <c r="GX423" s="58" t="str">
        <f t="shared" ca="1" si="1620"/>
        <v>X</v>
      </c>
      <c r="GY423" s="58" t="str">
        <f t="shared" ca="1" si="1621"/>
        <v>X</v>
      </c>
      <c r="GZ423" s="58" t="str">
        <f t="shared" ca="1" si="1622"/>
        <v>X</v>
      </c>
      <c r="HA423" s="58" t="str">
        <f t="shared" ca="1" si="1623"/>
        <v>X</v>
      </c>
      <c r="HB423" s="58" t="str">
        <f t="shared" ca="1" si="1624"/>
        <v>X</v>
      </c>
      <c r="HC423" s="58" t="str">
        <f t="shared" ca="1" si="1625"/>
        <v>X</v>
      </c>
      <c r="HD423" s="58" t="str">
        <f t="shared" ca="1" si="1626"/>
        <v>X</v>
      </c>
      <c r="HE423" s="58" t="str">
        <f t="shared" ca="1" si="1627"/>
        <v>X</v>
      </c>
      <c r="HF423" s="58" t="str">
        <f t="shared" ca="1" si="1628"/>
        <v>X</v>
      </c>
      <c r="HG423" s="58" t="str">
        <f t="shared" ca="1" si="1629"/>
        <v>X</v>
      </c>
      <c r="HH423" s="58" t="str">
        <f t="shared" ca="1" si="1630"/>
        <v>X</v>
      </c>
      <c r="HI423" s="58" t="str">
        <f t="shared" ca="1" si="1631"/>
        <v>X</v>
      </c>
      <c r="HJ423" s="58" t="str">
        <f t="shared" ca="1" si="1632"/>
        <v>X</v>
      </c>
      <c r="HK423" s="58" t="str">
        <f t="shared" ca="1" si="1633"/>
        <v>X</v>
      </c>
      <c r="HL423" s="58" t="str">
        <f t="shared" ca="1" si="1634"/>
        <v>X</v>
      </c>
      <c r="HM423" s="58" t="str">
        <f t="shared" ca="1" si="1635"/>
        <v>X</v>
      </c>
      <c r="HN423" s="58" t="str">
        <f t="shared" ca="1" si="1636"/>
        <v>X</v>
      </c>
      <c r="HO423" s="58" t="str">
        <f t="shared" ca="1" si="1637"/>
        <v>X</v>
      </c>
      <c r="HP423" s="58" t="str">
        <f t="shared" ca="1" si="1638"/>
        <v>X</v>
      </c>
      <c r="HQ423" s="58" t="str">
        <f t="shared" ca="1" si="1639"/>
        <v>X</v>
      </c>
      <c r="HR423" s="58" t="str">
        <f t="shared" ca="1" si="1640"/>
        <v>X</v>
      </c>
      <c r="HS423" s="58" t="str">
        <f t="shared" ca="1" si="1641"/>
        <v>X</v>
      </c>
      <c r="HT423" s="58" t="str">
        <f t="shared" ca="1" si="1642"/>
        <v>X</v>
      </c>
      <c r="HU423" s="58" t="str">
        <f t="shared" ca="1" si="1643"/>
        <v>X</v>
      </c>
      <c r="HV423" s="58" t="str">
        <f t="shared" ca="1" si="1644"/>
        <v>X</v>
      </c>
      <c r="HW423" s="58" t="str">
        <f t="shared" ca="1" si="1645"/>
        <v>X</v>
      </c>
      <c r="HX423" s="58" t="str">
        <f t="shared" ca="1" si="1646"/>
        <v>X</v>
      </c>
      <c r="HY423" s="58" t="str">
        <f t="shared" ca="1" si="1647"/>
        <v>X</v>
      </c>
      <c r="HZ423" s="58" t="str">
        <f t="shared" ca="1" si="1648"/>
        <v>X</v>
      </c>
      <c r="IA423" s="58" t="str">
        <f t="shared" ca="1" si="1649"/>
        <v>X</v>
      </c>
      <c r="IB423" s="58" t="str">
        <f t="shared" ca="1" si="1650"/>
        <v>X</v>
      </c>
      <c r="IC423" s="58" t="str">
        <f t="shared" ca="1" si="1651"/>
        <v>X</v>
      </c>
      <c r="ID423" s="58" t="str">
        <f t="shared" ca="1" si="1652"/>
        <v>X</v>
      </c>
      <c r="IE423" s="58" t="str">
        <f t="shared" ca="1" si="1653"/>
        <v>X</v>
      </c>
      <c r="IF423" s="58" t="str">
        <f t="shared" ca="1" si="1654"/>
        <v>X</v>
      </c>
      <c r="IG423" s="58" t="str">
        <f t="shared" ca="1" si="1655"/>
        <v>X</v>
      </c>
      <c r="IH423" s="58" t="str">
        <f t="shared" ca="1" si="1656"/>
        <v>X</v>
      </c>
      <c r="II423" s="58" t="str">
        <f t="shared" ca="1" si="1657"/>
        <v>X</v>
      </c>
      <c r="IJ423" s="58" t="str">
        <f t="shared" ca="1" si="1658"/>
        <v>X</v>
      </c>
      <c r="IK423" s="58" t="str">
        <f t="shared" ca="1" si="1659"/>
        <v>X</v>
      </c>
      <c r="IL423" s="58" t="str">
        <f t="shared" ca="1" si="1660"/>
        <v>X</v>
      </c>
      <c r="IM423" s="58" t="str">
        <f t="shared" ca="1" si="1661"/>
        <v>X</v>
      </c>
      <c r="IN423" s="58" t="str">
        <f t="shared" ca="1" si="1662"/>
        <v>X</v>
      </c>
      <c r="IO423" s="58" t="str">
        <f t="shared" ca="1" si="1663"/>
        <v>X</v>
      </c>
      <c r="IP423" s="58" t="str">
        <f t="shared" ca="1" si="1664"/>
        <v>X</v>
      </c>
      <c r="IQ423" s="58" t="str">
        <f t="shared" ca="1" si="1665"/>
        <v>X</v>
      </c>
      <c r="IR423" s="58" t="str">
        <f t="shared" ca="1" si="1666"/>
        <v>X</v>
      </c>
      <c r="IS423" s="58" t="str">
        <f t="shared" ca="1" si="1667"/>
        <v>X</v>
      </c>
      <c r="IT423" s="58" t="str">
        <f t="shared" ca="1" si="1668"/>
        <v>X</v>
      </c>
      <c r="IU423" s="58" t="str">
        <f t="shared" ca="1" si="1669"/>
        <v>X</v>
      </c>
      <c r="IV423" s="58" t="str">
        <f t="shared" ca="1" si="1670"/>
        <v>X</v>
      </c>
      <c r="IW423" s="58" t="str">
        <f t="shared" ca="1" si="1671"/>
        <v>X</v>
      </c>
      <c r="IX423" s="58" t="str">
        <f t="shared" ca="1" si="1672"/>
        <v>X</v>
      </c>
      <c r="IY423" s="58" t="str">
        <f t="shared" ca="1" si="1673"/>
        <v>X</v>
      </c>
      <c r="IZ423" s="58" t="str">
        <f t="shared" ca="1" si="1674"/>
        <v>X</v>
      </c>
      <c r="JA423" s="58" t="str">
        <f t="shared" ca="1" si="1675"/>
        <v>X</v>
      </c>
      <c r="JB423" s="58" t="str">
        <f t="shared" ca="1" si="1676"/>
        <v>X</v>
      </c>
      <c r="JC423" s="58" t="str">
        <f t="shared" ca="1" si="1677"/>
        <v>X</v>
      </c>
      <c r="JD423" s="58" t="str">
        <f t="shared" ca="1" si="1678"/>
        <v>X</v>
      </c>
      <c r="JE423" s="58" t="str">
        <f t="shared" ca="1" si="1679"/>
        <v>X</v>
      </c>
      <c r="JF423" s="58" t="str">
        <f t="shared" ca="1" si="1680"/>
        <v>X</v>
      </c>
      <c r="JG423" s="58" t="str">
        <f t="shared" ca="1" si="1681"/>
        <v>X</v>
      </c>
      <c r="JH423" s="58" t="str">
        <f t="shared" ca="1" si="1682"/>
        <v>X</v>
      </c>
      <c r="JI423" s="58" t="str">
        <f t="shared" ca="1" si="1683"/>
        <v>X</v>
      </c>
      <c r="JJ423" s="58" t="str">
        <f t="shared" ca="1" si="1684"/>
        <v>X</v>
      </c>
      <c r="JK423" s="58" t="str">
        <f t="shared" ca="1" si="1685"/>
        <v>X</v>
      </c>
      <c r="JL423" s="58" t="str">
        <f t="shared" ca="1" si="1686"/>
        <v>X</v>
      </c>
      <c r="JM423" s="58" t="str">
        <f t="shared" ca="1" si="1687"/>
        <v>X</v>
      </c>
      <c r="JN423" s="58" t="str">
        <f t="shared" ca="1" si="1688"/>
        <v>X</v>
      </c>
      <c r="JO423" s="58" t="str">
        <f t="shared" ca="1" si="1689"/>
        <v>X</v>
      </c>
      <c r="JP423" s="58" t="str">
        <f t="shared" ca="1" si="1690"/>
        <v>X</v>
      </c>
      <c r="JQ423" s="58" t="str">
        <f t="shared" ca="1" si="1691"/>
        <v>X</v>
      </c>
      <c r="JR423" s="58" t="str">
        <f t="shared" ca="1" si="1692"/>
        <v>X</v>
      </c>
      <c r="JS423" s="58" t="str">
        <f t="shared" ca="1" si="1693"/>
        <v>X</v>
      </c>
      <c r="JT423" s="58" t="str">
        <f t="shared" ca="1" si="1694"/>
        <v>X</v>
      </c>
      <c r="JU423" s="58" t="str">
        <f t="shared" ca="1" si="1695"/>
        <v>X</v>
      </c>
      <c r="JV423" s="58" t="str">
        <f t="shared" ca="1" si="1696"/>
        <v>X</v>
      </c>
      <c r="JW423" s="58" t="str">
        <f t="shared" ca="1" si="1697"/>
        <v>X</v>
      </c>
      <c r="JX423" s="58" t="str">
        <f t="shared" ca="1" si="1698"/>
        <v>X</v>
      </c>
      <c r="JY423" s="58" t="str">
        <f t="shared" ca="1" si="1699"/>
        <v>X</v>
      </c>
      <c r="JZ423" s="58" t="str">
        <f t="shared" ca="1" si="1700"/>
        <v>X</v>
      </c>
      <c r="KA423" s="58" t="str">
        <f t="shared" ca="1" si="1701"/>
        <v>X</v>
      </c>
      <c r="KB423" s="58" t="str">
        <f t="shared" ca="1" si="1702"/>
        <v>X</v>
      </c>
      <c r="KC423" s="58" t="str">
        <f t="shared" ca="1" si="1703"/>
        <v>X</v>
      </c>
      <c r="KD423" s="58" t="str">
        <f t="shared" ca="1" si="1704"/>
        <v>X</v>
      </c>
      <c r="KE423" s="58" t="str">
        <f t="shared" ca="1" si="1705"/>
        <v>X</v>
      </c>
      <c r="KF423" s="58" t="str">
        <f t="shared" ca="1" si="1706"/>
        <v>X</v>
      </c>
      <c r="KG423" s="58" t="str">
        <f t="shared" ca="1" si="1707"/>
        <v>X</v>
      </c>
      <c r="KH423" s="58" t="str">
        <f t="shared" ca="1" si="1708"/>
        <v>X</v>
      </c>
      <c r="KI423" s="58" t="str">
        <f t="shared" ca="1" si="1709"/>
        <v>X</v>
      </c>
      <c r="KJ423" s="58" t="str">
        <f t="shared" ca="1" si="1710"/>
        <v>X</v>
      </c>
      <c r="KK423" s="58" t="str">
        <f t="shared" ca="1" si="1711"/>
        <v>X</v>
      </c>
      <c r="KL423" s="58" t="str">
        <f t="shared" ca="1" si="1712"/>
        <v>X</v>
      </c>
      <c r="KM423" s="58" t="str">
        <f t="shared" ca="1" si="1713"/>
        <v>X</v>
      </c>
      <c r="KN423" s="58" t="str">
        <f t="shared" ca="1" si="1714"/>
        <v>X</v>
      </c>
      <c r="KO423" s="58" t="str">
        <f t="shared" ca="1" si="1715"/>
        <v>X</v>
      </c>
      <c r="KP423" s="58" t="str">
        <f t="shared" ca="1" si="1716"/>
        <v>X</v>
      </c>
      <c r="KQ423" s="58" t="str">
        <f t="shared" ca="1" si="1717"/>
        <v>X</v>
      </c>
      <c r="KR423" s="58" t="str">
        <f t="shared" ca="1" si="1718"/>
        <v>X</v>
      </c>
      <c r="KS423" s="58" t="str">
        <f t="shared" ca="1" si="1719"/>
        <v>X</v>
      </c>
      <c r="KT423" s="58" t="str">
        <f t="shared" ca="1" si="1720"/>
        <v>X</v>
      </c>
      <c r="KU423" s="58" t="str">
        <f t="shared" ca="1" si="1721"/>
        <v>X</v>
      </c>
      <c r="KV423" s="58" t="str">
        <f t="shared" ca="1" si="1722"/>
        <v>X</v>
      </c>
      <c r="KW423" s="58" t="str">
        <f t="shared" ca="1" si="1723"/>
        <v>X</v>
      </c>
      <c r="KX423" s="58" t="str">
        <f t="shared" ca="1" si="1724"/>
        <v>X</v>
      </c>
      <c r="KY423" s="58" t="str">
        <f t="shared" ca="1" si="1725"/>
        <v>X</v>
      </c>
      <c r="KZ423" s="58" t="str">
        <f t="shared" ca="1" si="1726"/>
        <v>X</v>
      </c>
      <c r="LA423" s="58" t="str">
        <f t="shared" ca="1" si="1727"/>
        <v>X</v>
      </c>
      <c r="LB423" s="58" t="str">
        <f t="shared" ca="1" si="1728"/>
        <v>X</v>
      </c>
      <c r="LC423" s="58" t="str">
        <f t="shared" ca="1" si="1729"/>
        <v>X</v>
      </c>
      <c r="LD423" s="58" t="str">
        <f t="shared" ca="1" si="1730"/>
        <v>X</v>
      </c>
      <c r="LE423" s="58" t="str">
        <f t="shared" ca="1" si="1731"/>
        <v>X</v>
      </c>
      <c r="LF423" s="58" t="str">
        <f t="shared" ca="1" si="1732"/>
        <v>X</v>
      </c>
      <c r="LG423" s="58" t="str">
        <f t="shared" ca="1" si="1733"/>
        <v>X</v>
      </c>
      <c r="LH423" s="58" t="str">
        <f t="shared" ca="1" si="1734"/>
        <v>X</v>
      </c>
      <c r="LI423" s="58" t="str">
        <f t="shared" ca="1" si="1735"/>
        <v>X</v>
      </c>
      <c r="LJ423" s="58" t="str">
        <f t="shared" ca="1" si="1736"/>
        <v>X</v>
      </c>
      <c r="LK423" s="58" t="str">
        <f t="shared" ca="1" si="1737"/>
        <v>X</v>
      </c>
      <c r="LL423" s="58" t="str">
        <f t="shared" ca="1" si="1738"/>
        <v>X</v>
      </c>
      <c r="LM423" s="58" t="str">
        <f t="shared" ca="1" si="1739"/>
        <v>X</v>
      </c>
      <c r="LN423" s="58" t="str">
        <f t="shared" ca="1" si="1740"/>
        <v>X</v>
      </c>
      <c r="LO423" s="58" t="str">
        <f t="shared" ca="1" si="1741"/>
        <v>X</v>
      </c>
      <c r="LP423" s="58" t="str">
        <f t="shared" ca="1" si="1742"/>
        <v>X</v>
      </c>
      <c r="LQ423" s="58" t="str">
        <f t="shared" ca="1" si="1743"/>
        <v>X</v>
      </c>
      <c r="LR423" s="58" t="str">
        <f t="shared" ca="1" si="1744"/>
        <v>X</v>
      </c>
      <c r="LS423" s="58" t="str">
        <f t="shared" ca="1" si="1745"/>
        <v>X</v>
      </c>
      <c r="LT423" s="58" t="str">
        <f t="shared" ca="1" si="1746"/>
        <v>X</v>
      </c>
      <c r="LU423" s="58" t="str">
        <f t="shared" ca="1" si="1747"/>
        <v>X</v>
      </c>
      <c r="LV423" s="58" t="str">
        <f t="shared" ca="1" si="1748"/>
        <v>X</v>
      </c>
      <c r="LW423" s="58" t="str">
        <f t="shared" ca="1" si="1749"/>
        <v>X</v>
      </c>
      <c r="LX423" s="58" t="str">
        <f t="shared" ca="1" si="1750"/>
        <v>X</v>
      </c>
      <c r="LY423" s="58" t="str">
        <f t="shared" ca="1" si="1751"/>
        <v>X</v>
      </c>
      <c r="LZ423" s="58" t="str">
        <f t="shared" ca="1" si="1752"/>
        <v>X</v>
      </c>
      <c r="MA423" s="58" t="str">
        <f t="shared" ca="1" si="1753"/>
        <v>X</v>
      </c>
      <c r="MB423" s="58" t="str">
        <f t="shared" ca="1" si="1754"/>
        <v>X</v>
      </c>
      <c r="MC423" s="58" t="str">
        <f t="shared" ca="1" si="1755"/>
        <v>X</v>
      </c>
      <c r="MD423" s="58" t="str">
        <f t="shared" ca="1" si="1756"/>
        <v>X</v>
      </c>
      <c r="ME423" s="58" t="str">
        <f t="shared" ca="1" si="1757"/>
        <v>X</v>
      </c>
      <c r="MF423" s="58" t="str">
        <f t="shared" ca="1" si="1758"/>
        <v>X</v>
      </c>
      <c r="MG423" s="58" t="str">
        <f t="shared" ca="1" si="1759"/>
        <v>X</v>
      </c>
      <c r="MH423" s="58" t="str">
        <f t="shared" ca="1" si="1760"/>
        <v>X</v>
      </c>
      <c r="MI423" s="58" t="str">
        <f t="shared" ca="1" si="1761"/>
        <v>X</v>
      </c>
      <c r="MJ423" s="58" t="str">
        <f t="shared" ca="1" si="1762"/>
        <v>X</v>
      </c>
      <c r="MK423" s="58" t="str">
        <f t="shared" ca="1" si="1763"/>
        <v>X</v>
      </c>
      <c r="ML423" s="58" t="str">
        <f t="shared" ca="1" si="1764"/>
        <v>X</v>
      </c>
      <c r="MM423" s="58" t="str">
        <f t="shared" ca="1" si="1765"/>
        <v>X</v>
      </c>
      <c r="MN423" s="58" t="str">
        <f t="shared" ca="1" si="1766"/>
        <v>X</v>
      </c>
      <c r="MO423" s="58" t="str">
        <f t="shared" ca="1" si="1767"/>
        <v>X</v>
      </c>
      <c r="MP423" s="58" t="str">
        <f t="shared" ca="1" si="1768"/>
        <v>X</v>
      </c>
      <c r="MQ423" s="58" t="str">
        <f t="shared" ca="1" si="1769"/>
        <v>X</v>
      </c>
      <c r="MR423" s="58" t="str">
        <f t="shared" ca="1" si="1770"/>
        <v>X</v>
      </c>
      <c r="MS423" s="58" t="str">
        <f t="shared" ca="1" si="1771"/>
        <v>X</v>
      </c>
      <c r="MT423" s="58" t="str">
        <f t="shared" ref="MT423:NE423" ca="1" si="1835">IF($K423=INDIRECT(CONCATENATE("$AG$"&amp;GH$392)),INDIRECT(CONCATENATE("$AG$"&amp;GH$391)),
IF($K423=INDIRECT(CONCATENATE("$AF$"&amp;GH$392)),INDIRECT(CONCATENATE("$AF$"&amp;GH$391)),
IF($K423=INDIRECT(CONCATENATE("$AE$"&amp;GH$392)),INDIRECT(CONCATENATE("$AE$"&amp;GH$391)),
IF($K423=INDIRECT(CONCATENATE("$AD$"&amp;GH$392)),INDIRECT(CONCATENATE("$AD$"&amp;GH$391)),
IF($K423=INDIRECT(CONCATENATE("$AC$"&amp;GH$392)),INDIRECT(CONCATENATE("$AC$"&amp;GH$391)),
IF($K423=INDIRECT(CONCATENATE("$AB$"&amp;GH$392)),INDIRECT(CONCATENATE("$AB$"&amp;GH$391)),
IF($K423=INDIRECT(CONCATENATE("$AA$"&amp;GH$392)),INDIRECT(CONCATENATE("$AA$"&amp;GH$391)),
IF($K423=INDIRECT(CONCATENATE("$Z$"&amp;GH$392)),INDIRECT(CONCATENATE("$Z$"&amp;GH$391)),
IF($K423=INDIRECT(CONCATENATE("$Y$"&amp;GH$392)),INDIRECT(CONCATENATE("$Y$"&amp;GH$391)),
IF($K423=INDIRECT(CONCATENATE("$X$"&amp;GH$392)),INDIRECT(CONCATENATE("$X$"&amp;GH$391)),
IF($K423=INDIRECT(CONCATENATE("$W$"&amp;GH$392)),INDIRECT(CONCATENATE("$W$"&amp;GH$391)),
IF($K423=INDIRECT(CONCATENATE("$V$"&amp;GH$392)),INDIRECT(CONCATENATE("$V$"&amp;GH$391)),
IF($K423=INDIRECT(CONCATENATE("$U$"&amp;GH$392)),INDIRECT(CONCATENATE("$U$"&amp;GH$391)),
IF($K423=INDIRECT(CONCATENATE("$T$"&amp;GH$392)),INDIRECT(CONCATENATE("$T$"&amp;GH$391)),
IF($K423=INDIRECT(CONCATENATE("$S$"&amp;GH$392)),INDIRECT(CONCATENATE("$S$"&amp;GH$391)),
IF($K423=INDIRECT(CONCATENATE("$R$"&amp;GH$392)),INDIRECT(CONCATENATE("$R$"&amp;GH$391)),
IF($K423=INDIRECT(CONCATENATE("$Q$"&amp;GH$392)),INDIRECT(CONCATENATE("$Q$"&amp;GH$391)),
IF($K423=INDIRECT(CONCATENATE("$P$"&amp;GH$392)),INDIRECT(CONCATENATE("$P$"&amp;GH$391)),
IF($K423=INDIRECT(CONCATENATE("$O$"&amp;GH$392)),INDIRECT(CONCATENATE("$O$"&amp;GH$391)),
IF($K423=INDIRECT(CONCATENATE("$N$"&amp;GH$392)),INDIRECT(CONCATENATE("$N$"&amp;GH$391)),
IF($K423=INDIRECT(CONCATENATE("$M$"&amp;GH$392)),INDIRECT(CONCATENATE("$M$"&amp;GH$391)),
IF($K423=INDIRECT(CONCATENATE("$L$"&amp;GH$392)),INDIRECT(CONCATENATE("$L$"&amp;GH$391)),
IF($K423=INDIRECT(CONCATENATE("$K$"&amp;GH$392)),INDIRECT(CONCATENATE("$K$"&amp;GH$391)),
IF($K423=INDIRECT(CONCATENATE("$J$"&amp;GH$392)),INDIRECT(CONCATENATE("$J$"&amp;GH$391)),
IF($K423=INDIRECT(CONCATENATE("$I$"&amp;GH$392)),INDIRECT(CONCATENATE("$I$"&amp;GH$391)),
IF($K423=INDIRECT(CONCATENATE("$H$"&amp;GH$392)),INDIRECT(CONCATENATE("$H$"&amp;GH$391)),
IF($K423=INDIRECT(CONCATENATE("$G$"&amp;GH$392)),INDIRECT(CONCATENATE("$G$"&amp;GH$391)),
IF($K423=INDIRECT(CONCATENATE("$F$"&amp;GH$392)),INDIRECT(CONCATENATE("$F$"&amp;GH$391)),
IF($K423=INDIRECT(CONCATENATE("$E$"&amp;GH$392)),INDIRECT(CONCATENATE("$E$"&amp;GH$391)),
IF($K423=INDIRECT(CONCATENATE("$D$"&amp;GH$392)),INDIRECT(CONCATENATE("$D$"&amp;GH$391)),
IF($K423=INDIRECT(CONCATENATE("$C$"&amp;GH$392)),INDIRECT(CONCATENATE("$C$"&amp;GH$391)),"X")))))))))))))))))))))))))))))))</f>
        <v>X</v>
      </c>
      <c r="MU423" s="58" t="str">
        <f t="shared" ca="1" si="1835"/>
        <v>X</v>
      </c>
      <c r="MV423" s="58" t="str">
        <f t="shared" ca="1" si="1835"/>
        <v>X</v>
      </c>
      <c r="MW423" s="58" t="str">
        <f t="shared" ca="1" si="1835"/>
        <v>X</v>
      </c>
      <c r="MX423" s="58" t="str">
        <f t="shared" ca="1" si="1835"/>
        <v>X</v>
      </c>
      <c r="MY423" s="58" t="str">
        <f t="shared" ca="1" si="1835"/>
        <v>X</v>
      </c>
      <c r="MZ423" s="58" t="str">
        <f t="shared" ca="1" si="1835"/>
        <v>X</v>
      </c>
      <c r="NA423" s="58" t="str">
        <f t="shared" ca="1" si="1835"/>
        <v>X</v>
      </c>
      <c r="NB423" s="58" t="str">
        <f t="shared" ca="1" si="1835"/>
        <v>X</v>
      </c>
      <c r="NC423" s="58" t="str">
        <f t="shared" ca="1" si="1835"/>
        <v>X</v>
      </c>
      <c r="ND423" s="58" t="str">
        <f t="shared" ca="1" si="1835"/>
        <v>X</v>
      </c>
      <c r="NE423" s="58" t="str">
        <f t="shared" ca="1" si="1835"/>
        <v>X</v>
      </c>
      <c r="NF423" s="58" t="str">
        <f t="shared" ca="1" si="1773"/>
        <v>X</v>
      </c>
      <c r="NG423" s="58" t="str">
        <f t="shared" ca="1" si="1774"/>
        <v>X</v>
      </c>
    </row>
    <row r="424" spans="1:371" ht="18" customHeight="1">
      <c r="A424" s="241"/>
      <c r="B424" s="304"/>
      <c r="C424" s="304"/>
      <c r="D424" s="304"/>
      <c r="E424" s="304"/>
      <c r="F424" s="304"/>
      <c r="G424" s="304"/>
      <c r="H424" s="304"/>
      <c r="I424" s="304"/>
      <c r="J424" s="303"/>
      <c r="K424" s="237" t="s">
        <v>84</v>
      </c>
      <c r="L424" s="303"/>
      <c r="M424" s="60"/>
      <c r="N424" s="225"/>
      <c r="O424" s="304"/>
      <c r="P424" s="304"/>
      <c r="Q424" s="304"/>
      <c r="R424" s="303"/>
      <c r="S424" s="226"/>
      <c r="T424" s="304"/>
      <c r="U424" s="303"/>
      <c r="V424" s="227"/>
      <c r="W424" s="303"/>
      <c r="X424" s="56" t="str">
        <f t="shared" ca="1" si="1775"/>
        <v>-</v>
      </c>
      <c r="Y424" s="56" t="str">
        <f t="shared" ca="1" si="1776"/>
        <v>-</v>
      </c>
      <c r="Z424" s="228" t="str">
        <f t="shared" ca="1" si="1612"/>
        <v/>
      </c>
      <c r="AA424" s="304"/>
      <c r="AB424" s="303"/>
      <c r="AC424" s="224">
        <f t="shared" si="1777"/>
        <v>0</v>
      </c>
      <c r="AD424" s="303"/>
      <c r="AE424" s="229">
        <f t="shared" si="1778"/>
        <v>0</v>
      </c>
      <c r="AF424" s="303"/>
      <c r="AG424" s="57" t="str">
        <f t="shared" si="1615"/>
        <v/>
      </c>
      <c r="AH424" s="21"/>
      <c r="AI424" s="70"/>
      <c r="AJ424" s="58" t="str">
        <f t="shared" ref="AJ424:GT424" ca="1" si="1836">IF($K424=INDIRECT(CONCATENATE("$C$"&amp;AJ$392)), INDIRECT(CONCATENATE("$C$"&amp;AJ$391)),
IF($K424=INDIRECT(CONCATENATE("$D$"&amp;AJ$392)), INDIRECT(CONCATENATE("$D$"&amp;AJ$391)),
IF($K424=INDIRECT(CONCATENATE("$E$"&amp;AJ$392)), INDIRECT(CONCATENATE("$E$"&amp;AJ$391)),
IF($K424=INDIRECT(CONCATENATE("$F$"&amp;AJ$392)), INDIRECT(CONCATENATE("$F$"&amp;AJ$391)),
IF($K424=INDIRECT(CONCATENATE("$G$"&amp;AJ$392)), INDIRECT(CONCATENATE("$G$"&amp;AJ$391)),
IF($K424=INDIRECT(CONCATENATE("$H$"&amp;AJ$392)), INDIRECT(CONCATENATE("$H$"&amp;AJ$391)),
IF($K424=INDIRECT(CONCATENATE("$I$"&amp;AJ$392)), INDIRECT(CONCATENATE("$I$"&amp;AJ$391)),
IF($K424=INDIRECT(CONCATENATE("$J$"&amp;AJ$392)), INDIRECT(CONCATENATE("$J$"&amp;AJ$391)),
IF($K424=INDIRECT(CONCATENATE("$K$"&amp;AJ$392)), INDIRECT(CONCATENATE("$K$"&amp;AJ$391)),
IF($K424=INDIRECT(CONCATENATE("$L$"&amp;AJ$392)), INDIRECT(CONCATENATE("$L$"&amp;AJ$391)),
IF($K424=INDIRECT(CONCATENATE("$M$"&amp;AJ$392)), INDIRECT(CONCATENATE("$M$"&amp;AJ$391)),
IF($K424=INDIRECT(CONCATENATE("$N$"&amp;AJ$392)), INDIRECT(CONCATENATE("$N$"&amp;AJ$391)),
IF($K424=INDIRECT(CONCATENATE("$O$"&amp;AJ$392)), INDIRECT(CONCATENATE("$O$"&amp;AJ$391)),
IF($K424=INDIRECT(CONCATENATE("$P$"&amp;AJ$392)), INDIRECT(CONCATENATE("$P$"&amp;AJ$391)),
IF($K424=INDIRECT(CONCATENATE("$Q$"&amp;AJ$392)), INDIRECT(CONCATENATE("$Q$"&amp;AJ$391)),
IF($K424=INDIRECT(CONCATENATE("$R$"&amp;AJ$392)), INDIRECT(CONCATENATE("$R$"&amp;AJ$391)),
IF($K424=INDIRECT(CONCATENATE("$S$"&amp;AJ$392)), INDIRECT(CONCATENATE("$S$"&amp;AJ$391)),
IF($K424=INDIRECT(CONCATENATE("$T$"&amp;AJ$392)), INDIRECT(CONCATENATE("$T$"&amp;AJ$391)),
IF($K424=INDIRECT(CONCATENATE("$U$"&amp;AJ$392)), INDIRECT(CONCATENATE("$U$"&amp;AJ$391)),
IF($K424=INDIRECT(CONCATENATE("$V$"&amp;AJ$392)), INDIRECT(CONCATENATE("$V$"&amp;AJ$391)),
IF($K424=INDIRECT(CONCATENATE("$W$"&amp;AJ$392)), INDIRECT(CONCATENATE("$W$"&amp;AJ$391)),
IF($K424=INDIRECT(CONCATENATE("$X$"&amp;AJ$392)), INDIRECT(CONCATENATE("$X$"&amp;AJ$391)),
IF($K424=INDIRECT(CONCATENATE("$Y$"&amp;AJ$392)), INDIRECT(CONCATENATE("$Y$"&amp;AJ$391)),
IF($K424=INDIRECT(CONCATENATE("$Z$"&amp;AJ$392)), INDIRECT(CONCATENATE("$Z$"&amp;AJ$391)),
IF($K424=INDIRECT(CONCATENATE("$AA$"&amp;AJ$392)), INDIRECT(CONCATENATE("$AA$"&amp;AJ$391)),
IF($K424=INDIRECT(CONCATENATE("$AB$"&amp;AJ$392)), INDIRECT(CONCATENATE("$AB$"&amp;AJ$391)),
IF($K424=INDIRECT(CONCATENATE("$AC$"&amp;AJ$392)), INDIRECT(CONCATENATE("$AC$"&amp;AJ$391)),
IF($K424=INDIRECT(CONCATENATE("$AD$"&amp;AJ$392)), INDIRECT(CONCATENATE("$AD$"&amp;AJ$391)),
IF($K424=INDIRECT(CONCATENATE("$AE$"&amp;AJ$392)), INDIRECT(CONCATENATE("$AE$"&amp;AJ$391)),
IF($K424=INDIRECT(CONCATENATE("$AF$"&amp;AJ$392)), INDIRECT(CONCATENATE("$AF$"&amp;AJ$391)),
IF($K424=INDIRECT(CONCATENATE("$AG$"&amp;AJ$392)), INDIRECT(CONCATENATE("$AG$"&amp;AJ$391)),"X")))))))))))))))))))))))))))))))</f>
        <v>X</v>
      </c>
      <c r="AK424" s="58" t="str">
        <f t="shared" ca="1" si="1836"/>
        <v>X</v>
      </c>
      <c r="AL424" s="58" t="str">
        <f t="shared" ca="1" si="1836"/>
        <v>X</v>
      </c>
      <c r="AM424" s="58" t="str">
        <f t="shared" ca="1" si="1836"/>
        <v>X</v>
      </c>
      <c r="AN424" s="58" t="str">
        <f t="shared" ca="1" si="1836"/>
        <v>X</v>
      </c>
      <c r="AO424" s="58" t="str">
        <f t="shared" ca="1" si="1836"/>
        <v>X</v>
      </c>
      <c r="AP424" s="58" t="str">
        <f t="shared" ca="1" si="1836"/>
        <v>X</v>
      </c>
      <c r="AQ424" s="58" t="str">
        <f t="shared" ca="1" si="1836"/>
        <v>X</v>
      </c>
      <c r="AR424" s="58" t="str">
        <f t="shared" ca="1" si="1836"/>
        <v>X</v>
      </c>
      <c r="AS424" s="58" t="str">
        <f t="shared" ca="1" si="1836"/>
        <v>X</v>
      </c>
      <c r="AT424" s="58" t="str">
        <f t="shared" ca="1" si="1836"/>
        <v>X</v>
      </c>
      <c r="AU424" s="58" t="str">
        <f t="shared" ca="1" si="1836"/>
        <v>X</v>
      </c>
      <c r="AV424" s="58" t="str">
        <f t="shared" ca="1" si="1836"/>
        <v>X</v>
      </c>
      <c r="AW424" s="58" t="str">
        <f t="shared" ca="1" si="1836"/>
        <v>X</v>
      </c>
      <c r="AX424" s="58" t="str">
        <f t="shared" ca="1" si="1836"/>
        <v>X</v>
      </c>
      <c r="AY424" s="58" t="str">
        <f t="shared" ca="1" si="1836"/>
        <v>X</v>
      </c>
      <c r="AZ424" s="58" t="str">
        <f t="shared" ca="1" si="1836"/>
        <v>X</v>
      </c>
      <c r="BA424" s="58" t="str">
        <f t="shared" ca="1" si="1836"/>
        <v>X</v>
      </c>
      <c r="BB424" s="58" t="str">
        <f t="shared" ca="1" si="1836"/>
        <v>X</v>
      </c>
      <c r="BC424" s="58" t="str">
        <f t="shared" ca="1" si="1836"/>
        <v>X</v>
      </c>
      <c r="BD424" s="58" t="str">
        <f t="shared" ca="1" si="1836"/>
        <v>X</v>
      </c>
      <c r="BE424" s="58" t="str">
        <f t="shared" ca="1" si="1836"/>
        <v>X</v>
      </c>
      <c r="BF424" s="58" t="str">
        <f t="shared" ca="1" si="1836"/>
        <v>X</v>
      </c>
      <c r="BG424" s="58" t="str">
        <f t="shared" ca="1" si="1836"/>
        <v>X</v>
      </c>
      <c r="BH424" s="58" t="str">
        <f t="shared" ca="1" si="1836"/>
        <v>X</v>
      </c>
      <c r="BI424" s="58" t="str">
        <f t="shared" ca="1" si="1836"/>
        <v>X</v>
      </c>
      <c r="BJ424" s="58" t="str">
        <f t="shared" ca="1" si="1836"/>
        <v>X</v>
      </c>
      <c r="BK424" s="58" t="str">
        <f t="shared" ca="1" si="1836"/>
        <v>X</v>
      </c>
      <c r="BL424" s="58" t="str">
        <f t="shared" ca="1" si="1836"/>
        <v>X</v>
      </c>
      <c r="BM424" s="58" t="str">
        <f t="shared" ca="1" si="1836"/>
        <v>X</v>
      </c>
      <c r="BN424" s="58" t="str">
        <f t="shared" ca="1" si="1836"/>
        <v>X</v>
      </c>
      <c r="BO424" s="58" t="str">
        <f t="shared" ca="1" si="1836"/>
        <v>X</v>
      </c>
      <c r="BP424" s="58" t="str">
        <f t="shared" ca="1" si="1836"/>
        <v>X</v>
      </c>
      <c r="BQ424" s="58" t="str">
        <f t="shared" ca="1" si="1836"/>
        <v>X</v>
      </c>
      <c r="BR424" s="58" t="str">
        <f t="shared" ca="1" si="1836"/>
        <v>X</v>
      </c>
      <c r="BS424" s="58" t="str">
        <f t="shared" ca="1" si="1836"/>
        <v>X</v>
      </c>
      <c r="BT424" s="58" t="str">
        <f t="shared" ca="1" si="1836"/>
        <v>X</v>
      </c>
      <c r="BU424" s="58" t="str">
        <f t="shared" ca="1" si="1836"/>
        <v>X</v>
      </c>
      <c r="BV424" s="58" t="str">
        <f t="shared" ca="1" si="1836"/>
        <v>X</v>
      </c>
      <c r="BW424" s="58" t="str">
        <f t="shared" ca="1" si="1836"/>
        <v>X</v>
      </c>
      <c r="BX424" s="58" t="str">
        <f t="shared" ca="1" si="1836"/>
        <v>X</v>
      </c>
      <c r="BY424" s="58" t="str">
        <f t="shared" ca="1" si="1836"/>
        <v>X</v>
      </c>
      <c r="BZ424" s="58" t="str">
        <f t="shared" ca="1" si="1836"/>
        <v>X</v>
      </c>
      <c r="CA424" s="58" t="str">
        <f t="shared" ca="1" si="1836"/>
        <v>X</v>
      </c>
      <c r="CB424" s="58" t="str">
        <f t="shared" ca="1" si="1836"/>
        <v>X</v>
      </c>
      <c r="CC424" s="58" t="str">
        <f t="shared" ca="1" si="1836"/>
        <v>X</v>
      </c>
      <c r="CD424" s="58" t="str">
        <f t="shared" ca="1" si="1836"/>
        <v>X</v>
      </c>
      <c r="CE424" s="58" t="str">
        <f t="shared" ca="1" si="1836"/>
        <v>X</v>
      </c>
      <c r="CF424" s="58" t="str">
        <f t="shared" ca="1" si="1836"/>
        <v>X</v>
      </c>
      <c r="CG424" s="58" t="str">
        <f t="shared" ca="1" si="1836"/>
        <v>X</v>
      </c>
      <c r="CH424" s="58" t="str">
        <f t="shared" ca="1" si="1836"/>
        <v>X</v>
      </c>
      <c r="CI424" s="58" t="str">
        <f t="shared" ca="1" si="1836"/>
        <v>X</v>
      </c>
      <c r="CJ424" s="58" t="str">
        <f t="shared" ca="1" si="1836"/>
        <v>X</v>
      </c>
      <c r="CK424" s="58" t="str">
        <f t="shared" ca="1" si="1836"/>
        <v>X</v>
      </c>
      <c r="CL424" s="58" t="str">
        <f t="shared" ca="1" si="1836"/>
        <v>X</v>
      </c>
      <c r="CM424" s="58" t="str">
        <f t="shared" ca="1" si="1836"/>
        <v>X</v>
      </c>
      <c r="CN424" s="58" t="str">
        <f t="shared" ca="1" si="1836"/>
        <v>X</v>
      </c>
      <c r="CO424" s="58" t="str">
        <f t="shared" ca="1" si="1836"/>
        <v>X</v>
      </c>
      <c r="CP424" s="58" t="str">
        <f t="shared" ca="1" si="1836"/>
        <v>X</v>
      </c>
      <c r="CQ424" s="58" t="str">
        <f t="shared" ca="1" si="1836"/>
        <v>X</v>
      </c>
      <c r="CR424" s="58" t="str">
        <f t="shared" ca="1" si="1836"/>
        <v>X</v>
      </c>
      <c r="CS424" s="58" t="str">
        <f t="shared" ca="1" si="1836"/>
        <v>X</v>
      </c>
      <c r="CT424" s="58" t="str">
        <f t="shared" ca="1" si="1836"/>
        <v>X</v>
      </c>
      <c r="CU424" s="58" t="str">
        <f t="shared" ca="1" si="1836"/>
        <v>X</v>
      </c>
      <c r="CV424" s="58" t="str">
        <f t="shared" ca="1" si="1836"/>
        <v>X</v>
      </c>
      <c r="CW424" s="58" t="str">
        <f t="shared" ca="1" si="1836"/>
        <v>X</v>
      </c>
      <c r="CX424" s="58" t="str">
        <f t="shared" ca="1" si="1836"/>
        <v>X</v>
      </c>
      <c r="CY424" s="58" t="str">
        <f t="shared" ca="1" si="1836"/>
        <v>X</v>
      </c>
      <c r="CZ424" s="58" t="str">
        <f t="shared" ca="1" si="1836"/>
        <v>X</v>
      </c>
      <c r="DA424" s="58" t="str">
        <f t="shared" ca="1" si="1836"/>
        <v>X</v>
      </c>
      <c r="DB424" s="58" t="str">
        <f t="shared" ca="1" si="1836"/>
        <v>X</v>
      </c>
      <c r="DC424" s="58" t="str">
        <f t="shared" ca="1" si="1836"/>
        <v>X</v>
      </c>
      <c r="DD424" s="58" t="str">
        <f t="shared" ca="1" si="1836"/>
        <v>X</v>
      </c>
      <c r="DE424" s="58" t="str">
        <f t="shared" ca="1" si="1836"/>
        <v>X</v>
      </c>
      <c r="DF424" s="58" t="str">
        <f t="shared" ca="1" si="1836"/>
        <v>X</v>
      </c>
      <c r="DG424" s="58" t="str">
        <f t="shared" ca="1" si="1836"/>
        <v>X</v>
      </c>
      <c r="DH424" s="58" t="str">
        <f t="shared" ca="1" si="1836"/>
        <v>X</v>
      </c>
      <c r="DI424" s="58" t="str">
        <f t="shared" ca="1" si="1836"/>
        <v>X</v>
      </c>
      <c r="DJ424" s="58" t="str">
        <f t="shared" ca="1" si="1836"/>
        <v>X</v>
      </c>
      <c r="DK424" s="58" t="str">
        <f t="shared" ca="1" si="1836"/>
        <v>X</v>
      </c>
      <c r="DL424" s="58" t="str">
        <f t="shared" ca="1" si="1836"/>
        <v>X</v>
      </c>
      <c r="DM424" s="58" t="str">
        <f t="shared" ca="1" si="1836"/>
        <v>X</v>
      </c>
      <c r="DN424" s="58" t="str">
        <f t="shared" ca="1" si="1836"/>
        <v>X</v>
      </c>
      <c r="DO424" s="58" t="str">
        <f t="shared" ca="1" si="1836"/>
        <v>X</v>
      </c>
      <c r="DP424" s="58" t="str">
        <f t="shared" ca="1" si="1836"/>
        <v>X</v>
      </c>
      <c r="DQ424" s="58" t="str">
        <f t="shared" ca="1" si="1836"/>
        <v>X</v>
      </c>
      <c r="DR424" s="58" t="str">
        <f t="shared" ca="1" si="1836"/>
        <v>X</v>
      </c>
      <c r="DS424" s="58" t="str">
        <f t="shared" ca="1" si="1836"/>
        <v>X</v>
      </c>
      <c r="DT424" s="58" t="str">
        <f t="shared" ca="1" si="1836"/>
        <v>X</v>
      </c>
      <c r="DU424" s="58" t="str">
        <f t="shared" ca="1" si="1836"/>
        <v>X</v>
      </c>
      <c r="DV424" s="58" t="str">
        <f t="shared" ca="1" si="1836"/>
        <v>X</v>
      </c>
      <c r="DW424" s="58" t="str">
        <f t="shared" ca="1" si="1836"/>
        <v>X</v>
      </c>
      <c r="DX424" s="58" t="str">
        <f t="shared" ca="1" si="1836"/>
        <v>X</v>
      </c>
      <c r="DY424" s="58" t="str">
        <f t="shared" ca="1" si="1836"/>
        <v>X</v>
      </c>
      <c r="DZ424" s="58" t="str">
        <f t="shared" ca="1" si="1836"/>
        <v>X</v>
      </c>
      <c r="EA424" s="58" t="str">
        <f t="shared" ca="1" si="1836"/>
        <v>X</v>
      </c>
      <c r="EB424" s="58" t="str">
        <f t="shared" ca="1" si="1836"/>
        <v>X</v>
      </c>
      <c r="EC424" s="58" t="str">
        <f t="shared" ca="1" si="1836"/>
        <v>X</v>
      </c>
      <c r="ED424" s="58" t="str">
        <f t="shared" ca="1" si="1836"/>
        <v>X</v>
      </c>
      <c r="EE424" s="58" t="str">
        <f t="shared" ca="1" si="1836"/>
        <v>X</v>
      </c>
      <c r="EF424" s="58" t="str">
        <f t="shared" ca="1" si="1836"/>
        <v>X</v>
      </c>
      <c r="EG424" s="58" t="str">
        <f t="shared" ca="1" si="1836"/>
        <v>X</v>
      </c>
      <c r="EH424" s="58" t="str">
        <f t="shared" ca="1" si="1836"/>
        <v>X</v>
      </c>
      <c r="EI424" s="58" t="str">
        <f t="shared" ca="1" si="1836"/>
        <v>X</v>
      </c>
      <c r="EJ424" s="58" t="str">
        <f t="shared" ca="1" si="1836"/>
        <v>X</v>
      </c>
      <c r="EK424" s="58" t="str">
        <f t="shared" ca="1" si="1836"/>
        <v>X</v>
      </c>
      <c r="EL424" s="58" t="str">
        <f t="shared" ca="1" si="1836"/>
        <v>X</v>
      </c>
      <c r="EM424" s="58" t="str">
        <f t="shared" ca="1" si="1836"/>
        <v>X</v>
      </c>
      <c r="EN424" s="58" t="str">
        <f t="shared" ca="1" si="1836"/>
        <v>X</v>
      </c>
      <c r="EO424" s="58" t="str">
        <f t="shared" ca="1" si="1836"/>
        <v>X</v>
      </c>
      <c r="EP424" s="58" t="str">
        <f t="shared" ca="1" si="1836"/>
        <v>X</v>
      </c>
      <c r="EQ424" s="58" t="str">
        <f t="shared" ca="1" si="1836"/>
        <v>X</v>
      </c>
      <c r="ER424" s="58" t="str">
        <f t="shared" ca="1" si="1836"/>
        <v>X</v>
      </c>
      <c r="ES424" s="58" t="str">
        <f t="shared" ca="1" si="1836"/>
        <v>X</v>
      </c>
      <c r="ET424" s="58" t="str">
        <f t="shared" ca="1" si="1836"/>
        <v>X</v>
      </c>
      <c r="EU424" s="58" t="str">
        <f t="shared" ca="1" si="1836"/>
        <v>X</v>
      </c>
      <c r="EV424" s="58" t="str">
        <f t="shared" ca="1" si="1836"/>
        <v>X</v>
      </c>
      <c r="EW424" s="58" t="str">
        <f t="shared" ca="1" si="1836"/>
        <v>X</v>
      </c>
      <c r="EX424" s="58" t="str">
        <f t="shared" ca="1" si="1836"/>
        <v>X</v>
      </c>
      <c r="EY424" s="58" t="str">
        <f t="shared" ca="1" si="1836"/>
        <v>X</v>
      </c>
      <c r="EZ424" s="58" t="str">
        <f t="shared" ca="1" si="1836"/>
        <v>X</v>
      </c>
      <c r="FA424" s="58" t="str">
        <f t="shared" ca="1" si="1836"/>
        <v>X</v>
      </c>
      <c r="FB424" s="58" t="str">
        <f t="shared" ca="1" si="1836"/>
        <v>X</v>
      </c>
      <c r="FC424" s="58" t="str">
        <f t="shared" ca="1" si="1836"/>
        <v>X</v>
      </c>
      <c r="FD424" s="58" t="str">
        <f t="shared" ca="1" si="1836"/>
        <v>X</v>
      </c>
      <c r="FE424" s="58" t="str">
        <f t="shared" ca="1" si="1836"/>
        <v>X</v>
      </c>
      <c r="FF424" s="58" t="str">
        <f t="shared" ca="1" si="1836"/>
        <v>X</v>
      </c>
      <c r="FG424" s="58" t="str">
        <f t="shared" ca="1" si="1836"/>
        <v>X</v>
      </c>
      <c r="FH424" s="58" t="str">
        <f t="shared" ca="1" si="1836"/>
        <v>X</v>
      </c>
      <c r="FI424" s="58" t="str">
        <f t="shared" ca="1" si="1836"/>
        <v>X</v>
      </c>
      <c r="FJ424" s="58" t="str">
        <f t="shared" ca="1" si="1836"/>
        <v>X</v>
      </c>
      <c r="FK424" s="58" t="str">
        <f t="shared" ca="1" si="1836"/>
        <v>X</v>
      </c>
      <c r="FL424" s="58" t="str">
        <f t="shared" ca="1" si="1836"/>
        <v>X</v>
      </c>
      <c r="FM424" s="58" t="str">
        <f t="shared" ca="1" si="1836"/>
        <v>X</v>
      </c>
      <c r="FN424" s="58" t="str">
        <f t="shared" ca="1" si="1836"/>
        <v>X</v>
      </c>
      <c r="FO424" s="58" t="str">
        <f t="shared" ca="1" si="1836"/>
        <v>X</v>
      </c>
      <c r="FP424" s="58" t="str">
        <f t="shared" ca="1" si="1836"/>
        <v>X</v>
      </c>
      <c r="FQ424" s="58" t="str">
        <f t="shared" ca="1" si="1836"/>
        <v>X</v>
      </c>
      <c r="FR424" s="58" t="str">
        <f t="shared" ca="1" si="1836"/>
        <v>X</v>
      </c>
      <c r="FS424" s="58" t="str">
        <f t="shared" ca="1" si="1836"/>
        <v>X</v>
      </c>
      <c r="FT424" s="58" t="str">
        <f t="shared" ca="1" si="1836"/>
        <v>X</v>
      </c>
      <c r="FU424" s="58" t="str">
        <f t="shared" ca="1" si="1836"/>
        <v>X</v>
      </c>
      <c r="FV424" s="58" t="str">
        <f t="shared" ca="1" si="1836"/>
        <v>X</v>
      </c>
      <c r="FW424" s="58" t="str">
        <f t="shared" ca="1" si="1836"/>
        <v>X</v>
      </c>
      <c r="FX424" s="58" t="str">
        <f t="shared" ca="1" si="1836"/>
        <v>X</v>
      </c>
      <c r="FY424" s="58" t="str">
        <f t="shared" ca="1" si="1836"/>
        <v>X</v>
      </c>
      <c r="FZ424" s="58" t="str">
        <f t="shared" ca="1" si="1836"/>
        <v>X</v>
      </c>
      <c r="GA424" s="58" t="str">
        <f t="shared" ca="1" si="1836"/>
        <v>X</v>
      </c>
      <c r="GB424" s="58" t="str">
        <f t="shared" ca="1" si="1836"/>
        <v>X</v>
      </c>
      <c r="GC424" s="58" t="str">
        <f t="shared" ca="1" si="1836"/>
        <v>X</v>
      </c>
      <c r="GD424" s="58" t="str">
        <f t="shared" ca="1" si="1836"/>
        <v>X</v>
      </c>
      <c r="GE424" s="58" t="str">
        <f t="shared" ca="1" si="1836"/>
        <v>X</v>
      </c>
      <c r="GF424" s="58" t="str">
        <f t="shared" ca="1" si="1836"/>
        <v>X</v>
      </c>
      <c r="GG424" s="58" t="str">
        <f t="shared" ca="1" si="1836"/>
        <v>X</v>
      </c>
      <c r="GH424" s="58" t="str">
        <f t="shared" ca="1" si="1836"/>
        <v>X</v>
      </c>
      <c r="GI424" s="58" t="str">
        <f t="shared" ca="1" si="1836"/>
        <v>X</v>
      </c>
      <c r="GJ424" s="58" t="str">
        <f t="shared" ca="1" si="1836"/>
        <v>X</v>
      </c>
      <c r="GK424" s="58" t="str">
        <f t="shared" ca="1" si="1836"/>
        <v>X</v>
      </c>
      <c r="GL424" s="58" t="str">
        <f t="shared" ca="1" si="1836"/>
        <v>X</v>
      </c>
      <c r="GM424" s="58" t="str">
        <f t="shared" ca="1" si="1836"/>
        <v>X</v>
      </c>
      <c r="GN424" s="58" t="str">
        <f t="shared" ca="1" si="1836"/>
        <v>X</v>
      </c>
      <c r="GO424" s="58" t="str">
        <f t="shared" ca="1" si="1836"/>
        <v>X</v>
      </c>
      <c r="GP424" s="58" t="str">
        <f t="shared" ca="1" si="1836"/>
        <v>X</v>
      </c>
      <c r="GQ424" s="58" t="str">
        <f t="shared" ca="1" si="1836"/>
        <v>X</v>
      </c>
      <c r="GR424" s="58" t="str">
        <f t="shared" ca="1" si="1836"/>
        <v>X</v>
      </c>
      <c r="GS424" s="80" t="str">
        <f t="shared" ca="1" si="1836"/>
        <v>X</v>
      </c>
      <c r="GT424" s="58" t="str">
        <f t="shared" ca="1" si="1836"/>
        <v>X</v>
      </c>
      <c r="GU424" s="82" t="str">
        <f t="shared" ca="1" si="1617"/>
        <v>X</v>
      </c>
      <c r="GV424" s="58" t="str">
        <f t="shared" ca="1" si="1618"/>
        <v>X</v>
      </c>
      <c r="GW424" s="58" t="str">
        <f t="shared" ca="1" si="1619"/>
        <v>X</v>
      </c>
      <c r="GX424" s="58" t="str">
        <f t="shared" ca="1" si="1620"/>
        <v>X</v>
      </c>
      <c r="GY424" s="58" t="str">
        <f t="shared" ca="1" si="1621"/>
        <v>X</v>
      </c>
      <c r="GZ424" s="58" t="str">
        <f t="shared" ca="1" si="1622"/>
        <v>X</v>
      </c>
      <c r="HA424" s="58" t="str">
        <f t="shared" ca="1" si="1623"/>
        <v>X</v>
      </c>
      <c r="HB424" s="58" t="str">
        <f t="shared" ca="1" si="1624"/>
        <v>X</v>
      </c>
      <c r="HC424" s="58" t="str">
        <f t="shared" ca="1" si="1625"/>
        <v>X</v>
      </c>
      <c r="HD424" s="58" t="str">
        <f t="shared" ca="1" si="1626"/>
        <v>X</v>
      </c>
      <c r="HE424" s="58" t="str">
        <f t="shared" ca="1" si="1627"/>
        <v>X</v>
      </c>
      <c r="HF424" s="58" t="str">
        <f t="shared" ca="1" si="1628"/>
        <v>X</v>
      </c>
      <c r="HG424" s="58" t="str">
        <f t="shared" ca="1" si="1629"/>
        <v>X</v>
      </c>
      <c r="HH424" s="58" t="str">
        <f t="shared" ca="1" si="1630"/>
        <v>X</v>
      </c>
      <c r="HI424" s="58" t="str">
        <f t="shared" ca="1" si="1631"/>
        <v>X</v>
      </c>
      <c r="HJ424" s="58" t="str">
        <f t="shared" ca="1" si="1632"/>
        <v>X</v>
      </c>
      <c r="HK424" s="58" t="str">
        <f t="shared" ca="1" si="1633"/>
        <v>X</v>
      </c>
      <c r="HL424" s="58" t="str">
        <f t="shared" ca="1" si="1634"/>
        <v>X</v>
      </c>
      <c r="HM424" s="58" t="str">
        <f t="shared" ca="1" si="1635"/>
        <v>X</v>
      </c>
      <c r="HN424" s="58" t="str">
        <f t="shared" ca="1" si="1636"/>
        <v>X</v>
      </c>
      <c r="HO424" s="58" t="str">
        <f t="shared" ca="1" si="1637"/>
        <v>X</v>
      </c>
      <c r="HP424" s="58" t="str">
        <f t="shared" ca="1" si="1638"/>
        <v>X</v>
      </c>
      <c r="HQ424" s="58" t="str">
        <f t="shared" ca="1" si="1639"/>
        <v>X</v>
      </c>
      <c r="HR424" s="58" t="str">
        <f t="shared" ca="1" si="1640"/>
        <v>X</v>
      </c>
      <c r="HS424" s="58" t="str">
        <f t="shared" ca="1" si="1641"/>
        <v>X</v>
      </c>
      <c r="HT424" s="58" t="str">
        <f t="shared" ca="1" si="1642"/>
        <v>X</v>
      </c>
      <c r="HU424" s="58" t="str">
        <f t="shared" ca="1" si="1643"/>
        <v>X</v>
      </c>
      <c r="HV424" s="58" t="str">
        <f t="shared" ca="1" si="1644"/>
        <v>X</v>
      </c>
      <c r="HW424" s="58" t="str">
        <f t="shared" ca="1" si="1645"/>
        <v>X</v>
      </c>
      <c r="HX424" s="58" t="str">
        <f t="shared" ca="1" si="1646"/>
        <v>X</v>
      </c>
      <c r="HY424" s="58" t="str">
        <f t="shared" ca="1" si="1647"/>
        <v>X</v>
      </c>
      <c r="HZ424" s="58" t="str">
        <f t="shared" ca="1" si="1648"/>
        <v>X</v>
      </c>
      <c r="IA424" s="58" t="str">
        <f t="shared" ca="1" si="1649"/>
        <v>X</v>
      </c>
      <c r="IB424" s="58" t="str">
        <f t="shared" ca="1" si="1650"/>
        <v>X</v>
      </c>
      <c r="IC424" s="58" t="str">
        <f t="shared" ca="1" si="1651"/>
        <v>X</v>
      </c>
      <c r="ID424" s="58" t="str">
        <f t="shared" ca="1" si="1652"/>
        <v>X</v>
      </c>
      <c r="IE424" s="58" t="str">
        <f t="shared" ca="1" si="1653"/>
        <v>X</v>
      </c>
      <c r="IF424" s="58" t="str">
        <f t="shared" ca="1" si="1654"/>
        <v>X</v>
      </c>
      <c r="IG424" s="58" t="str">
        <f t="shared" ca="1" si="1655"/>
        <v>X</v>
      </c>
      <c r="IH424" s="58" t="str">
        <f t="shared" ca="1" si="1656"/>
        <v>X</v>
      </c>
      <c r="II424" s="58" t="str">
        <f t="shared" ca="1" si="1657"/>
        <v>X</v>
      </c>
      <c r="IJ424" s="58" t="str">
        <f t="shared" ca="1" si="1658"/>
        <v>X</v>
      </c>
      <c r="IK424" s="58" t="str">
        <f t="shared" ca="1" si="1659"/>
        <v>X</v>
      </c>
      <c r="IL424" s="58" t="str">
        <f t="shared" ca="1" si="1660"/>
        <v>X</v>
      </c>
      <c r="IM424" s="58" t="str">
        <f t="shared" ca="1" si="1661"/>
        <v>X</v>
      </c>
      <c r="IN424" s="58" t="str">
        <f t="shared" ca="1" si="1662"/>
        <v>X</v>
      </c>
      <c r="IO424" s="58" t="str">
        <f t="shared" ca="1" si="1663"/>
        <v>X</v>
      </c>
      <c r="IP424" s="58" t="str">
        <f t="shared" ca="1" si="1664"/>
        <v>X</v>
      </c>
      <c r="IQ424" s="58" t="str">
        <f t="shared" ca="1" si="1665"/>
        <v>X</v>
      </c>
      <c r="IR424" s="58" t="str">
        <f t="shared" ca="1" si="1666"/>
        <v>X</v>
      </c>
      <c r="IS424" s="58" t="str">
        <f t="shared" ca="1" si="1667"/>
        <v>X</v>
      </c>
      <c r="IT424" s="58" t="str">
        <f t="shared" ca="1" si="1668"/>
        <v>X</v>
      </c>
      <c r="IU424" s="58" t="str">
        <f t="shared" ca="1" si="1669"/>
        <v>X</v>
      </c>
      <c r="IV424" s="58" t="str">
        <f t="shared" ca="1" si="1670"/>
        <v>X</v>
      </c>
      <c r="IW424" s="58" t="str">
        <f t="shared" ca="1" si="1671"/>
        <v>X</v>
      </c>
      <c r="IX424" s="58" t="str">
        <f t="shared" ca="1" si="1672"/>
        <v>X</v>
      </c>
      <c r="IY424" s="58" t="str">
        <f t="shared" ca="1" si="1673"/>
        <v>X</v>
      </c>
      <c r="IZ424" s="58" t="str">
        <f t="shared" ca="1" si="1674"/>
        <v>X</v>
      </c>
      <c r="JA424" s="58" t="str">
        <f t="shared" ca="1" si="1675"/>
        <v>X</v>
      </c>
      <c r="JB424" s="58" t="str">
        <f t="shared" ca="1" si="1676"/>
        <v>X</v>
      </c>
      <c r="JC424" s="58" t="str">
        <f t="shared" ca="1" si="1677"/>
        <v>X</v>
      </c>
      <c r="JD424" s="58" t="str">
        <f t="shared" ca="1" si="1678"/>
        <v>X</v>
      </c>
      <c r="JE424" s="58" t="str">
        <f t="shared" ca="1" si="1679"/>
        <v>X</v>
      </c>
      <c r="JF424" s="58" t="str">
        <f t="shared" ca="1" si="1680"/>
        <v>X</v>
      </c>
      <c r="JG424" s="58" t="str">
        <f t="shared" ca="1" si="1681"/>
        <v>X</v>
      </c>
      <c r="JH424" s="58" t="str">
        <f t="shared" ca="1" si="1682"/>
        <v>X</v>
      </c>
      <c r="JI424" s="58" t="str">
        <f t="shared" ca="1" si="1683"/>
        <v>X</v>
      </c>
      <c r="JJ424" s="58" t="str">
        <f t="shared" ca="1" si="1684"/>
        <v>X</v>
      </c>
      <c r="JK424" s="58" t="str">
        <f t="shared" ca="1" si="1685"/>
        <v>X</v>
      </c>
      <c r="JL424" s="58" t="str">
        <f t="shared" ca="1" si="1686"/>
        <v>X</v>
      </c>
      <c r="JM424" s="58" t="str">
        <f t="shared" ca="1" si="1687"/>
        <v>X</v>
      </c>
      <c r="JN424" s="58" t="str">
        <f t="shared" ca="1" si="1688"/>
        <v>X</v>
      </c>
      <c r="JO424" s="58" t="str">
        <f t="shared" ca="1" si="1689"/>
        <v>X</v>
      </c>
      <c r="JP424" s="58" t="str">
        <f t="shared" ca="1" si="1690"/>
        <v>X</v>
      </c>
      <c r="JQ424" s="58" t="str">
        <f t="shared" ca="1" si="1691"/>
        <v>X</v>
      </c>
      <c r="JR424" s="58" t="str">
        <f t="shared" ca="1" si="1692"/>
        <v>X</v>
      </c>
      <c r="JS424" s="58" t="str">
        <f t="shared" ca="1" si="1693"/>
        <v>X</v>
      </c>
      <c r="JT424" s="58" t="str">
        <f t="shared" ca="1" si="1694"/>
        <v>X</v>
      </c>
      <c r="JU424" s="58" t="str">
        <f t="shared" ca="1" si="1695"/>
        <v>X</v>
      </c>
      <c r="JV424" s="58" t="str">
        <f t="shared" ca="1" si="1696"/>
        <v>X</v>
      </c>
      <c r="JW424" s="58" t="str">
        <f t="shared" ca="1" si="1697"/>
        <v>X</v>
      </c>
      <c r="JX424" s="58" t="str">
        <f t="shared" ca="1" si="1698"/>
        <v>X</v>
      </c>
      <c r="JY424" s="58" t="str">
        <f t="shared" ca="1" si="1699"/>
        <v>X</v>
      </c>
      <c r="JZ424" s="58" t="str">
        <f t="shared" ca="1" si="1700"/>
        <v>X</v>
      </c>
      <c r="KA424" s="58" t="str">
        <f t="shared" ca="1" si="1701"/>
        <v>X</v>
      </c>
      <c r="KB424" s="58" t="str">
        <f t="shared" ca="1" si="1702"/>
        <v>X</v>
      </c>
      <c r="KC424" s="58" t="str">
        <f t="shared" ca="1" si="1703"/>
        <v>X</v>
      </c>
      <c r="KD424" s="58" t="str">
        <f t="shared" ca="1" si="1704"/>
        <v>X</v>
      </c>
      <c r="KE424" s="58" t="str">
        <f t="shared" ca="1" si="1705"/>
        <v>X</v>
      </c>
      <c r="KF424" s="58" t="str">
        <f t="shared" ca="1" si="1706"/>
        <v>X</v>
      </c>
      <c r="KG424" s="58" t="str">
        <f t="shared" ca="1" si="1707"/>
        <v>X</v>
      </c>
      <c r="KH424" s="58" t="str">
        <f t="shared" ca="1" si="1708"/>
        <v>X</v>
      </c>
      <c r="KI424" s="58" t="str">
        <f t="shared" ca="1" si="1709"/>
        <v>X</v>
      </c>
      <c r="KJ424" s="58" t="str">
        <f t="shared" ca="1" si="1710"/>
        <v>X</v>
      </c>
      <c r="KK424" s="58" t="str">
        <f t="shared" ca="1" si="1711"/>
        <v>X</v>
      </c>
      <c r="KL424" s="58" t="str">
        <f t="shared" ca="1" si="1712"/>
        <v>X</v>
      </c>
      <c r="KM424" s="58" t="str">
        <f t="shared" ca="1" si="1713"/>
        <v>X</v>
      </c>
      <c r="KN424" s="58" t="str">
        <f t="shared" ca="1" si="1714"/>
        <v>X</v>
      </c>
      <c r="KO424" s="58" t="str">
        <f t="shared" ca="1" si="1715"/>
        <v>X</v>
      </c>
      <c r="KP424" s="58" t="str">
        <f t="shared" ca="1" si="1716"/>
        <v>X</v>
      </c>
      <c r="KQ424" s="58" t="str">
        <f t="shared" ca="1" si="1717"/>
        <v>X</v>
      </c>
      <c r="KR424" s="58" t="str">
        <f t="shared" ca="1" si="1718"/>
        <v>X</v>
      </c>
      <c r="KS424" s="58" t="str">
        <f t="shared" ca="1" si="1719"/>
        <v>X</v>
      </c>
      <c r="KT424" s="58" t="str">
        <f t="shared" ca="1" si="1720"/>
        <v>X</v>
      </c>
      <c r="KU424" s="58" t="str">
        <f t="shared" ca="1" si="1721"/>
        <v>X</v>
      </c>
      <c r="KV424" s="58" t="str">
        <f t="shared" ca="1" si="1722"/>
        <v>X</v>
      </c>
      <c r="KW424" s="58" t="str">
        <f t="shared" ca="1" si="1723"/>
        <v>X</v>
      </c>
      <c r="KX424" s="58" t="str">
        <f t="shared" ca="1" si="1724"/>
        <v>X</v>
      </c>
      <c r="KY424" s="58" t="str">
        <f t="shared" ca="1" si="1725"/>
        <v>X</v>
      </c>
      <c r="KZ424" s="58" t="str">
        <f t="shared" ca="1" si="1726"/>
        <v>X</v>
      </c>
      <c r="LA424" s="58" t="str">
        <f t="shared" ca="1" si="1727"/>
        <v>X</v>
      </c>
      <c r="LB424" s="58" t="str">
        <f t="shared" ca="1" si="1728"/>
        <v>X</v>
      </c>
      <c r="LC424" s="58" t="str">
        <f t="shared" ca="1" si="1729"/>
        <v>X</v>
      </c>
      <c r="LD424" s="58" t="str">
        <f t="shared" ca="1" si="1730"/>
        <v>X</v>
      </c>
      <c r="LE424" s="58" t="str">
        <f t="shared" ca="1" si="1731"/>
        <v>X</v>
      </c>
      <c r="LF424" s="58" t="str">
        <f t="shared" ca="1" si="1732"/>
        <v>X</v>
      </c>
      <c r="LG424" s="58" t="str">
        <f t="shared" ca="1" si="1733"/>
        <v>X</v>
      </c>
      <c r="LH424" s="58" t="str">
        <f t="shared" ca="1" si="1734"/>
        <v>X</v>
      </c>
      <c r="LI424" s="58" t="str">
        <f t="shared" ca="1" si="1735"/>
        <v>X</v>
      </c>
      <c r="LJ424" s="58" t="str">
        <f t="shared" ca="1" si="1736"/>
        <v>X</v>
      </c>
      <c r="LK424" s="58" t="str">
        <f t="shared" ca="1" si="1737"/>
        <v>X</v>
      </c>
      <c r="LL424" s="58" t="str">
        <f t="shared" ca="1" si="1738"/>
        <v>X</v>
      </c>
      <c r="LM424" s="58" t="str">
        <f t="shared" ca="1" si="1739"/>
        <v>X</v>
      </c>
      <c r="LN424" s="58" t="str">
        <f t="shared" ca="1" si="1740"/>
        <v>X</v>
      </c>
      <c r="LO424" s="58" t="str">
        <f t="shared" ca="1" si="1741"/>
        <v>X</v>
      </c>
      <c r="LP424" s="58" t="str">
        <f t="shared" ca="1" si="1742"/>
        <v>X</v>
      </c>
      <c r="LQ424" s="58" t="str">
        <f t="shared" ca="1" si="1743"/>
        <v>X</v>
      </c>
      <c r="LR424" s="58" t="str">
        <f t="shared" ca="1" si="1744"/>
        <v>X</v>
      </c>
      <c r="LS424" s="58" t="str">
        <f t="shared" ca="1" si="1745"/>
        <v>X</v>
      </c>
      <c r="LT424" s="58" t="str">
        <f t="shared" ca="1" si="1746"/>
        <v>X</v>
      </c>
      <c r="LU424" s="58" t="str">
        <f t="shared" ca="1" si="1747"/>
        <v>X</v>
      </c>
      <c r="LV424" s="58" t="str">
        <f t="shared" ca="1" si="1748"/>
        <v>X</v>
      </c>
      <c r="LW424" s="58" t="str">
        <f t="shared" ca="1" si="1749"/>
        <v>X</v>
      </c>
      <c r="LX424" s="58" t="str">
        <f t="shared" ca="1" si="1750"/>
        <v>X</v>
      </c>
      <c r="LY424" s="58" t="str">
        <f t="shared" ca="1" si="1751"/>
        <v>X</v>
      </c>
      <c r="LZ424" s="58" t="str">
        <f t="shared" ca="1" si="1752"/>
        <v>X</v>
      </c>
      <c r="MA424" s="58" t="str">
        <f t="shared" ca="1" si="1753"/>
        <v>X</v>
      </c>
      <c r="MB424" s="58" t="str">
        <f t="shared" ca="1" si="1754"/>
        <v>X</v>
      </c>
      <c r="MC424" s="58" t="str">
        <f t="shared" ca="1" si="1755"/>
        <v>X</v>
      </c>
      <c r="MD424" s="58" t="str">
        <f t="shared" ca="1" si="1756"/>
        <v>X</v>
      </c>
      <c r="ME424" s="58" t="str">
        <f t="shared" ca="1" si="1757"/>
        <v>X</v>
      </c>
      <c r="MF424" s="58" t="str">
        <f t="shared" ca="1" si="1758"/>
        <v>X</v>
      </c>
      <c r="MG424" s="58" t="str">
        <f t="shared" ca="1" si="1759"/>
        <v>X</v>
      </c>
      <c r="MH424" s="58" t="str">
        <f t="shared" ca="1" si="1760"/>
        <v>X</v>
      </c>
      <c r="MI424" s="58" t="str">
        <f t="shared" ca="1" si="1761"/>
        <v>X</v>
      </c>
      <c r="MJ424" s="58" t="str">
        <f t="shared" ca="1" si="1762"/>
        <v>X</v>
      </c>
      <c r="MK424" s="58" t="str">
        <f t="shared" ca="1" si="1763"/>
        <v>X</v>
      </c>
      <c r="ML424" s="58" t="str">
        <f t="shared" ca="1" si="1764"/>
        <v>X</v>
      </c>
      <c r="MM424" s="58" t="str">
        <f t="shared" ca="1" si="1765"/>
        <v>X</v>
      </c>
      <c r="MN424" s="58" t="str">
        <f t="shared" ca="1" si="1766"/>
        <v>X</v>
      </c>
      <c r="MO424" s="58" t="str">
        <f t="shared" ca="1" si="1767"/>
        <v>X</v>
      </c>
      <c r="MP424" s="58" t="str">
        <f t="shared" ca="1" si="1768"/>
        <v>X</v>
      </c>
      <c r="MQ424" s="58" t="str">
        <f t="shared" ca="1" si="1769"/>
        <v>X</v>
      </c>
      <c r="MR424" s="58" t="str">
        <f t="shared" ca="1" si="1770"/>
        <v>X</v>
      </c>
      <c r="MS424" s="58" t="str">
        <f t="shared" ca="1" si="1771"/>
        <v>X</v>
      </c>
      <c r="MT424" s="58" t="str">
        <f t="shared" ref="MT424:NE424" ca="1" si="1837">IF($K424=INDIRECT(CONCATENATE("$AG$"&amp;GH$392)),INDIRECT(CONCATENATE("$AG$"&amp;GH$391)),
IF($K424=INDIRECT(CONCATENATE("$AF$"&amp;GH$392)),INDIRECT(CONCATENATE("$AF$"&amp;GH$391)),
IF($K424=INDIRECT(CONCATENATE("$AE$"&amp;GH$392)),INDIRECT(CONCATENATE("$AE$"&amp;GH$391)),
IF($K424=INDIRECT(CONCATENATE("$AD$"&amp;GH$392)),INDIRECT(CONCATENATE("$AD$"&amp;GH$391)),
IF($K424=INDIRECT(CONCATENATE("$AC$"&amp;GH$392)),INDIRECT(CONCATENATE("$AC$"&amp;GH$391)),
IF($K424=INDIRECT(CONCATENATE("$AB$"&amp;GH$392)),INDIRECT(CONCATENATE("$AB$"&amp;GH$391)),
IF($K424=INDIRECT(CONCATENATE("$AA$"&amp;GH$392)),INDIRECT(CONCATENATE("$AA$"&amp;GH$391)),
IF($K424=INDIRECT(CONCATENATE("$Z$"&amp;GH$392)),INDIRECT(CONCATENATE("$Z$"&amp;GH$391)),
IF($K424=INDIRECT(CONCATENATE("$Y$"&amp;GH$392)),INDIRECT(CONCATENATE("$Y$"&amp;GH$391)),
IF($K424=INDIRECT(CONCATENATE("$X$"&amp;GH$392)),INDIRECT(CONCATENATE("$X$"&amp;GH$391)),
IF($K424=INDIRECT(CONCATENATE("$W$"&amp;GH$392)),INDIRECT(CONCATENATE("$W$"&amp;GH$391)),
IF($K424=INDIRECT(CONCATENATE("$V$"&amp;GH$392)),INDIRECT(CONCATENATE("$V$"&amp;GH$391)),
IF($K424=INDIRECT(CONCATENATE("$U$"&amp;GH$392)),INDIRECT(CONCATENATE("$U$"&amp;GH$391)),
IF($K424=INDIRECT(CONCATENATE("$T$"&amp;GH$392)),INDIRECT(CONCATENATE("$T$"&amp;GH$391)),
IF($K424=INDIRECT(CONCATENATE("$S$"&amp;GH$392)),INDIRECT(CONCATENATE("$S$"&amp;GH$391)),
IF($K424=INDIRECT(CONCATENATE("$R$"&amp;GH$392)),INDIRECT(CONCATENATE("$R$"&amp;GH$391)),
IF($K424=INDIRECT(CONCATENATE("$Q$"&amp;GH$392)),INDIRECT(CONCATENATE("$Q$"&amp;GH$391)),
IF($K424=INDIRECT(CONCATENATE("$P$"&amp;GH$392)),INDIRECT(CONCATENATE("$P$"&amp;GH$391)),
IF($K424=INDIRECT(CONCATENATE("$O$"&amp;GH$392)),INDIRECT(CONCATENATE("$O$"&amp;GH$391)),
IF($K424=INDIRECT(CONCATENATE("$N$"&amp;GH$392)),INDIRECT(CONCATENATE("$N$"&amp;GH$391)),
IF($K424=INDIRECT(CONCATENATE("$M$"&amp;GH$392)),INDIRECT(CONCATENATE("$M$"&amp;GH$391)),
IF($K424=INDIRECT(CONCATENATE("$L$"&amp;GH$392)),INDIRECT(CONCATENATE("$L$"&amp;GH$391)),
IF($K424=INDIRECT(CONCATENATE("$K$"&amp;GH$392)),INDIRECT(CONCATENATE("$K$"&amp;GH$391)),
IF($K424=INDIRECT(CONCATENATE("$J$"&amp;GH$392)),INDIRECT(CONCATENATE("$J$"&amp;GH$391)),
IF($K424=INDIRECT(CONCATENATE("$I$"&amp;GH$392)),INDIRECT(CONCATENATE("$I$"&amp;GH$391)),
IF($K424=INDIRECT(CONCATENATE("$H$"&amp;GH$392)),INDIRECT(CONCATENATE("$H$"&amp;GH$391)),
IF($K424=INDIRECT(CONCATENATE("$G$"&amp;GH$392)),INDIRECT(CONCATENATE("$G$"&amp;GH$391)),
IF($K424=INDIRECT(CONCATENATE("$F$"&amp;GH$392)),INDIRECT(CONCATENATE("$F$"&amp;GH$391)),
IF($K424=INDIRECT(CONCATENATE("$E$"&amp;GH$392)),INDIRECT(CONCATENATE("$E$"&amp;GH$391)),
IF($K424=INDIRECT(CONCATENATE("$D$"&amp;GH$392)),INDIRECT(CONCATENATE("$D$"&amp;GH$391)),
IF($K424=INDIRECT(CONCATENATE("$C$"&amp;GH$392)),INDIRECT(CONCATENATE("$C$"&amp;GH$391)),"X")))))))))))))))))))))))))))))))</f>
        <v>X</v>
      </c>
      <c r="MU424" s="58" t="str">
        <f t="shared" ca="1" si="1837"/>
        <v>X</v>
      </c>
      <c r="MV424" s="58" t="str">
        <f t="shared" ca="1" si="1837"/>
        <v>X</v>
      </c>
      <c r="MW424" s="58" t="str">
        <f t="shared" ca="1" si="1837"/>
        <v>X</v>
      </c>
      <c r="MX424" s="58" t="str">
        <f t="shared" ca="1" si="1837"/>
        <v>X</v>
      </c>
      <c r="MY424" s="58" t="str">
        <f t="shared" ca="1" si="1837"/>
        <v>X</v>
      </c>
      <c r="MZ424" s="58" t="str">
        <f t="shared" ca="1" si="1837"/>
        <v>X</v>
      </c>
      <c r="NA424" s="58" t="str">
        <f t="shared" ca="1" si="1837"/>
        <v>X</v>
      </c>
      <c r="NB424" s="58" t="str">
        <f t="shared" ca="1" si="1837"/>
        <v>X</v>
      </c>
      <c r="NC424" s="58" t="str">
        <f t="shared" ca="1" si="1837"/>
        <v>X</v>
      </c>
      <c r="ND424" s="58" t="str">
        <f t="shared" ca="1" si="1837"/>
        <v>X</v>
      </c>
      <c r="NE424" s="58" t="str">
        <f t="shared" ca="1" si="1837"/>
        <v>X</v>
      </c>
      <c r="NF424" s="58" t="str">
        <f t="shared" ca="1" si="1773"/>
        <v>X</v>
      </c>
      <c r="NG424" s="58" t="str">
        <f t="shared" ca="1" si="1774"/>
        <v>X</v>
      </c>
    </row>
    <row r="425" spans="1:371" ht="18" customHeight="1">
      <c r="A425" s="241"/>
      <c r="B425" s="304"/>
      <c r="C425" s="304"/>
      <c r="D425" s="304"/>
      <c r="E425" s="304"/>
      <c r="F425" s="304"/>
      <c r="G425" s="304"/>
      <c r="H425" s="304"/>
      <c r="I425" s="304"/>
      <c r="J425" s="303"/>
      <c r="K425" s="237" t="s">
        <v>84</v>
      </c>
      <c r="L425" s="303"/>
      <c r="M425" s="60"/>
      <c r="N425" s="225"/>
      <c r="O425" s="304"/>
      <c r="P425" s="304"/>
      <c r="Q425" s="304"/>
      <c r="R425" s="303"/>
      <c r="S425" s="226"/>
      <c r="T425" s="304"/>
      <c r="U425" s="303"/>
      <c r="V425" s="227"/>
      <c r="W425" s="303"/>
      <c r="X425" s="56" t="str">
        <f t="shared" ca="1" si="1775"/>
        <v>-</v>
      </c>
      <c r="Y425" s="56" t="str">
        <f t="shared" ca="1" si="1776"/>
        <v>-</v>
      </c>
      <c r="Z425" s="228" t="str">
        <f t="shared" ca="1" si="1612"/>
        <v/>
      </c>
      <c r="AA425" s="304"/>
      <c r="AB425" s="303"/>
      <c r="AC425" s="224">
        <f t="shared" si="1777"/>
        <v>0</v>
      </c>
      <c r="AD425" s="303"/>
      <c r="AE425" s="229">
        <f t="shared" si="1778"/>
        <v>0</v>
      </c>
      <c r="AF425" s="303"/>
      <c r="AG425" s="57" t="str">
        <f t="shared" si="1615"/>
        <v/>
      </c>
      <c r="AH425" s="21"/>
      <c r="AI425" s="70"/>
      <c r="AJ425" s="58" t="str">
        <f t="shared" ref="AJ425:GT425" ca="1" si="1838">IF($K425=INDIRECT(CONCATENATE("$C$"&amp;AJ$392)), INDIRECT(CONCATENATE("$C$"&amp;AJ$391)),
IF($K425=INDIRECT(CONCATENATE("$D$"&amp;AJ$392)), INDIRECT(CONCATENATE("$D$"&amp;AJ$391)),
IF($K425=INDIRECT(CONCATENATE("$E$"&amp;AJ$392)), INDIRECT(CONCATENATE("$E$"&amp;AJ$391)),
IF($K425=INDIRECT(CONCATENATE("$F$"&amp;AJ$392)), INDIRECT(CONCATENATE("$F$"&amp;AJ$391)),
IF($K425=INDIRECT(CONCATENATE("$G$"&amp;AJ$392)), INDIRECT(CONCATENATE("$G$"&amp;AJ$391)),
IF($K425=INDIRECT(CONCATENATE("$H$"&amp;AJ$392)), INDIRECT(CONCATENATE("$H$"&amp;AJ$391)),
IF($K425=INDIRECT(CONCATENATE("$I$"&amp;AJ$392)), INDIRECT(CONCATENATE("$I$"&amp;AJ$391)),
IF($K425=INDIRECT(CONCATENATE("$J$"&amp;AJ$392)), INDIRECT(CONCATENATE("$J$"&amp;AJ$391)),
IF($K425=INDIRECT(CONCATENATE("$K$"&amp;AJ$392)), INDIRECT(CONCATENATE("$K$"&amp;AJ$391)),
IF($K425=INDIRECT(CONCATENATE("$L$"&amp;AJ$392)), INDIRECT(CONCATENATE("$L$"&amp;AJ$391)),
IF($K425=INDIRECT(CONCATENATE("$M$"&amp;AJ$392)), INDIRECT(CONCATENATE("$M$"&amp;AJ$391)),
IF($K425=INDIRECT(CONCATENATE("$N$"&amp;AJ$392)), INDIRECT(CONCATENATE("$N$"&amp;AJ$391)),
IF($K425=INDIRECT(CONCATENATE("$O$"&amp;AJ$392)), INDIRECT(CONCATENATE("$O$"&amp;AJ$391)),
IF($K425=INDIRECT(CONCATENATE("$P$"&amp;AJ$392)), INDIRECT(CONCATENATE("$P$"&amp;AJ$391)),
IF($K425=INDIRECT(CONCATENATE("$Q$"&amp;AJ$392)), INDIRECT(CONCATENATE("$Q$"&amp;AJ$391)),
IF($K425=INDIRECT(CONCATENATE("$R$"&amp;AJ$392)), INDIRECT(CONCATENATE("$R$"&amp;AJ$391)),
IF($K425=INDIRECT(CONCATENATE("$S$"&amp;AJ$392)), INDIRECT(CONCATENATE("$S$"&amp;AJ$391)),
IF($K425=INDIRECT(CONCATENATE("$T$"&amp;AJ$392)), INDIRECT(CONCATENATE("$T$"&amp;AJ$391)),
IF($K425=INDIRECT(CONCATENATE("$U$"&amp;AJ$392)), INDIRECT(CONCATENATE("$U$"&amp;AJ$391)),
IF($K425=INDIRECT(CONCATENATE("$V$"&amp;AJ$392)), INDIRECT(CONCATENATE("$V$"&amp;AJ$391)),
IF($K425=INDIRECT(CONCATENATE("$W$"&amp;AJ$392)), INDIRECT(CONCATENATE("$W$"&amp;AJ$391)),
IF($K425=INDIRECT(CONCATENATE("$X$"&amp;AJ$392)), INDIRECT(CONCATENATE("$X$"&amp;AJ$391)),
IF($K425=INDIRECT(CONCATENATE("$Y$"&amp;AJ$392)), INDIRECT(CONCATENATE("$Y$"&amp;AJ$391)),
IF($K425=INDIRECT(CONCATENATE("$Z$"&amp;AJ$392)), INDIRECT(CONCATENATE("$Z$"&amp;AJ$391)),
IF($K425=INDIRECT(CONCATENATE("$AA$"&amp;AJ$392)), INDIRECT(CONCATENATE("$AA$"&amp;AJ$391)),
IF($K425=INDIRECT(CONCATENATE("$AB$"&amp;AJ$392)), INDIRECT(CONCATENATE("$AB$"&amp;AJ$391)),
IF($K425=INDIRECT(CONCATENATE("$AC$"&amp;AJ$392)), INDIRECT(CONCATENATE("$AC$"&amp;AJ$391)),
IF($K425=INDIRECT(CONCATENATE("$AD$"&amp;AJ$392)), INDIRECT(CONCATENATE("$AD$"&amp;AJ$391)),
IF($K425=INDIRECT(CONCATENATE("$AE$"&amp;AJ$392)), INDIRECT(CONCATENATE("$AE$"&amp;AJ$391)),
IF($K425=INDIRECT(CONCATENATE("$AF$"&amp;AJ$392)), INDIRECT(CONCATENATE("$AF$"&amp;AJ$391)),
IF($K425=INDIRECT(CONCATENATE("$AG$"&amp;AJ$392)), INDIRECT(CONCATENATE("$AG$"&amp;AJ$391)),"X")))))))))))))))))))))))))))))))</f>
        <v>X</v>
      </c>
      <c r="AK425" s="58" t="str">
        <f t="shared" ca="1" si="1838"/>
        <v>X</v>
      </c>
      <c r="AL425" s="58" t="str">
        <f t="shared" ca="1" si="1838"/>
        <v>X</v>
      </c>
      <c r="AM425" s="58" t="str">
        <f t="shared" ca="1" si="1838"/>
        <v>X</v>
      </c>
      <c r="AN425" s="58" t="str">
        <f t="shared" ca="1" si="1838"/>
        <v>X</v>
      </c>
      <c r="AO425" s="58" t="str">
        <f t="shared" ca="1" si="1838"/>
        <v>X</v>
      </c>
      <c r="AP425" s="58" t="str">
        <f t="shared" ca="1" si="1838"/>
        <v>X</v>
      </c>
      <c r="AQ425" s="58" t="str">
        <f t="shared" ca="1" si="1838"/>
        <v>X</v>
      </c>
      <c r="AR425" s="58" t="str">
        <f t="shared" ca="1" si="1838"/>
        <v>X</v>
      </c>
      <c r="AS425" s="58" t="str">
        <f t="shared" ca="1" si="1838"/>
        <v>X</v>
      </c>
      <c r="AT425" s="58" t="str">
        <f t="shared" ca="1" si="1838"/>
        <v>X</v>
      </c>
      <c r="AU425" s="58" t="str">
        <f t="shared" ca="1" si="1838"/>
        <v>X</v>
      </c>
      <c r="AV425" s="58" t="str">
        <f t="shared" ca="1" si="1838"/>
        <v>X</v>
      </c>
      <c r="AW425" s="58" t="str">
        <f t="shared" ca="1" si="1838"/>
        <v>X</v>
      </c>
      <c r="AX425" s="58" t="str">
        <f t="shared" ca="1" si="1838"/>
        <v>X</v>
      </c>
      <c r="AY425" s="58" t="str">
        <f t="shared" ca="1" si="1838"/>
        <v>X</v>
      </c>
      <c r="AZ425" s="58" t="str">
        <f t="shared" ca="1" si="1838"/>
        <v>X</v>
      </c>
      <c r="BA425" s="58" t="str">
        <f t="shared" ca="1" si="1838"/>
        <v>X</v>
      </c>
      <c r="BB425" s="58" t="str">
        <f t="shared" ca="1" si="1838"/>
        <v>X</v>
      </c>
      <c r="BC425" s="58" t="str">
        <f t="shared" ca="1" si="1838"/>
        <v>X</v>
      </c>
      <c r="BD425" s="58" t="str">
        <f t="shared" ca="1" si="1838"/>
        <v>X</v>
      </c>
      <c r="BE425" s="58" t="str">
        <f t="shared" ca="1" si="1838"/>
        <v>X</v>
      </c>
      <c r="BF425" s="58" t="str">
        <f t="shared" ca="1" si="1838"/>
        <v>X</v>
      </c>
      <c r="BG425" s="58" t="str">
        <f t="shared" ca="1" si="1838"/>
        <v>X</v>
      </c>
      <c r="BH425" s="58" t="str">
        <f t="shared" ca="1" si="1838"/>
        <v>X</v>
      </c>
      <c r="BI425" s="58" t="str">
        <f t="shared" ca="1" si="1838"/>
        <v>X</v>
      </c>
      <c r="BJ425" s="58" t="str">
        <f t="shared" ca="1" si="1838"/>
        <v>X</v>
      </c>
      <c r="BK425" s="58" t="str">
        <f t="shared" ca="1" si="1838"/>
        <v>X</v>
      </c>
      <c r="BL425" s="58" t="str">
        <f t="shared" ca="1" si="1838"/>
        <v>X</v>
      </c>
      <c r="BM425" s="58" t="str">
        <f t="shared" ca="1" si="1838"/>
        <v>X</v>
      </c>
      <c r="BN425" s="58" t="str">
        <f t="shared" ca="1" si="1838"/>
        <v>X</v>
      </c>
      <c r="BO425" s="58" t="str">
        <f t="shared" ca="1" si="1838"/>
        <v>X</v>
      </c>
      <c r="BP425" s="58" t="str">
        <f t="shared" ca="1" si="1838"/>
        <v>X</v>
      </c>
      <c r="BQ425" s="58" t="str">
        <f t="shared" ca="1" si="1838"/>
        <v>X</v>
      </c>
      <c r="BR425" s="58" t="str">
        <f t="shared" ca="1" si="1838"/>
        <v>X</v>
      </c>
      <c r="BS425" s="58" t="str">
        <f t="shared" ca="1" si="1838"/>
        <v>X</v>
      </c>
      <c r="BT425" s="58" t="str">
        <f t="shared" ca="1" si="1838"/>
        <v>X</v>
      </c>
      <c r="BU425" s="58" t="str">
        <f t="shared" ca="1" si="1838"/>
        <v>X</v>
      </c>
      <c r="BV425" s="58" t="str">
        <f t="shared" ca="1" si="1838"/>
        <v>X</v>
      </c>
      <c r="BW425" s="58" t="str">
        <f t="shared" ca="1" si="1838"/>
        <v>X</v>
      </c>
      <c r="BX425" s="58" t="str">
        <f t="shared" ca="1" si="1838"/>
        <v>X</v>
      </c>
      <c r="BY425" s="58" t="str">
        <f t="shared" ca="1" si="1838"/>
        <v>X</v>
      </c>
      <c r="BZ425" s="58" t="str">
        <f t="shared" ca="1" si="1838"/>
        <v>X</v>
      </c>
      <c r="CA425" s="58" t="str">
        <f t="shared" ca="1" si="1838"/>
        <v>X</v>
      </c>
      <c r="CB425" s="58" t="str">
        <f t="shared" ca="1" si="1838"/>
        <v>X</v>
      </c>
      <c r="CC425" s="58" t="str">
        <f t="shared" ca="1" si="1838"/>
        <v>X</v>
      </c>
      <c r="CD425" s="58" t="str">
        <f t="shared" ca="1" si="1838"/>
        <v>X</v>
      </c>
      <c r="CE425" s="58" t="str">
        <f t="shared" ca="1" si="1838"/>
        <v>X</v>
      </c>
      <c r="CF425" s="58" t="str">
        <f t="shared" ca="1" si="1838"/>
        <v>X</v>
      </c>
      <c r="CG425" s="58" t="str">
        <f t="shared" ca="1" si="1838"/>
        <v>X</v>
      </c>
      <c r="CH425" s="58" t="str">
        <f t="shared" ca="1" si="1838"/>
        <v>X</v>
      </c>
      <c r="CI425" s="58" t="str">
        <f t="shared" ca="1" si="1838"/>
        <v>X</v>
      </c>
      <c r="CJ425" s="58" t="str">
        <f t="shared" ca="1" si="1838"/>
        <v>X</v>
      </c>
      <c r="CK425" s="58" t="str">
        <f t="shared" ca="1" si="1838"/>
        <v>X</v>
      </c>
      <c r="CL425" s="58" t="str">
        <f t="shared" ca="1" si="1838"/>
        <v>X</v>
      </c>
      <c r="CM425" s="58" t="str">
        <f t="shared" ca="1" si="1838"/>
        <v>X</v>
      </c>
      <c r="CN425" s="58" t="str">
        <f t="shared" ca="1" si="1838"/>
        <v>X</v>
      </c>
      <c r="CO425" s="58" t="str">
        <f t="shared" ca="1" si="1838"/>
        <v>X</v>
      </c>
      <c r="CP425" s="58" t="str">
        <f t="shared" ca="1" si="1838"/>
        <v>X</v>
      </c>
      <c r="CQ425" s="58" t="str">
        <f t="shared" ca="1" si="1838"/>
        <v>X</v>
      </c>
      <c r="CR425" s="58" t="str">
        <f t="shared" ca="1" si="1838"/>
        <v>X</v>
      </c>
      <c r="CS425" s="58" t="str">
        <f t="shared" ca="1" si="1838"/>
        <v>X</v>
      </c>
      <c r="CT425" s="58" t="str">
        <f t="shared" ca="1" si="1838"/>
        <v>X</v>
      </c>
      <c r="CU425" s="58" t="str">
        <f t="shared" ca="1" si="1838"/>
        <v>X</v>
      </c>
      <c r="CV425" s="58" t="str">
        <f t="shared" ca="1" si="1838"/>
        <v>X</v>
      </c>
      <c r="CW425" s="58" t="str">
        <f t="shared" ca="1" si="1838"/>
        <v>X</v>
      </c>
      <c r="CX425" s="58" t="str">
        <f t="shared" ca="1" si="1838"/>
        <v>X</v>
      </c>
      <c r="CY425" s="58" t="str">
        <f t="shared" ca="1" si="1838"/>
        <v>X</v>
      </c>
      <c r="CZ425" s="58" t="str">
        <f t="shared" ca="1" si="1838"/>
        <v>X</v>
      </c>
      <c r="DA425" s="58" t="str">
        <f t="shared" ca="1" si="1838"/>
        <v>X</v>
      </c>
      <c r="DB425" s="58" t="str">
        <f t="shared" ca="1" si="1838"/>
        <v>X</v>
      </c>
      <c r="DC425" s="58" t="str">
        <f t="shared" ca="1" si="1838"/>
        <v>X</v>
      </c>
      <c r="DD425" s="58" t="str">
        <f t="shared" ca="1" si="1838"/>
        <v>X</v>
      </c>
      <c r="DE425" s="58" t="str">
        <f t="shared" ca="1" si="1838"/>
        <v>X</v>
      </c>
      <c r="DF425" s="58" t="str">
        <f t="shared" ca="1" si="1838"/>
        <v>X</v>
      </c>
      <c r="DG425" s="58" t="str">
        <f t="shared" ca="1" si="1838"/>
        <v>X</v>
      </c>
      <c r="DH425" s="58" t="str">
        <f t="shared" ca="1" si="1838"/>
        <v>X</v>
      </c>
      <c r="DI425" s="58" t="str">
        <f t="shared" ca="1" si="1838"/>
        <v>X</v>
      </c>
      <c r="DJ425" s="58" t="str">
        <f t="shared" ca="1" si="1838"/>
        <v>X</v>
      </c>
      <c r="DK425" s="58" t="str">
        <f t="shared" ca="1" si="1838"/>
        <v>X</v>
      </c>
      <c r="DL425" s="58" t="str">
        <f t="shared" ca="1" si="1838"/>
        <v>X</v>
      </c>
      <c r="DM425" s="58" t="str">
        <f t="shared" ca="1" si="1838"/>
        <v>X</v>
      </c>
      <c r="DN425" s="58" t="str">
        <f t="shared" ca="1" si="1838"/>
        <v>X</v>
      </c>
      <c r="DO425" s="58" t="str">
        <f t="shared" ca="1" si="1838"/>
        <v>X</v>
      </c>
      <c r="DP425" s="58" t="str">
        <f t="shared" ca="1" si="1838"/>
        <v>X</v>
      </c>
      <c r="DQ425" s="58" t="str">
        <f t="shared" ca="1" si="1838"/>
        <v>X</v>
      </c>
      <c r="DR425" s="58" t="str">
        <f t="shared" ca="1" si="1838"/>
        <v>X</v>
      </c>
      <c r="DS425" s="58" t="str">
        <f t="shared" ca="1" si="1838"/>
        <v>X</v>
      </c>
      <c r="DT425" s="58" t="str">
        <f t="shared" ca="1" si="1838"/>
        <v>X</v>
      </c>
      <c r="DU425" s="58" t="str">
        <f t="shared" ca="1" si="1838"/>
        <v>X</v>
      </c>
      <c r="DV425" s="58" t="str">
        <f t="shared" ca="1" si="1838"/>
        <v>X</v>
      </c>
      <c r="DW425" s="58" t="str">
        <f t="shared" ca="1" si="1838"/>
        <v>X</v>
      </c>
      <c r="DX425" s="58" t="str">
        <f t="shared" ca="1" si="1838"/>
        <v>X</v>
      </c>
      <c r="DY425" s="58" t="str">
        <f t="shared" ca="1" si="1838"/>
        <v>X</v>
      </c>
      <c r="DZ425" s="58" t="str">
        <f t="shared" ca="1" si="1838"/>
        <v>X</v>
      </c>
      <c r="EA425" s="58" t="str">
        <f t="shared" ca="1" si="1838"/>
        <v>X</v>
      </c>
      <c r="EB425" s="58" t="str">
        <f t="shared" ca="1" si="1838"/>
        <v>X</v>
      </c>
      <c r="EC425" s="58" t="str">
        <f t="shared" ca="1" si="1838"/>
        <v>X</v>
      </c>
      <c r="ED425" s="58" t="str">
        <f t="shared" ca="1" si="1838"/>
        <v>X</v>
      </c>
      <c r="EE425" s="58" t="str">
        <f t="shared" ca="1" si="1838"/>
        <v>X</v>
      </c>
      <c r="EF425" s="58" t="str">
        <f t="shared" ca="1" si="1838"/>
        <v>X</v>
      </c>
      <c r="EG425" s="58" t="str">
        <f t="shared" ca="1" si="1838"/>
        <v>X</v>
      </c>
      <c r="EH425" s="58" t="str">
        <f t="shared" ca="1" si="1838"/>
        <v>X</v>
      </c>
      <c r="EI425" s="58" t="str">
        <f t="shared" ca="1" si="1838"/>
        <v>X</v>
      </c>
      <c r="EJ425" s="58" t="str">
        <f t="shared" ca="1" si="1838"/>
        <v>X</v>
      </c>
      <c r="EK425" s="58" t="str">
        <f t="shared" ca="1" si="1838"/>
        <v>X</v>
      </c>
      <c r="EL425" s="58" t="str">
        <f t="shared" ca="1" si="1838"/>
        <v>X</v>
      </c>
      <c r="EM425" s="58" t="str">
        <f t="shared" ca="1" si="1838"/>
        <v>X</v>
      </c>
      <c r="EN425" s="58" t="str">
        <f t="shared" ca="1" si="1838"/>
        <v>X</v>
      </c>
      <c r="EO425" s="58" t="str">
        <f t="shared" ca="1" si="1838"/>
        <v>X</v>
      </c>
      <c r="EP425" s="58" t="str">
        <f t="shared" ca="1" si="1838"/>
        <v>X</v>
      </c>
      <c r="EQ425" s="58" t="str">
        <f t="shared" ca="1" si="1838"/>
        <v>X</v>
      </c>
      <c r="ER425" s="58" t="str">
        <f t="shared" ca="1" si="1838"/>
        <v>X</v>
      </c>
      <c r="ES425" s="58" t="str">
        <f t="shared" ca="1" si="1838"/>
        <v>X</v>
      </c>
      <c r="ET425" s="58" t="str">
        <f t="shared" ca="1" si="1838"/>
        <v>X</v>
      </c>
      <c r="EU425" s="58" t="str">
        <f t="shared" ca="1" si="1838"/>
        <v>X</v>
      </c>
      <c r="EV425" s="58" t="str">
        <f t="shared" ca="1" si="1838"/>
        <v>X</v>
      </c>
      <c r="EW425" s="58" t="str">
        <f t="shared" ca="1" si="1838"/>
        <v>X</v>
      </c>
      <c r="EX425" s="58" t="str">
        <f t="shared" ca="1" si="1838"/>
        <v>X</v>
      </c>
      <c r="EY425" s="58" t="str">
        <f t="shared" ca="1" si="1838"/>
        <v>X</v>
      </c>
      <c r="EZ425" s="58" t="str">
        <f t="shared" ca="1" si="1838"/>
        <v>X</v>
      </c>
      <c r="FA425" s="58" t="str">
        <f t="shared" ca="1" si="1838"/>
        <v>X</v>
      </c>
      <c r="FB425" s="58" t="str">
        <f t="shared" ca="1" si="1838"/>
        <v>X</v>
      </c>
      <c r="FC425" s="58" t="str">
        <f t="shared" ca="1" si="1838"/>
        <v>X</v>
      </c>
      <c r="FD425" s="58" t="str">
        <f t="shared" ca="1" si="1838"/>
        <v>X</v>
      </c>
      <c r="FE425" s="58" t="str">
        <f t="shared" ca="1" si="1838"/>
        <v>X</v>
      </c>
      <c r="FF425" s="58" t="str">
        <f t="shared" ca="1" si="1838"/>
        <v>X</v>
      </c>
      <c r="FG425" s="58" t="str">
        <f t="shared" ca="1" si="1838"/>
        <v>X</v>
      </c>
      <c r="FH425" s="58" t="str">
        <f t="shared" ca="1" si="1838"/>
        <v>X</v>
      </c>
      <c r="FI425" s="58" t="str">
        <f t="shared" ca="1" si="1838"/>
        <v>X</v>
      </c>
      <c r="FJ425" s="58" t="str">
        <f t="shared" ca="1" si="1838"/>
        <v>X</v>
      </c>
      <c r="FK425" s="58" t="str">
        <f t="shared" ca="1" si="1838"/>
        <v>X</v>
      </c>
      <c r="FL425" s="58" t="str">
        <f t="shared" ca="1" si="1838"/>
        <v>X</v>
      </c>
      <c r="FM425" s="58" t="str">
        <f t="shared" ca="1" si="1838"/>
        <v>X</v>
      </c>
      <c r="FN425" s="58" t="str">
        <f t="shared" ca="1" si="1838"/>
        <v>X</v>
      </c>
      <c r="FO425" s="58" t="str">
        <f t="shared" ca="1" si="1838"/>
        <v>X</v>
      </c>
      <c r="FP425" s="58" t="str">
        <f t="shared" ca="1" si="1838"/>
        <v>X</v>
      </c>
      <c r="FQ425" s="58" t="str">
        <f t="shared" ca="1" si="1838"/>
        <v>X</v>
      </c>
      <c r="FR425" s="58" t="str">
        <f t="shared" ca="1" si="1838"/>
        <v>X</v>
      </c>
      <c r="FS425" s="58" t="str">
        <f t="shared" ca="1" si="1838"/>
        <v>X</v>
      </c>
      <c r="FT425" s="58" t="str">
        <f t="shared" ca="1" si="1838"/>
        <v>X</v>
      </c>
      <c r="FU425" s="58" t="str">
        <f t="shared" ca="1" si="1838"/>
        <v>X</v>
      </c>
      <c r="FV425" s="58" t="str">
        <f t="shared" ca="1" si="1838"/>
        <v>X</v>
      </c>
      <c r="FW425" s="58" t="str">
        <f t="shared" ca="1" si="1838"/>
        <v>X</v>
      </c>
      <c r="FX425" s="58" t="str">
        <f t="shared" ca="1" si="1838"/>
        <v>X</v>
      </c>
      <c r="FY425" s="58" t="str">
        <f t="shared" ca="1" si="1838"/>
        <v>X</v>
      </c>
      <c r="FZ425" s="58" t="str">
        <f t="shared" ca="1" si="1838"/>
        <v>X</v>
      </c>
      <c r="GA425" s="58" t="str">
        <f t="shared" ca="1" si="1838"/>
        <v>X</v>
      </c>
      <c r="GB425" s="58" t="str">
        <f t="shared" ca="1" si="1838"/>
        <v>X</v>
      </c>
      <c r="GC425" s="58" t="str">
        <f t="shared" ca="1" si="1838"/>
        <v>X</v>
      </c>
      <c r="GD425" s="58" t="str">
        <f t="shared" ca="1" si="1838"/>
        <v>X</v>
      </c>
      <c r="GE425" s="58" t="str">
        <f t="shared" ca="1" si="1838"/>
        <v>X</v>
      </c>
      <c r="GF425" s="58" t="str">
        <f t="shared" ca="1" si="1838"/>
        <v>X</v>
      </c>
      <c r="GG425" s="58" t="str">
        <f t="shared" ca="1" si="1838"/>
        <v>X</v>
      </c>
      <c r="GH425" s="58" t="str">
        <f t="shared" ca="1" si="1838"/>
        <v>X</v>
      </c>
      <c r="GI425" s="58" t="str">
        <f t="shared" ca="1" si="1838"/>
        <v>X</v>
      </c>
      <c r="GJ425" s="58" t="str">
        <f t="shared" ca="1" si="1838"/>
        <v>X</v>
      </c>
      <c r="GK425" s="58" t="str">
        <f t="shared" ca="1" si="1838"/>
        <v>X</v>
      </c>
      <c r="GL425" s="58" t="str">
        <f t="shared" ca="1" si="1838"/>
        <v>X</v>
      </c>
      <c r="GM425" s="58" t="str">
        <f t="shared" ca="1" si="1838"/>
        <v>X</v>
      </c>
      <c r="GN425" s="58" t="str">
        <f t="shared" ca="1" si="1838"/>
        <v>X</v>
      </c>
      <c r="GO425" s="58" t="str">
        <f t="shared" ca="1" si="1838"/>
        <v>X</v>
      </c>
      <c r="GP425" s="58" t="str">
        <f t="shared" ca="1" si="1838"/>
        <v>X</v>
      </c>
      <c r="GQ425" s="58" t="str">
        <f t="shared" ca="1" si="1838"/>
        <v>X</v>
      </c>
      <c r="GR425" s="58" t="str">
        <f t="shared" ca="1" si="1838"/>
        <v>X</v>
      </c>
      <c r="GS425" s="80" t="str">
        <f t="shared" ca="1" si="1838"/>
        <v>X</v>
      </c>
      <c r="GT425" s="58" t="str">
        <f t="shared" ca="1" si="1838"/>
        <v>X</v>
      </c>
      <c r="GU425" s="82" t="str">
        <f t="shared" ca="1" si="1617"/>
        <v>X</v>
      </c>
      <c r="GV425" s="58" t="str">
        <f t="shared" ca="1" si="1618"/>
        <v>X</v>
      </c>
      <c r="GW425" s="58" t="str">
        <f t="shared" ca="1" si="1619"/>
        <v>X</v>
      </c>
      <c r="GX425" s="58" t="str">
        <f t="shared" ca="1" si="1620"/>
        <v>X</v>
      </c>
      <c r="GY425" s="58" t="str">
        <f t="shared" ca="1" si="1621"/>
        <v>X</v>
      </c>
      <c r="GZ425" s="58" t="str">
        <f t="shared" ca="1" si="1622"/>
        <v>X</v>
      </c>
      <c r="HA425" s="58" t="str">
        <f t="shared" ca="1" si="1623"/>
        <v>X</v>
      </c>
      <c r="HB425" s="58" t="str">
        <f t="shared" ca="1" si="1624"/>
        <v>X</v>
      </c>
      <c r="HC425" s="58" t="str">
        <f t="shared" ca="1" si="1625"/>
        <v>X</v>
      </c>
      <c r="HD425" s="58" t="str">
        <f t="shared" ca="1" si="1626"/>
        <v>X</v>
      </c>
      <c r="HE425" s="58" t="str">
        <f t="shared" ca="1" si="1627"/>
        <v>X</v>
      </c>
      <c r="HF425" s="58" t="str">
        <f t="shared" ca="1" si="1628"/>
        <v>X</v>
      </c>
      <c r="HG425" s="58" t="str">
        <f t="shared" ca="1" si="1629"/>
        <v>X</v>
      </c>
      <c r="HH425" s="58" t="str">
        <f t="shared" ca="1" si="1630"/>
        <v>X</v>
      </c>
      <c r="HI425" s="58" t="str">
        <f t="shared" ca="1" si="1631"/>
        <v>X</v>
      </c>
      <c r="HJ425" s="58" t="str">
        <f t="shared" ca="1" si="1632"/>
        <v>X</v>
      </c>
      <c r="HK425" s="58" t="str">
        <f t="shared" ca="1" si="1633"/>
        <v>X</v>
      </c>
      <c r="HL425" s="58" t="str">
        <f t="shared" ca="1" si="1634"/>
        <v>X</v>
      </c>
      <c r="HM425" s="58" t="str">
        <f t="shared" ca="1" si="1635"/>
        <v>X</v>
      </c>
      <c r="HN425" s="58" t="str">
        <f t="shared" ca="1" si="1636"/>
        <v>X</v>
      </c>
      <c r="HO425" s="58" t="str">
        <f t="shared" ca="1" si="1637"/>
        <v>X</v>
      </c>
      <c r="HP425" s="58" t="str">
        <f t="shared" ca="1" si="1638"/>
        <v>X</v>
      </c>
      <c r="HQ425" s="58" t="str">
        <f t="shared" ca="1" si="1639"/>
        <v>X</v>
      </c>
      <c r="HR425" s="58" t="str">
        <f t="shared" ca="1" si="1640"/>
        <v>X</v>
      </c>
      <c r="HS425" s="58" t="str">
        <f t="shared" ca="1" si="1641"/>
        <v>X</v>
      </c>
      <c r="HT425" s="58" t="str">
        <f t="shared" ca="1" si="1642"/>
        <v>X</v>
      </c>
      <c r="HU425" s="58" t="str">
        <f t="shared" ca="1" si="1643"/>
        <v>X</v>
      </c>
      <c r="HV425" s="58" t="str">
        <f t="shared" ca="1" si="1644"/>
        <v>X</v>
      </c>
      <c r="HW425" s="58" t="str">
        <f t="shared" ca="1" si="1645"/>
        <v>X</v>
      </c>
      <c r="HX425" s="58" t="str">
        <f t="shared" ca="1" si="1646"/>
        <v>X</v>
      </c>
      <c r="HY425" s="58" t="str">
        <f t="shared" ca="1" si="1647"/>
        <v>X</v>
      </c>
      <c r="HZ425" s="58" t="str">
        <f t="shared" ca="1" si="1648"/>
        <v>X</v>
      </c>
      <c r="IA425" s="58" t="str">
        <f t="shared" ca="1" si="1649"/>
        <v>X</v>
      </c>
      <c r="IB425" s="58" t="str">
        <f t="shared" ca="1" si="1650"/>
        <v>X</v>
      </c>
      <c r="IC425" s="58" t="str">
        <f t="shared" ca="1" si="1651"/>
        <v>X</v>
      </c>
      <c r="ID425" s="58" t="str">
        <f t="shared" ca="1" si="1652"/>
        <v>X</v>
      </c>
      <c r="IE425" s="58" t="str">
        <f t="shared" ca="1" si="1653"/>
        <v>X</v>
      </c>
      <c r="IF425" s="58" t="str">
        <f t="shared" ca="1" si="1654"/>
        <v>X</v>
      </c>
      <c r="IG425" s="58" t="str">
        <f t="shared" ca="1" si="1655"/>
        <v>X</v>
      </c>
      <c r="IH425" s="58" t="str">
        <f t="shared" ca="1" si="1656"/>
        <v>X</v>
      </c>
      <c r="II425" s="58" t="str">
        <f t="shared" ca="1" si="1657"/>
        <v>X</v>
      </c>
      <c r="IJ425" s="58" t="str">
        <f t="shared" ca="1" si="1658"/>
        <v>X</v>
      </c>
      <c r="IK425" s="58" t="str">
        <f t="shared" ca="1" si="1659"/>
        <v>X</v>
      </c>
      <c r="IL425" s="58" t="str">
        <f t="shared" ca="1" si="1660"/>
        <v>X</v>
      </c>
      <c r="IM425" s="58" t="str">
        <f t="shared" ca="1" si="1661"/>
        <v>X</v>
      </c>
      <c r="IN425" s="58" t="str">
        <f t="shared" ca="1" si="1662"/>
        <v>X</v>
      </c>
      <c r="IO425" s="58" t="str">
        <f t="shared" ca="1" si="1663"/>
        <v>X</v>
      </c>
      <c r="IP425" s="58" t="str">
        <f t="shared" ca="1" si="1664"/>
        <v>X</v>
      </c>
      <c r="IQ425" s="58" t="str">
        <f t="shared" ca="1" si="1665"/>
        <v>X</v>
      </c>
      <c r="IR425" s="58" t="str">
        <f t="shared" ca="1" si="1666"/>
        <v>X</v>
      </c>
      <c r="IS425" s="58" t="str">
        <f t="shared" ca="1" si="1667"/>
        <v>X</v>
      </c>
      <c r="IT425" s="58" t="str">
        <f t="shared" ca="1" si="1668"/>
        <v>X</v>
      </c>
      <c r="IU425" s="58" t="str">
        <f t="shared" ca="1" si="1669"/>
        <v>X</v>
      </c>
      <c r="IV425" s="58" t="str">
        <f t="shared" ca="1" si="1670"/>
        <v>X</v>
      </c>
      <c r="IW425" s="58" t="str">
        <f t="shared" ca="1" si="1671"/>
        <v>X</v>
      </c>
      <c r="IX425" s="58" t="str">
        <f t="shared" ca="1" si="1672"/>
        <v>X</v>
      </c>
      <c r="IY425" s="58" t="str">
        <f t="shared" ca="1" si="1673"/>
        <v>X</v>
      </c>
      <c r="IZ425" s="58" t="str">
        <f t="shared" ca="1" si="1674"/>
        <v>X</v>
      </c>
      <c r="JA425" s="58" t="str">
        <f t="shared" ca="1" si="1675"/>
        <v>X</v>
      </c>
      <c r="JB425" s="58" t="str">
        <f t="shared" ca="1" si="1676"/>
        <v>X</v>
      </c>
      <c r="JC425" s="58" t="str">
        <f t="shared" ca="1" si="1677"/>
        <v>X</v>
      </c>
      <c r="JD425" s="58" t="str">
        <f t="shared" ca="1" si="1678"/>
        <v>X</v>
      </c>
      <c r="JE425" s="58" t="str">
        <f t="shared" ca="1" si="1679"/>
        <v>X</v>
      </c>
      <c r="JF425" s="58" t="str">
        <f t="shared" ca="1" si="1680"/>
        <v>X</v>
      </c>
      <c r="JG425" s="58" t="str">
        <f t="shared" ca="1" si="1681"/>
        <v>X</v>
      </c>
      <c r="JH425" s="58" t="str">
        <f t="shared" ca="1" si="1682"/>
        <v>X</v>
      </c>
      <c r="JI425" s="58" t="str">
        <f t="shared" ca="1" si="1683"/>
        <v>X</v>
      </c>
      <c r="JJ425" s="58" t="str">
        <f t="shared" ca="1" si="1684"/>
        <v>X</v>
      </c>
      <c r="JK425" s="58" t="str">
        <f t="shared" ca="1" si="1685"/>
        <v>X</v>
      </c>
      <c r="JL425" s="58" t="str">
        <f t="shared" ca="1" si="1686"/>
        <v>X</v>
      </c>
      <c r="JM425" s="58" t="str">
        <f t="shared" ca="1" si="1687"/>
        <v>X</v>
      </c>
      <c r="JN425" s="58" t="str">
        <f t="shared" ca="1" si="1688"/>
        <v>X</v>
      </c>
      <c r="JO425" s="58" t="str">
        <f t="shared" ca="1" si="1689"/>
        <v>X</v>
      </c>
      <c r="JP425" s="58" t="str">
        <f t="shared" ca="1" si="1690"/>
        <v>X</v>
      </c>
      <c r="JQ425" s="58" t="str">
        <f t="shared" ca="1" si="1691"/>
        <v>X</v>
      </c>
      <c r="JR425" s="58" t="str">
        <f t="shared" ca="1" si="1692"/>
        <v>X</v>
      </c>
      <c r="JS425" s="58" t="str">
        <f t="shared" ca="1" si="1693"/>
        <v>X</v>
      </c>
      <c r="JT425" s="58" t="str">
        <f t="shared" ca="1" si="1694"/>
        <v>X</v>
      </c>
      <c r="JU425" s="58" t="str">
        <f t="shared" ca="1" si="1695"/>
        <v>X</v>
      </c>
      <c r="JV425" s="58" t="str">
        <f t="shared" ca="1" si="1696"/>
        <v>X</v>
      </c>
      <c r="JW425" s="58" t="str">
        <f t="shared" ca="1" si="1697"/>
        <v>X</v>
      </c>
      <c r="JX425" s="58" t="str">
        <f t="shared" ca="1" si="1698"/>
        <v>X</v>
      </c>
      <c r="JY425" s="58" t="str">
        <f t="shared" ca="1" si="1699"/>
        <v>X</v>
      </c>
      <c r="JZ425" s="58" t="str">
        <f t="shared" ca="1" si="1700"/>
        <v>X</v>
      </c>
      <c r="KA425" s="58" t="str">
        <f t="shared" ca="1" si="1701"/>
        <v>X</v>
      </c>
      <c r="KB425" s="58" t="str">
        <f t="shared" ca="1" si="1702"/>
        <v>X</v>
      </c>
      <c r="KC425" s="58" t="str">
        <f t="shared" ca="1" si="1703"/>
        <v>X</v>
      </c>
      <c r="KD425" s="58" t="str">
        <f t="shared" ca="1" si="1704"/>
        <v>X</v>
      </c>
      <c r="KE425" s="58" t="str">
        <f t="shared" ca="1" si="1705"/>
        <v>X</v>
      </c>
      <c r="KF425" s="58" t="str">
        <f t="shared" ca="1" si="1706"/>
        <v>X</v>
      </c>
      <c r="KG425" s="58" t="str">
        <f t="shared" ca="1" si="1707"/>
        <v>X</v>
      </c>
      <c r="KH425" s="58" t="str">
        <f t="shared" ca="1" si="1708"/>
        <v>X</v>
      </c>
      <c r="KI425" s="58" t="str">
        <f t="shared" ca="1" si="1709"/>
        <v>X</v>
      </c>
      <c r="KJ425" s="58" t="str">
        <f t="shared" ca="1" si="1710"/>
        <v>X</v>
      </c>
      <c r="KK425" s="58" t="str">
        <f t="shared" ca="1" si="1711"/>
        <v>X</v>
      </c>
      <c r="KL425" s="58" t="str">
        <f t="shared" ca="1" si="1712"/>
        <v>X</v>
      </c>
      <c r="KM425" s="58" t="str">
        <f t="shared" ca="1" si="1713"/>
        <v>X</v>
      </c>
      <c r="KN425" s="58" t="str">
        <f t="shared" ca="1" si="1714"/>
        <v>X</v>
      </c>
      <c r="KO425" s="58" t="str">
        <f t="shared" ca="1" si="1715"/>
        <v>X</v>
      </c>
      <c r="KP425" s="58" t="str">
        <f t="shared" ca="1" si="1716"/>
        <v>X</v>
      </c>
      <c r="KQ425" s="58" t="str">
        <f t="shared" ca="1" si="1717"/>
        <v>X</v>
      </c>
      <c r="KR425" s="58" t="str">
        <f t="shared" ca="1" si="1718"/>
        <v>X</v>
      </c>
      <c r="KS425" s="58" t="str">
        <f t="shared" ca="1" si="1719"/>
        <v>X</v>
      </c>
      <c r="KT425" s="58" t="str">
        <f t="shared" ca="1" si="1720"/>
        <v>X</v>
      </c>
      <c r="KU425" s="58" t="str">
        <f t="shared" ca="1" si="1721"/>
        <v>X</v>
      </c>
      <c r="KV425" s="58" t="str">
        <f t="shared" ca="1" si="1722"/>
        <v>X</v>
      </c>
      <c r="KW425" s="58" t="str">
        <f t="shared" ca="1" si="1723"/>
        <v>X</v>
      </c>
      <c r="KX425" s="58" t="str">
        <f t="shared" ca="1" si="1724"/>
        <v>X</v>
      </c>
      <c r="KY425" s="58" t="str">
        <f t="shared" ca="1" si="1725"/>
        <v>X</v>
      </c>
      <c r="KZ425" s="58" t="str">
        <f t="shared" ca="1" si="1726"/>
        <v>X</v>
      </c>
      <c r="LA425" s="58" t="str">
        <f t="shared" ca="1" si="1727"/>
        <v>X</v>
      </c>
      <c r="LB425" s="58" t="str">
        <f t="shared" ca="1" si="1728"/>
        <v>X</v>
      </c>
      <c r="LC425" s="58" t="str">
        <f t="shared" ca="1" si="1729"/>
        <v>X</v>
      </c>
      <c r="LD425" s="58" t="str">
        <f t="shared" ca="1" si="1730"/>
        <v>X</v>
      </c>
      <c r="LE425" s="58" t="str">
        <f t="shared" ca="1" si="1731"/>
        <v>X</v>
      </c>
      <c r="LF425" s="58" t="str">
        <f t="shared" ca="1" si="1732"/>
        <v>X</v>
      </c>
      <c r="LG425" s="58" t="str">
        <f t="shared" ca="1" si="1733"/>
        <v>X</v>
      </c>
      <c r="LH425" s="58" t="str">
        <f t="shared" ca="1" si="1734"/>
        <v>X</v>
      </c>
      <c r="LI425" s="58" t="str">
        <f t="shared" ca="1" si="1735"/>
        <v>X</v>
      </c>
      <c r="LJ425" s="58" t="str">
        <f t="shared" ca="1" si="1736"/>
        <v>X</v>
      </c>
      <c r="LK425" s="58" t="str">
        <f t="shared" ca="1" si="1737"/>
        <v>X</v>
      </c>
      <c r="LL425" s="58" t="str">
        <f t="shared" ca="1" si="1738"/>
        <v>X</v>
      </c>
      <c r="LM425" s="58" t="str">
        <f t="shared" ca="1" si="1739"/>
        <v>X</v>
      </c>
      <c r="LN425" s="58" t="str">
        <f t="shared" ca="1" si="1740"/>
        <v>X</v>
      </c>
      <c r="LO425" s="58" t="str">
        <f t="shared" ca="1" si="1741"/>
        <v>X</v>
      </c>
      <c r="LP425" s="58" t="str">
        <f t="shared" ca="1" si="1742"/>
        <v>X</v>
      </c>
      <c r="LQ425" s="58" t="str">
        <f t="shared" ca="1" si="1743"/>
        <v>X</v>
      </c>
      <c r="LR425" s="58" t="str">
        <f t="shared" ca="1" si="1744"/>
        <v>X</v>
      </c>
      <c r="LS425" s="58" t="str">
        <f t="shared" ca="1" si="1745"/>
        <v>X</v>
      </c>
      <c r="LT425" s="58" t="str">
        <f t="shared" ca="1" si="1746"/>
        <v>X</v>
      </c>
      <c r="LU425" s="58" t="str">
        <f t="shared" ca="1" si="1747"/>
        <v>X</v>
      </c>
      <c r="LV425" s="58" t="str">
        <f t="shared" ca="1" si="1748"/>
        <v>X</v>
      </c>
      <c r="LW425" s="58" t="str">
        <f t="shared" ca="1" si="1749"/>
        <v>X</v>
      </c>
      <c r="LX425" s="58" t="str">
        <f t="shared" ca="1" si="1750"/>
        <v>X</v>
      </c>
      <c r="LY425" s="58" t="str">
        <f t="shared" ca="1" si="1751"/>
        <v>X</v>
      </c>
      <c r="LZ425" s="58" t="str">
        <f t="shared" ca="1" si="1752"/>
        <v>X</v>
      </c>
      <c r="MA425" s="58" t="str">
        <f t="shared" ca="1" si="1753"/>
        <v>X</v>
      </c>
      <c r="MB425" s="58" t="str">
        <f t="shared" ca="1" si="1754"/>
        <v>X</v>
      </c>
      <c r="MC425" s="58" t="str">
        <f t="shared" ca="1" si="1755"/>
        <v>X</v>
      </c>
      <c r="MD425" s="58" t="str">
        <f t="shared" ca="1" si="1756"/>
        <v>X</v>
      </c>
      <c r="ME425" s="58" t="str">
        <f t="shared" ca="1" si="1757"/>
        <v>X</v>
      </c>
      <c r="MF425" s="58" t="str">
        <f t="shared" ca="1" si="1758"/>
        <v>X</v>
      </c>
      <c r="MG425" s="58" t="str">
        <f t="shared" ca="1" si="1759"/>
        <v>X</v>
      </c>
      <c r="MH425" s="58" t="str">
        <f t="shared" ca="1" si="1760"/>
        <v>X</v>
      </c>
      <c r="MI425" s="58" t="str">
        <f t="shared" ca="1" si="1761"/>
        <v>X</v>
      </c>
      <c r="MJ425" s="58" t="str">
        <f t="shared" ca="1" si="1762"/>
        <v>X</v>
      </c>
      <c r="MK425" s="58" t="str">
        <f t="shared" ca="1" si="1763"/>
        <v>X</v>
      </c>
      <c r="ML425" s="58" t="str">
        <f t="shared" ca="1" si="1764"/>
        <v>X</v>
      </c>
      <c r="MM425" s="58" t="str">
        <f t="shared" ca="1" si="1765"/>
        <v>X</v>
      </c>
      <c r="MN425" s="58" t="str">
        <f t="shared" ca="1" si="1766"/>
        <v>X</v>
      </c>
      <c r="MO425" s="58" t="str">
        <f t="shared" ca="1" si="1767"/>
        <v>X</v>
      </c>
      <c r="MP425" s="58" t="str">
        <f t="shared" ca="1" si="1768"/>
        <v>X</v>
      </c>
      <c r="MQ425" s="58" t="str">
        <f t="shared" ca="1" si="1769"/>
        <v>X</v>
      </c>
      <c r="MR425" s="58" t="str">
        <f t="shared" ca="1" si="1770"/>
        <v>X</v>
      </c>
      <c r="MS425" s="58" t="str">
        <f t="shared" ca="1" si="1771"/>
        <v>X</v>
      </c>
      <c r="MT425" s="58" t="str">
        <f t="shared" ref="MT425:NE425" ca="1" si="1839">IF($K425=INDIRECT(CONCATENATE("$AG$"&amp;GH$392)),INDIRECT(CONCATENATE("$AG$"&amp;GH$391)),
IF($K425=INDIRECT(CONCATENATE("$AF$"&amp;GH$392)),INDIRECT(CONCATENATE("$AF$"&amp;GH$391)),
IF($K425=INDIRECT(CONCATENATE("$AE$"&amp;GH$392)),INDIRECT(CONCATENATE("$AE$"&amp;GH$391)),
IF($K425=INDIRECT(CONCATENATE("$AD$"&amp;GH$392)),INDIRECT(CONCATENATE("$AD$"&amp;GH$391)),
IF($K425=INDIRECT(CONCATENATE("$AC$"&amp;GH$392)),INDIRECT(CONCATENATE("$AC$"&amp;GH$391)),
IF($K425=INDIRECT(CONCATENATE("$AB$"&amp;GH$392)),INDIRECT(CONCATENATE("$AB$"&amp;GH$391)),
IF($K425=INDIRECT(CONCATENATE("$AA$"&amp;GH$392)),INDIRECT(CONCATENATE("$AA$"&amp;GH$391)),
IF($K425=INDIRECT(CONCATENATE("$Z$"&amp;GH$392)),INDIRECT(CONCATENATE("$Z$"&amp;GH$391)),
IF($K425=INDIRECT(CONCATENATE("$Y$"&amp;GH$392)),INDIRECT(CONCATENATE("$Y$"&amp;GH$391)),
IF($K425=INDIRECT(CONCATENATE("$X$"&amp;GH$392)),INDIRECT(CONCATENATE("$X$"&amp;GH$391)),
IF($K425=INDIRECT(CONCATENATE("$W$"&amp;GH$392)),INDIRECT(CONCATENATE("$W$"&amp;GH$391)),
IF($K425=INDIRECT(CONCATENATE("$V$"&amp;GH$392)),INDIRECT(CONCATENATE("$V$"&amp;GH$391)),
IF($K425=INDIRECT(CONCATENATE("$U$"&amp;GH$392)),INDIRECT(CONCATENATE("$U$"&amp;GH$391)),
IF($K425=INDIRECT(CONCATENATE("$T$"&amp;GH$392)),INDIRECT(CONCATENATE("$T$"&amp;GH$391)),
IF($K425=INDIRECT(CONCATENATE("$S$"&amp;GH$392)),INDIRECT(CONCATENATE("$S$"&amp;GH$391)),
IF($K425=INDIRECT(CONCATENATE("$R$"&amp;GH$392)),INDIRECT(CONCATENATE("$R$"&amp;GH$391)),
IF($K425=INDIRECT(CONCATENATE("$Q$"&amp;GH$392)),INDIRECT(CONCATENATE("$Q$"&amp;GH$391)),
IF($K425=INDIRECT(CONCATENATE("$P$"&amp;GH$392)),INDIRECT(CONCATENATE("$P$"&amp;GH$391)),
IF($K425=INDIRECT(CONCATENATE("$O$"&amp;GH$392)),INDIRECT(CONCATENATE("$O$"&amp;GH$391)),
IF($K425=INDIRECT(CONCATENATE("$N$"&amp;GH$392)),INDIRECT(CONCATENATE("$N$"&amp;GH$391)),
IF($K425=INDIRECT(CONCATENATE("$M$"&amp;GH$392)),INDIRECT(CONCATENATE("$M$"&amp;GH$391)),
IF($K425=INDIRECT(CONCATENATE("$L$"&amp;GH$392)),INDIRECT(CONCATENATE("$L$"&amp;GH$391)),
IF($K425=INDIRECT(CONCATENATE("$K$"&amp;GH$392)),INDIRECT(CONCATENATE("$K$"&amp;GH$391)),
IF($K425=INDIRECT(CONCATENATE("$J$"&amp;GH$392)),INDIRECT(CONCATENATE("$J$"&amp;GH$391)),
IF($K425=INDIRECT(CONCATENATE("$I$"&amp;GH$392)),INDIRECT(CONCATENATE("$I$"&amp;GH$391)),
IF($K425=INDIRECT(CONCATENATE("$H$"&amp;GH$392)),INDIRECT(CONCATENATE("$H$"&amp;GH$391)),
IF($K425=INDIRECT(CONCATENATE("$G$"&amp;GH$392)),INDIRECT(CONCATENATE("$G$"&amp;GH$391)),
IF($K425=INDIRECT(CONCATENATE("$F$"&amp;GH$392)),INDIRECT(CONCATENATE("$F$"&amp;GH$391)),
IF($K425=INDIRECT(CONCATENATE("$E$"&amp;GH$392)),INDIRECT(CONCATENATE("$E$"&amp;GH$391)),
IF($K425=INDIRECT(CONCATENATE("$D$"&amp;GH$392)),INDIRECT(CONCATENATE("$D$"&amp;GH$391)),
IF($K425=INDIRECT(CONCATENATE("$C$"&amp;GH$392)),INDIRECT(CONCATENATE("$C$"&amp;GH$391)),"X")))))))))))))))))))))))))))))))</f>
        <v>X</v>
      </c>
      <c r="MU425" s="58" t="str">
        <f t="shared" ca="1" si="1839"/>
        <v>X</v>
      </c>
      <c r="MV425" s="58" t="str">
        <f t="shared" ca="1" si="1839"/>
        <v>X</v>
      </c>
      <c r="MW425" s="58" t="str">
        <f t="shared" ca="1" si="1839"/>
        <v>X</v>
      </c>
      <c r="MX425" s="58" t="str">
        <f t="shared" ca="1" si="1839"/>
        <v>X</v>
      </c>
      <c r="MY425" s="58" t="str">
        <f t="shared" ca="1" si="1839"/>
        <v>X</v>
      </c>
      <c r="MZ425" s="58" t="str">
        <f t="shared" ca="1" si="1839"/>
        <v>X</v>
      </c>
      <c r="NA425" s="58" t="str">
        <f t="shared" ca="1" si="1839"/>
        <v>X</v>
      </c>
      <c r="NB425" s="58" t="str">
        <f t="shared" ca="1" si="1839"/>
        <v>X</v>
      </c>
      <c r="NC425" s="58" t="str">
        <f t="shared" ca="1" si="1839"/>
        <v>X</v>
      </c>
      <c r="ND425" s="58" t="str">
        <f t="shared" ca="1" si="1839"/>
        <v>X</v>
      </c>
      <c r="NE425" s="58" t="str">
        <f t="shared" ca="1" si="1839"/>
        <v>X</v>
      </c>
      <c r="NF425" s="58" t="str">
        <f t="shared" ca="1" si="1773"/>
        <v>X</v>
      </c>
      <c r="NG425" s="58" t="str">
        <f t="shared" ca="1" si="1774"/>
        <v>X</v>
      </c>
    </row>
    <row r="426" spans="1:371" ht="18" customHeight="1">
      <c r="A426" s="241"/>
      <c r="B426" s="304"/>
      <c r="C426" s="304"/>
      <c r="D426" s="304"/>
      <c r="E426" s="304"/>
      <c r="F426" s="304"/>
      <c r="G426" s="304"/>
      <c r="H426" s="304"/>
      <c r="I426" s="304"/>
      <c r="J426" s="303"/>
      <c r="K426" s="237" t="s">
        <v>84</v>
      </c>
      <c r="L426" s="303"/>
      <c r="M426" s="60"/>
      <c r="N426" s="225"/>
      <c r="O426" s="304"/>
      <c r="P426" s="304"/>
      <c r="Q426" s="304"/>
      <c r="R426" s="303"/>
      <c r="S426" s="226"/>
      <c r="T426" s="304"/>
      <c r="U426" s="303"/>
      <c r="V426" s="227"/>
      <c r="W426" s="303"/>
      <c r="X426" s="56" t="str">
        <f t="shared" ca="1" si="1775"/>
        <v>-</v>
      </c>
      <c r="Y426" s="56" t="str">
        <f t="shared" ca="1" si="1776"/>
        <v>-</v>
      </c>
      <c r="Z426" s="228" t="str">
        <f t="shared" ca="1" si="1612"/>
        <v/>
      </c>
      <c r="AA426" s="304"/>
      <c r="AB426" s="303"/>
      <c r="AC426" s="224">
        <f t="shared" si="1777"/>
        <v>0</v>
      </c>
      <c r="AD426" s="303"/>
      <c r="AE426" s="229">
        <f t="shared" si="1778"/>
        <v>0</v>
      </c>
      <c r="AF426" s="303"/>
      <c r="AG426" s="57" t="str">
        <f t="shared" si="1615"/>
        <v/>
      </c>
      <c r="AH426" s="21"/>
      <c r="AI426" s="70"/>
      <c r="AJ426" s="58" t="str">
        <f t="shared" ref="AJ426:GT426" ca="1" si="1840">IF($K426=INDIRECT(CONCATENATE("$C$"&amp;AJ$392)), INDIRECT(CONCATENATE("$C$"&amp;AJ$391)),
IF($K426=INDIRECT(CONCATENATE("$D$"&amp;AJ$392)), INDIRECT(CONCATENATE("$D$"&amp;AJ$391)),
IF($K426=INDIRECT(CONCATENATE("$E$"&amp;AJ$392)), INDIRECT(CONCATENATE("$E$"&amp;AJ$391)),
IF($K426=INDIRECT(CONCATENATE("$F$"&amp;AJ$392)), INDIRECT(CONCATENATE("$F$"&amp;AJ$391)),
IF($K426=INDIRECT(CONCATENATE("$G$"&amp;AJ$392)), INDIRECT(CONCATENATE("$G$"&amp;AJ$391)),
IF($K426=INDIRECT(CONCATENATE("$H$"&amp;AJ$392)), INDIRECT(CONCATENATE("$H$"&amp;AJ$391)),
IF($K426=INDIRECT(CONCATENATE("$I$"&amp;AJ$392)), INDIRECT(CONCATENATE("$I$"&amp;AJ$391)),
IF($K426=INDIRECT(CONCATENATE("$J$"&amp;AJ$392)), INDIRECT(CONCATENATE("$J$"&amp;AJ$391)),
IF($K426=INDIRECT(CONCATENATE("$K$"&amp;AJ$392)), INDIRECT(CONCATENATE("$K$"&amp;AJ$391)),
IF($K426=INDIRECT(CONCATENATE("$L$"&amp;AJ$392)), INDIRECT(CONCATENATE("$L$"&amp;AJ$391)),
IF($K426=INDIRECT(CONCATENATE("$M$"&amp;AJ$392)), INDIRECT(CONCATENATE("$M$"&amp;AJ$391)),
IF($K426=INDIRECT(CONCATENATE("$N$"&amp;AJ$392)), INDIRECT(CONCATENATE("$N$"&amp;AJ$391)),
IF($K426=INDIRECT(CONCATENATE("$O$"&amp;AJ$392)), INDIRECT(CONCATENATE("$O$"&amp;AJ$391)),
IF($K426=INDIRECT(CONCATENATE("$P$"&amp;AJ$392)), INDIRECT(CONCATENATE("$P$"&amp;AJ$391)),
IF($K426=INDIRECT(CONCATENATE("$Q$"&amp;AJ$392)), INDIRECT(CONCATENATE("$Q$"&amp;AJ$391)),
IF($K426=INDIRECT(CONCATENATE("$R$"&amp;AJ$392)), INDIRECT(CONCATENATE("$R$"&amp;AJ$391)),
IF($K426=INDIRECT(CONCATENATE("$S$"&amp;AJ$392)), INDIRECT(CONCATENATE("$S$"&amp;AJ$391)),
IF($K426=INDIRECT(CONCATENATE("$T$"&amp;AJ$392)), INDIRECT(CONCATENATE("$T$"&amp;AJ$391)),
IF($K426=INDIRECT(CONCATENATE("$U$"&amp;AJ$392)), INDIRECT(CONCATENATE("$U$"&amp;AJ$391)),
IF($K426=INDIRECT(CONCATENATE("$V$"&amp;AJ$392)), INDIRECT(CONCATENATE("$V$"&amp;AJ$391)),
IF($K426=INDIRECT(CONCATENATE("$W$"&amp;AJ$392)), INDIRECT(CONCATENATE("$W$"&amp;AJ$391)),
IF($K426=INDIRECT(CONCATENATE("$X$"&amp;AJ$392)), INDIRECT(CONCATENATE("$X$"&amp;AJ$391)),
IF($K426=INDIRECT(CONCATENATE("$Y$"&amp;AJ$392)), INDIRECT(CONCATENATE("$Y$"&amp;AJ$391)),
IF($K426=INDIRECT(CONCATENATE("$Z$"&amp;AJ$392)), INDIRECT(CONCATENATE("$Z$"&amp;AJ$391)),
IF($K426=INDIRECT(CONCATENATE("$AA$"&amp;AJ$392)), INDIRECT(CONCATENATE("$AA$"&amp;AJ$391)),
IF($K426=INDIRECT(CONCATENATE("$AB$"&amp;AJ$392)), INDIRECT(CONCATENATE("$AB$"&amp;AJ$391)),
IF($K426=INDIRECT(CONCATENATE("$AC$"&amp;AJ$392)), INDIRECT(CONCATENATE("$AC$"&amp;AJ$391)),
IF($K426=INDIRECT(CONCATENATE("$AD$"&amp;AJ$392)), INDIRECT(CONCATENATE("$AD$"&amp;AJ$391)),
IF($K426=INDIRECT(CONCATENATE("$AE$"&amp;AJ$392)), INDIRECT(CONCATENATE("$AE$"&amp;AJ$391)),
IF($K426=INDIRECT(CONCATENATE("$AF$"&amp;AJ$392)), INDIRECT(CONCATENATE("$AF$"&amp;AJ$391)),
IF($K426=INDIRECT(CONCATENATE("$AG$"&amp;AJ$392)), INDIRECT(CONCATENATE("$AG$"&amp;AJ$391)),"X")))))))))))))))))))))))))))))))</f>
        <v>X</v>
      </c>
      <c r="AK426" s="58" t="str">
        <f t="shared" ca="1" si="1840"/>
        <v>X</v>
      </c>
      <c r="AL426" s="58" t="str">
        <f t="shared" ca="1" si="1840"/>
        <v>X</v>
      </c>
      <c r="AM426" s="58" t="str">
        <f t="shared" ca="1" si="1840"/>
        <v>X</v>
      </c>
      <c r="AN426" s="58" t="str">
        <f t="shared" ca="1" si="1840"/>
        <v>X</v>
      </c>
      <c r="AO426" s="58" t="str">
        <f t="shared" ca="1" si="1840"/>
        <v>X</v>
      </c>
      <c r="AP426" s="58" t="str">
        <f t="shared" ca="1" si="1840"/>
        <v>X</v>
      </c>
      <c r="AQ426" s="58" t="str">
        <f t="shared" ca="1" si="1840"/>
        <v>X</v>
      </c>
      <c r="AR426" s="58" t="str">
        <f t="shared" ca="1" si="1840"/>
        <v>X</v>
      </c>
      <c r="AS426" s="58" t="str">
        <f t="shared" ca="1" si="1840"/>
        <v>X</v>
      </c>
      <c r="AT426" s="58" t="str">
        <f t="shared" ca="1" si="1840"/>
        <v>X</v>
      </c>
      <c r="AU426" s="58" t="str">
        <f t="shared" ca="1" si="1840"/>
        <v>X</v>
      </c>
      <c r="AV426" s="58" t="str">
        <f t="shared" ca="1" si="1840"/>
        <v>X</v>
      </c>
      <c r="AW426" s="58" t="str">
        <f t="shared" ca="1" si="1840"/>
        <v>X</v>
      </c>
      <c r="AX426" s="58" t="str">
        <f t="shared" ca="1" si="1840"/>
        <v>X</v>
      </c>
      <c r="AY426" s="58" t="str">
        <f t="shared" ca="1" si="1840"/>
        <v>X</v>
      </c>
      <c r="AZ426" s="58" t="str">
        <f t="shared" ca="1" si="1840"/>
        <v>X</v>
      </c>
      <c r="BA426" s="58" t="str">
        <f t="shared" ca="1" si="1840"/>
        <v>X</v>
      </c>
      <c r="BB426" s="58" t="str">
        <f t="shared" ca="1" si="1840"/>
        <v>X</v>
      </c>
      <c r="BC426" s="58" t="str">
        <f t="shared" ca="1" si="1840"/>
        <v>X</v>
      </c>
      <c r="BD426" s="58" t="str">
        <f t="shared" ca="1" si="1840"/>
        <v>X</v>
      </c>
      <c r="BE426" s="58" t="str">
        <f t="shared" ca="1" si="1840"/>
        <v>X</v>
      </c>
      <c r="BF426" s="58" t="str">
        <f t="shared" ca="1" si="1840"/>
        <v>X</v>
      </c>
      <c r="BG426" s="58" t="str">
        <f t="shared" ca="1" si="1840"/>
        <v>X</v>
      </c>
      <c r="BH426" s="58" t="str">
        <f t="shared" ca="1" si="1840"/>
        <v>X</v>
      </c>
      <c r="BI426" s="58" t="str">
        <f t="shared" ca="1" si="1840"/>
        <v>X</v>
      </c>
      <c r="BJ426" s="58" t="str">
        <f t="shared" ca="1" si="1840"/>
        <v>X</v>
      </c>
      <c r="BK426" s="58" t="str">
        <f t="shared" ca="1" si="1840"/>
        <v>X</v>
      </c>
      <c r="BL426" s="58" t="str">
        <f t="shared" ca="1" si="1840"/>
        <v>X</v>
      </c>
      <c r="BM426" s="58" t="str">
        <f t="shared" ca="1" si="1840"/>
        <v>X</v>
      </c>
      <c r="BN426" s="58" t="str">
        <f t="shared" ca="1" si="1840"/>
        <v>X</v>
      </c>
      <c r="BO426" s="58" t="str">
        <f t="shared" ca="1" si="1840"/>
        <v>X</v>
      </c>
      <c r="BP426" s="58" t="str">
        <f t="shared" ca="1" si="1840"/>
        <v>X</v>
      </c>
      <c r="BQ426" s="58" t="str">
        <f t="shared" ca="1" si="1840"/>
        <v>X</v>
      </c>
      <c r="BR426" s="58" t="str">
        <f t="shared" ca="1" si="1840"/>
        <v>X</v>
      </c>
      <c r="BS426" s="58" t="str">
        <f t="shared" ca="1" si="1840"/>
        <v>X</v>
      </c>
      <c r="BT426" s="58" t="str">
        <f t="shared" ca="1" si="1840"/>
        <v>X</v>
      </c>
      <c r="BU426" s="58" t="str">
        <f t="shared" ca="1" si="1840"/>
        <v>X</v>
      </c>
      <c r="BV426" s="58" t="str">
        <f t="shared" ca="1" si="1840"/>
        <v>X</v>
      </c>
      <c r="BW426" s="58" t="str">
        <f t="shared" ca="1" si="1840"/>
        <v>X</v>
      </c>
      <c r="BX426" s="58" t="str">
        <f t="shared" ca="1" si="1840"/>
        <v>X</v>
      </c>
      <c r="BY426" s="58" t="str">
        <f t="shared" ca="1" si="1840"/>
        <v>X</v>
      </c>
      <c r="BZ426" s="58" t="str">
        <f t="shared" ca="1" si="1840"/>
        <v>X</v>
      </c>
      <c r="CA426" s="58" t="str">
        <f t="shared" ca="1" si="1840"/>
        <v>X</v>
      </c>
      <c r="CB426" s="58" t="str">
        <f t="shared" ca="1" si="1840"/>
        <v>X</v>
      </c>
      <c r="CC426" s="58" t="str">
        <f t="shared" ca="1" si="1840"/>
        <v>X</v>
      </c>
      <c r="CD426" s="58" t="str">
        <f t="shared" ca="1" si="1840"/>
        <v>X</v>
      </c>
      <c r="CE426" s="58" t="str">
        <f t="shared" ca="1" si="1840"/>
        <v>X</v>
      </c>
      <c r="CF426" s="58" t="str">
        <f t="shared" ca="1" si="1840"/>
        <v>X</v>
      </c>
      <c r="CG426" s="58" t="str">
        <f t="shared" ca="1" si="1840"/>
        <v>X</v>
      </c>
      <c r="CH426" s="58" t="str">
        <f t="shared" ca="1" si="1840"/>
        <v>X</v>
      </c>
      <c r="CI426" s="58" t="str">
        <f t="shared" ca="1" si="1840"/>
        <v>X</v>
      </c>
      <c r="CJ426" s="58" t="str">
        <f t="shared" ca="1" si="1840"/>
        <v>X</v>
      </c>
      <c r="CK426" s="58" t="str">
        <f t="shared" ca="1" si="1840"/>
        <v>X</v>
      </c>
      <c r="CL426" s="58" t="str">
        <f t="shared" ca="1" si="1840"/>
        <v>X</v>
      </c>
      <c r="CM426" s="58" t="str">
        <f t="shared" ca="1" si="1840"/>
        <v>X</v>
      </c>
      <c r="CN426" s="58" t="str">
        <f t="shared" ca="1" si="1840"/>
        <v>X</v>
      </c>
      <c r="CO426" s="58" t="str">
        <f t="shared" ca="1" si="1840"/>
        <v>X</v>
      </c>
      <c r="CP426" s="58" t="str">
        <f t="shared" ca="1" si="1840"/>
        <v>X</v>
      </c>
      <c r="CQ426" s="58" t="str">
        <f t="shared" ca="1" si="1840"/>
        <v>X</v>
      </c>
      <c r="CR426" s="58" t="str">
        <f t="shared" ca="1" si="1840"/>
        <v>X</v>
      </c>
      <c r="CS426" s="58" t="str">
        <f t="shared" ca="1" si="1840"/>
        <v>X</v>
      </c>
      <c r="CT426" s="58" t="str">
        <f t="shared" ca="1" si="1840"/>
        <v>X</v>
      </c>
      <c r="CU426" s="58" t="str">
        <f t="shared" ca="1" si="1840"/>
        <v>X</v>
      </c>
      <c r="CV426" s="58" t="str">
        <f t="shared" ca="1" si="1840"/>
        <v>X</v>
      </c>
      <c r="CW426" s="58" t="str">
        <f t="shared" ca="1" si="1840"/>
        <v>X</v>
      </c>
      <c r="CX426" s="58" t="str">
        <f t="shared" ca="1" si="1840"/>
        <v>X</v>
      </c>
      <c r="CY426" s="58" t="str">
        <f t="shared" ca="1" si="1840"/>
        <v>X</v>
      </c>
      <c r="CZ426" s="58" t="str">
        <f t="shared" ca="1" si="1840"/>
        <v>X</v>
      </c>
      <c r="DA426" s="58" t="str">
        <f t="shared" ca="1" si="1840"/>
        <v>X</v>
      </c>
      <c r="DB426" s="58" t="str">
        <f t="shared" ca="1" si="1840"/>
        <v>X</v>
      </c>
      <c r="DC426" s="58" t="str">
        <f t="shared" ca="1" si="1840"/>
        <v>X</v>
      </c>
      <c r="DD426" s="58" t="str">
        <f t="shared" ca="1" si="1840"/>
        <v>X</v>
      </c>
      <c r="DE426" s="58" t="str">
        <f t="shared" ca="1" si="1840"/>
        <v>X</v>
      </c>
      <c r="DF426" s="58" t="str">
        <f t="shared" ca="1" si="1840"/>
        <v>X</v>
      </c>
      <c r="DG426" s="58" t="str">
        <f t="shared" ca="1" si="1840"/>
        <v>X</v>
      </c>
      <c r="DH426" s="58" t="str">
        <f t="shared" ca="1" si="1840"/>
        <v>X</v>
      </c>
      <c r="DI426" s="58" t="str">
        <f t="shared" ca="1" si="1840"/>
        <v>X</v>
      </c>
      <c r="DJ426" s="58" t="str">
        <f t="shared" ca="1" si="1840"/>
        <v>X</v>
      </c>
      <c r="DK426" s="58" t="str">
        <f t="shared" ca="1" si="1840"/>
        <v>X</v>
      </c>
      <c r="DL426" s="58" t="str">
        <f t="shared" ca="1" si="1840"/>
        <v>X</v>
      </c>
      <c r="DM426" s="58" t="str">
        <f t="shared" ca="1" si="1840"/>
        <v>X</v>
      </c>
      <c r="DN426" s="58" t="str">
        <f t="shared" ca="1" si="1840"/>
        <v>X</v>
      </c>
      <c r="DO426" s="58" t="str">
        <f t="shared" ca="1" si="1840"/>
        <v>X</v>
      </c>
      <c r="DP426" s="58" t="str">
        <f t="shared" ca="1" si="1840"/>
        <v>X</v>
      </c>
      <c r="DQ426" s="58" t="str">
        <f t="shared" ca="1" si="1840"/>
        <v>X</v>
      </c>
      <c r="DR426" s="58" t="str">
        <f t="shared" ca="1" si="1840"/>
        <v>X</v>
      </c>
      <c r="DS426" s="58" t="str">
        <f t="shared" ca="1" si="1840"/>
        <v>X</v>
      </c>
      <c r="DT426" s="58" t="str">
        <f t="shared" ca="1" si="1840"/>
        <v>X</v>
      </c>
      <c r="DU426" s="58" t="str">
        <f t="shared" ca="1" si="1840"/>
        <v>X</v>
      </c>
      <c r="DV426" s="58" t="str">
        <f t="shared" ca="1" si="1840"/>
        <v>X</v>
      </c>
      <c r="DW426" s="58" t="str">
        <f t="shared" ca="1" si="1840"/>
        <v>X</v>
      </c>
      <c r="DX426" s="58" t="str">
        <f t="shared" ca="1" si="1840"/>
        <v>X</v>
      </c>
      <c r="DY426" s="58" t="str">
        <f t="shared" ca="1" si="1840"/>
        <v>X</v>
      </c>
      <c r="DZ426" s="58" t="str">
        <f t="shared" ca="1" si="1840"/>
        <v>X</v>
      </c>
      <c r="EA426" s="58" t="str">
        <f t="shared" ca="1" si="1840"/>
        <v>X</v>
      </c>
      <c r="EB426" s="58" t="str">
        <f t="shared" ca="1" si="1840"/>
        <v>X</v>
      </c>
      <c r="EC426" s="58" t="str">
        <f t="shared" ca="1" si="1840"/>
        <v>X</v>
      </c>
      <c r="ED426" s="58" t="str">
        <f t="shared" ca="1" si="1840"/>
        <v>X</v>
      </c>
      <c r="EE426" s="58" t="str">
        <f t="shared" ca="1" si="1840"/>
        <v>X</v>
      </c>
      <c r="EF426" s="58" t="str">
        <f t="shared" ca="1" si="1840"/>
        <v>X</v>
      </c>
      <c r="EG426" s="58" t="str">
        <f t="shared" ca="1" si="1840"/>
        <v>X</v>
      </c>
      <c r="EH426" s="58" t="str">
        <f t="shared" ca="1" si="1840"/>
        <v>X</v>
      </c>
      <c r="EI426" s="58" t="str">
        <f t="shared" ca="1" si="1840"/>
        <v>X</v>
      </c>
      <c r="EJ426" s="58" t="str">
        <f t="shared" ca="1" si="1840"/>
        <v>X</v>
      </c>
      <c r="EK426" s="58" t="str">
        <f t="shared" ca="1" si="1840"/>
        <v>X</v>
      </c>
      <c r="EL426" s="58" t="str">
        <f t="shared" ca="1" si="1840"/>
        <v>X</v>
      </c>
      <c r="EM426" s="58" t="str">
        <f t="shared" ca="1" si="1840"/>
        <v>X</v>
      </c>
      <c r="EN426" s="58" t="str">
        <f t="shared" ca="1" si="1840"/>
        <v>X</v>
      </c>
      <c r="EO426" s="58" t="str">
        <f t="shared" ca="1" si="1840"/>
        <v>X</v>
      </c>
      <c r="EP426" s="58" t="str">
        <f t="shared" ca="1" si="1840"/>
        <v>X</v>
      </c>
      <c r="EQ426" s="58" t="str">
        <f t="shared" ca="1" si="1840"/>
        <v>X</v>
      </c>
      <c r="ER426" s="58" t="str">
        <f t="shared" ca="1" si="1840"/>
        <v>X</v>
      </c>
      <c r="ES426" s="58" t="str">
        <f t="shared" ca="1" si="1840"/>
        <v>X</v>
      </c>
      <c r="ET426" s="58" t="str">
        <f t="shared" ca="1" si="1840"/>
        <v>X</v>
      </c>
      <c r="EU426" s="58" t="str">
        <f t="shared" ca="1" si="1840"/>
        <v>X</v>
      </c>
      <c r="EV426" s="58" t="str">
        <f t="shared" ca="1" si="1840"/>
        <v>X</v>
      </c>
      <c r="EW426" s="58" t="str">
        <f t="shared" ca="1" si="1840"/>
        <v>X</v>
      </c>
      <c r="EX426" s="58" t="str">
        <f t="shared" ca="1" si="1840"/>
        <v>X</v>
      </c>
      <c r="EY426" s="58" t="str">
        <f t="shared" ca="1" si="1840"/>
        <v>X</v>
      </c>
      <c r="EZ426" s="58" t="str">
        <f t="shared" ca="1" si="1840"/>
        <v>X</v>
      </c>
      <c r="FA426" s="58" t="str">
        <f t="shared" ca="1" si="1840"/>
        <v>X</v>
      </c>
      <c r="FB426" s="58" t="str">
        <f t="shared" ca="1" si="1840"/>
        <v>X</v>
      </c>
      <c r="FC426" s="58" t="str">
        <f t="shared" ca="1" si="1840"/>
        <v>X</v>
      </c>
      <c r="FD426" s="58" t="str">
        <f t="shared" ca="1" si="1840"/>
        <v>X</v>
      </c>
      <c r="FE426" s="58" t="str">
        <f t="shared" ca="1" si="1840"/>
        <v>X</v>
      </c>
      <c r="FF426" s="58" t="str">
        <f t="shared" ca="1" si="1840"/>
        <v>X</v>
      </c>
      <c r="FG426" s="58" t="str">
        <f t="shared" ca="1" si="1840"/>
        <v>X</v>
      </c>
      <c r="FH426" s="58" t="str">
        <f t="shared" ca="1" si="1840"/>
        <v>X</v>
      </c>
      <c r="FI426" s="58" t="str">
        <f t="shared" ca="1" si="1840"/>
        <v>X</v>
      </c>
      <c r="FJ426" s="58" t="str">
        <f t="shared" ca="1" si="1840"/>
        <v>X</v>
      </c>
      <c r="FK426" s="58" t="str">
        <f t="shared" ca="1" si="1840"/>
        <v>X</v>
      </c>
      <c r="FL426" s="58" t="str">
        <f t="shared" ca="1" si="1840"/>
        <v>X</v>
      </c>
      <c r="FM426" s="58" t="str">
        <f t="shared" ca="1" si="1840"/>
        <v>X</v>
      </c>
      <c r="FN426" s="58" t="str">
        <f t="shared" ca="1" si="1840"/>
        <v>X</v>
      </c>
      <c r="FO426" s="58" t="str">
        <f t="shared" ca="1" si="1840"/>
        <v>X</v>
      </c>
      <c r="FP426" s="58" t="str">
        <f t="shared" ca="1" si="1840"/>
        <v>X</v>
      </c>
      <c r="FQ426" s="58" t="str">
        <f t="shared" ca="1" si="1840"/>
        <v>X</v>
      </c>
      <c r="FR426" s="58" t="str">
        <f t="shared" ca="1" si="1840"/>
        <v>X</v>
      </c>
      <c r="FS426" s="58" t="str">
        <f t="shared" ca="1" si="1840"/>
        <v>X</v>
      </c>
      <c r="FT426" s="58" t="str">
        <f t="shared" ca="1" si="1840"/>
        <v>X</v>
      </c>
      <c r="FU426" s="58" t="str">
        <f t="shared" ca="1" si="1840"/>
        <v>X</v>
      </c>
      <c r="FV426" s="58" t="str">
        <f t="shared" ca="1" si="1840"/>
        <v>X</v>
      </c>
      <c r="FW426" s="58" t="str">
        <f t="shared" ca="1" si="1840"/>
        <v>X</v>
      </c>
      <c r="FX426" s="58" t="str">
        <f t="shared" ca="1" si="1840"/>
        <v>X</v>
      </c>
      <c r="FY426" s="58" t="str">
        <f t="shared" ca="1" si="1840"/>
        <v>X</v>
      </c>
      <c r="FZ426" s="58" t="str">
        <f t="shared" ca="1" si="1840"/>
        <v>X</v>
      </c>
      <c r="GA426" s="58" t="str">
        <f t="shared" ca="1" si="1840"/>
        <v>X</v>
      </c>
      <c r="GB426" s="58" t="str">
        <f t="shared" ca="1" si="1840"/>
        <v>X</v>
      </c>
      <c r="GC426" s="58" t="str">
        <f t="shared" ca="1" si="1840"/>
        <v>X</v>
      </c>
      <c r="GD426" s="58" t="str">
        <f t="shared" ca="1" si="1840"/>
        <v>X</v>
      </c>
      <c r="GE426" s="58" t="str">
        <f t="shared" ca="1" si="1840"/>
        <v>X</v>
      </c>
      <c r="GF426" s="58" t="str">
        <f t="shared" ca="1" si="1840"/>
        <v>X</v>
      </c>
      <c r="GG426" s="58" t="str">
        <f t="shared" ca="1" si="1840"/>
        <v>X</v>
      </c>
      <c r="GH426" s="58" t="str">
        <f t="shared" ca="1" si="1840"/>
        <v>X</v>
      </c>
      <c r="GI426" s="58" t="str">
        <f t="shared" ca="1" si="1840"/>
        <v>X</v>
      </c>
      <c r="GJ426" s="58" t="str">
        <f t="shared" ca="1" si="1840"/>
        <v>X</v>
      </c>
      <c r="GK426" s="58" t="str">
        <f t="shared" ca="1" si="1840"/>
        <v>X</v>
      </c>
      <c r="GL426" s="58" t="str">
        <f t="shared" ca="1" si="1840"/>
        <v>X</v>
      </c>
      <c r="GM426" s="58" t="str">
        <f t="shared" ca="1" si="1840"/>
        <v>X</v>
      </c>
      <c r="GN426" s="58" t="str">
        <f t="shared" ca="1" si="1840"/>
        <v>X</v>
      </c>
      <c r="GO426" s="58" t="str">
        <f t="shared" ca="1" si="1840"/>
        <v>X</v>
      </c>
      <c r="GP426" s="58" t="str">
        <f t="shared" ca="1" si="1840"/>
        <v>X</v>
      </c>
      <c r="GQ426" s="58" t="str">
        <f t="shared" ca="1" si="1840"/>
        <v>X</v>
      </c>
      <c r="GR426" s="58" t="str">
        <f t="shared" ca="1" si="1840"/>
        <v>X</v>
      </c>
      <c r="GS426" s="80" t="str">
        <f t="shared" ca="1" si="1840"/>
        <v>X</v>
      </c>
      <c r="GT426" s="58" t="str">
        <f t="shared" ca="1" si="1840"/>
        <v>X</v>
      </c>
      <c r="GU426" s="82" t="str">
        <f t="shared" ca="1" si="1617"/>
        <v>X</v>
      </c>
      <c r="GV426" s="58" t="str">
        <f t="shared" ca="1" si="1618"/>
        <v>X</v>
      </c>
      <c r="GW426" s="58" t="str">
        <f t="shared" ca="1" si="1619"/>
        <v>X</v>
      </c>
      <c r="GX426" s="58" t="str">
        <f t="shared" ca="1" si="1620"/>
        <v>X</v>
      </c>
      <c r="GY426" s="58" t="str">
        <f t="shared" ca="1" si="1621"/>
        <v>X</v>
      </c>
      <c r="GZ426" s="58" t="str">
        <f t="shared" ca="1" si="1622"/>
        <v>X</v>
      </c>
      <c r="HA426" s="58" t="str">
        <f t="shared" ca="1" si="1623"/>
        <v>X</v>
      </c>
      <c r="HB426" s="58" t="str">
        <f t="shared" ca="1" si="1624"/>
        <v>X</v>
      </c>
      <c r="HC426" s="58" t="str">
        <f t="shared" ca="1" si="1625"/>
        <v>X</v>
      </c>
      <c r="HD426" s="58" t="str">
        <f t="shared" ca="1" si="1626"/>
        <v>X</v>
      </c>
      <c r="HE426" s="58" t="str">
        <f t="shared" ca="1" si="1627"/>
        <v>X</v>
      </c>
      <c r="HF426" s="58" t="str">
        <f t="shared" ca="1" si="1628"/>
        <v>X</v>
      </c>
      <c r="HG426" s="58" t="str">
        <f t="shared" ca="1" si="1629"/>
        <v>X</v>
      </c>
      <c r="HH426" s="58" t="str">
        <f t="shared" ca="1" si="1630"/>
        <v>X</v>
      </c>
      <c r="HI426" s="58" t="str">
        <f t="shared" ca="1" si="1631"/>
        <v>X</v>
      </c>
      <c r="HJ426" s="58" t="str">
        <f t="shared" ca="1" si="1632"/>
        <v>X</v>
      </c>
      <c r="HK426" s="58" t="str">
        <f t="shared" ca="1" si="1633"/>
        <v>X</v>
      </c>
      <c r="HL426" s="58" t="str">
        <f t="shared" ca="1" si="1634"/>
        <v>X</v>
      </c>
      <c r="HM426" s="58" t="str">
        <f t="shared" ca="1" si="1635"/>
        <v>X</v>
      </c>
      <c r="HN426" s="58" t="str">
        <f t="shared" ca="1" si="1636"/>
        <v>X</v>
      </c>
      <c r="HO426" s="58" t="str">
        <f t="shared" ca="1" si="1637"/>
        <v>X</v>
      </c>
      <c r="HP426" s="58" t="str">
        <f t="shared" ca="1" si="1638"/>
        <v>X</v>
      </c>
      <c r="HQ426" s="58" t="str">
        <f t="shared" ca="1" si="1639"/>
        <v>X</v>
      </c>
      <c r="HR426" s="58" t="str">
        <f t="shared" ca="1" si="1640"/>
        <v>X</v>
      </c>
      <c r="HS426" s="58" t="str">
        <f t="shared" ca="1" si="1641"/>
        <v>X</v>
      </c>
      <c r="HT426" s="58" t="str">
        <f t="shared" ca="1" si="1642"/>
        <v>X</v>
      </c>
      <c r="HU426" s="58" t="str">
        <f t="shared" ca="1" si="1643"/>
        <v>X</v>
      </c>
      <c r="HV426" s="58" t="str">
        <f t="shared" ca="1" si="1644"/>
        <v>X</v>
      </c>
      <c r="HW426" s="58" t="str">
        <f t="shared" ca="1" si="1645"/>
        <v>X</v>
      </c>
      <c r="HX426" s="58" t="str">
        <f t="shared" ca="1" si="1646"/>
        <v>X</v>
      </c>
      <c r="HY426" s="58" t="str">
        <f t="shared" ca="1" si="1647"/>
        <v>X</v>
      </c>
      <c r="HZ426" s="58" t="str">
        <f t="shared" ca="1" si="1648"/>
        <v>X</v>
      </c>
      <c r="IA426" s="58" t="str">
        <f t="shared" ca="1" si="1649"/>
        <v>X</v>
      </c>
      <c r="IB426" s="58" t="str">
        <f t="shared" ca="1" si="1650"/>
        <v>X</v>
      </c>
      <c r="IC426" s="58" t="str">
        <f t="shared" ca="1" si="1651"/>
        <v>X</v>
      </c>
      <c r="ID426" s="58" t="str">
        <f t="shared" ca="1" si="1652"/>
        <v>X</v>
      </c>
      <c r="IE426" s="58" t="str">
        <f t="shared" ca="1" si="1653"/>
        <v>X</v>
      </c>
      <c r="IF426" s="58" t="str">
        <f t="shared" ca="1" si="1654"/>
        <v>X</v>
      </c>
      <c r="IG426" s="58" t="str">
        <f t="shared" ca="1" si="1655"/>
        <v>X</v>
      </c>
      <c r="IH426" s="58" t="str">
        <f t="shared" ca="1" si="1656"/>
        <v>X</v>
      </c>
      <c r="II426" s="58" t="str">
        <f t="shared" ca="1" si="1657"/>
        <v>X</v>
      </c>
      <c r="IJ426" s="58" t="str">
        <f t="shared" ca="1" si="1658"/>
        <v>X</v>
      </c>
      <c r="IK426" s="58" t="str">
        <f t="shared" ca="1" si="1659"/>
        <v>X</v>
      </c>
      <c r="IL426" s="58" t="str">
        <f t="shared" ca="1" si="1660"/>
        <v>X</v>
      </c>
      <c r="IM426" s="58" t="str">
        <f t="shared" ca="1" si="1661"/>
        <v>X</v>
      </c>
      <c r="IN426" s="58" t="str">
        <f t="shared" ca="1" si="1662"/>
        <v>X</v>
      </c>
      <c r="IO426" s="58" t="str">
        <f t="shared" ca="1" si="1663"/>
        <v>X</v>
      </c>
      <c r="IP426" s="58" t="str">
        <f t="shared" ca="1" si="1664"/>
        <v>X</v>
      </c>
      <c r="IQ426" s="58" t="str">
        <f t="shared" ca="1" si="1665"/>
        <v>X</v>
      </c>
      <c r="IR426" s="58" t="str">
        <f t="shared" ca="1" si="1666"/>
        <v>X</v>
      </c>
      <c r="IS426" s="58" t="str">
        <f t="shared" ca="1" si="1667"/>
        <v>X</v>
      </c>
      <c r="IT426" s="58" t="str">
        <f t="shared" ca="1" si="1668"/>
        <v>X</v>
      </c>
      <c r="IU426" s="58" t="str">
        <f t="shared" ca="1" si="1669"/>
        <v>X</v>
      </c>
      <c r="IV426" s="58" t="str">
        <f t="shared" ca="1" si="1670"/>
        <v>X</v>
      </c>
      <c r="IW426" s="58" t="str">
        <f t="shared" ca="1" si="1671"/>
        <v>X</v>
      </c>
      <c r="IX426" s="58" t="str">
        <f t="shared" ca="1" si="1672"/>
        <v>X</v>
      </c>
      <c r="IY426" s="58" t="str">
        <f t="shared" ca="1" si="1673"/>
        <v>X</v>
      </c>
      <c r="IZ426" s="58" t="str">
        <f t="shared" ca="1" si="1674"/>
        <v>X</v>
      </c>
      <c r="JA426" s="58" t="str">
        <f t="shared" ca="1" si="1675"/>
        <v>X</v>
      </c>
      <c r="JB426" s="58" t="str">
        <f t="shared" ca="1" si="1676"/>
        <v>X</v>
      </c>
      <c r="JC426" s="58" t="str">
        <f t="shared" ca="1" si="1677"/>
        <v>X</v>
      </c>
      <c r="JD426" s="58" t="str">
        <f t="shared" ca="1" si="1678"/>
        <v>X</v>
      </c>
      <c r="JE426" s="58" t="str">
        <f t="shared" ca="1" si="1679"/>
        <v>X</v>
      </c>
      <c r="JF426" s="58" t="str">
        <f t="shared" ca="1" si="1680"/>
        <v>X</v>
      </c>
      <c r="JG426" s="58" t="str">
        <f t="shared" ca="1" si="1681"/>
        <v>X</v>
      </c>
      <c r="JH426" s="58" t="str">
        <f t="shared" ca="1" si="1682"/>
        <v>X</v>
      </c>
      <c r="JI426" s="58" t="str">
        <f t="shared" ca="1" si="1683"/>
        <v>X</v>
      </c>
      <c r="JJ426" s="58" t="str">
        <f t="shared" ca="1" si="1684"/>
        <v>X</v>
      </c>
      <c r="JK426" s="58" t="str">
        <f t="shared" ca="1" si="1685"/>
        <v>X</v>
      </c>
      <c r="JL426" s="58" t="str">
        <f t="shared" ca="1" si="1686"/>
        <v>X</v>
      </c>
      <c r="JM426" s="58" t="str">
        <f t="shared" ca="1" si="1687"/>
        <v>X</v>
      </c>
      <c r="JN426" s="58" t="str">
        <f t="shared" ca="1" si="1688"/>
        <v>X</v>
      </c>
      <c r="JO426" s="58" t="str">
        <f t="shared" ca="1" si="1689"/>
        <v>X</v>
      </c>
      <c r="JP426" s="58" t="str">
        <f t="shared" ca="1" si="1690"/>
        <v>X</v>
      </c>
      <c r="JQ426" s="58" t="str">
        <f t="shared" ca="1" si="1691"/>
        <v>X</v>
      </c>
      <c r="JR426" s="58" t="str">
        <f t="shared" ca="1" si="1692"/>
        <v>X</v>
      </c>
      <c r="JS426" s="58" t="str">
        <f t="shared" ca="1" si="1693"/>
        <v>X</v>
      </c>
      <c r="JT426" s="58" t="str">
        <f t="shared" ca="1" si="1694"/>
        <v>X</v>
      </c>
      <c r="JU426" s="58" t="str">
        <f t="shared" ca="1" si="1695"/>
        <v>X</v>
      </c>
      <c r="JV426" s="58" t="str">
        <f t="shared" ca="1" si="1696"/>
        <v>X</v>
      </c>
      <c r="JW426" s="58" t="str">
        <f t="shared" ca="1" si="1697"/>
        <v>X</v>
      </c>
      <c r="JX426" s="58" t="str">
        <f t="shared" ca="1" si="1698"/>
        <v>X</v>
      </c>
      <c r="JY426" s="58" t="str">
        <f t="shared" ca="1" si="1699"/>
        <v>X</v>
      </c>
      <c r="JZ426" s="58" t="str">
        <f t="shared" ca="1" si="1700"/>
        <v>X</v>
      </c>
      <c r="KA426" s="58" t="str">
        <f t="shared" ca="1" si="1701"/>
        <v>X</v>
      </c>
      <c r="KB426" s="58" t="str">
        <f t="shared" ca="1" si="1702"/>
        <v>X</v>
      </c>
      <c r="KC426" s="58" t="str">
        <f t="shared" ca="1" si="1703"/>
        <v>X</v>
      </c>
      <c r="KD426" s="58" t="str">
        <f t="shared" ca="1" si="1704"/>
        <v>X</v>
      </c>
      <c r="KE426" s="58" t="str">
        <f t="shared" ca="1" si="1705"/>
        <v>X</v>
      </c>
      <c r="KF426" s="58" t="str">
        <f t="shared" ca="1" si="1706"/>
        <v>X</v>
      </c>
      <c r="KG426" s="58" t="str">
        <f t="shared" ca="1" si="1707"/>
        <v>X</v>
      </c>
      <c r="KH426" s="58" t="str">
        <f t="shared" ca="1" si="1708"/>
        <v>X</v>
      </c>
      <c r="KI426" s="58" t="str">
        <f t="shared" ca="1" si="1709"/>
        <v>X</v>
      </c>
      <c r="KJ426" s="58" t="str">
        <f t="shared" ca="1" si="1710"/>
        <v>X</v>
      </c>
      <c r="KK426" s="58" t="str">
        <f t="shared" ca="1" si="1711"/>
        <v>X</v>
      </c>
      <c r="KL426" s="58" t="str">
        <f t="shared" ca="1" si="1712"/>
        <v>X</v>
      </c>
      <c r="KM426" s="58" t="str">
        <f t="shared" ca="1" si="1713"/>
        <v>X</v>
      </c>
      <c r="KN426" s="58" t="str">
        <f t="shared" ca="1" si="1714"/>
        <v>X</v>
      </c>
      <c r="KO426" s="58" t="str">
        <f t="shared" ca="1" si="1715"/>
        <v>X</v>
      </c>
      <c r="KP426" s="58" t="str">
        <f t="shared" ca="1" si="1716"/>
        <v>X</v>
      </c>
      <c r="KQ426" s="58" t="str">
        <f t="shared" ca="1" si="1717"/>
        <v>X</v>
      </c>
      <c r="KR426" s="58" t="str">
        <f t="shared" ca="1" si="1718"/>
        <v>X</v>
      </c>
      <c r="KS426" s="58" t="str">
        <f t="shared" ca="1" si="1719"/>
        <v>X</v>
      </c>
      <c r="KT426" s="58" t="str">
        <f t="shared" ca="1" si="1720"/>
        <v>X</v>
      </c>
      <c r="KU426" s="58" t="str">
        <f t="shared" ca="1" si="1721"/>
        <v>X</v>
      </c>
      <c r="KV426" s="58" t="str">
        <f t="shared" ca="1" si="1722"/>
        <v>X</v>
      </c>
      <c r="KW426" s="58" t="str">
        <f t="shared" ca="1" si="1723"/>
        <v>X</v>
      </c>
      <c r="KX426" s="58" t="str">
        <f t="shared" ca="1" si="1724"/>
        <v>X</v>
      </c>
      <c r="KY426" s="58" t="str">
        <f t="shared" ca="1" si="1725"/>
        <v>X</v>
      </c>
      <c r="KZ426" s="58" t="str">
        <f t="shared" ca="1" si="1726"/>
        <v>X</v>
      </c>
      <c r="LA426" s="58" t="str">
        <f t="shared" ca="1" si="1727"/>
        <v>X</v>
      </c>
      <c r="LB426" s="58" t="str">
        <f t="shared" ca="1" si="1728"/>
        <v>X</v>
      </c>
      <c r="LC426" s="58" t="str">
        <f t="shared" ca="1" si="1729"/>
        <v>X</v>
      </c>
      <c r="LD426" s="58" t="str">
        <f t="shared" ca="1" si="1730"/>
        <v>X</v>
      </c>
      <c r="LE426" s="58" t="str">
        <f t="shared" ca="1" si="1731"/>
        <v>X</v>
      </c>
      <c r="LF426" s="58" t="str">
        <f t="shared" ca="1" si="1732"/>
        <v>X</v>
      </c>
      <c r="LG426" s="58" t="str">
        <f t="shared" ca="1" si="1733"/>
        <v>X</v>
      </c>
      <c r="LH426" s="58" t="str">
        <f t="shared" ca="1" si="1734"/>
        <v>X</v>
      </c>
      <c r="LI426" s="58" t="str">
        <f t="shared" ca="1" si="1735"/>
        <v>X</v>
      </c>
      <c r="LJ426" s="58" t="str">
        <f t="shared" ca="1" si="1736"/>
        <v>X</v>
      </c>
      <c r="LK426" s="58" t="str">
        <f t="shared" ca="1" si="1737"/>
        <v>X</v>
      </c>
      <c r="LL426" s="58" t="str">
        <f t="shared" ca="1" si="1738"/>
        <v>X</v>
      </c>
      <c r="LM426" s="58" t="str">
        <f t="shared" ca="1" si="1739"/>
        <v>X</v>
      </c>
      <c r="LN426" s="58" t="str">
        <f t="shared" ca="1" si="1740"/>
        <v>X</v>
      </c>
      <c r="LO426" s="58" t="str">
        <f t="shared" ca="1" si="1741"/>
        <v>X</v>
      </c>
      <c r="LP426" s="58" t="str">
        <f t="shared" ca="1" si="1742"/>
        <v>X</v>
      </c>
      <c r="LQ426" s="58" t="str">
        <f t="shared" ca="1" si="1743"/>
        <v>X</v>
      </c>
      <c r="LR426" s="58" t="str">
        <f t="shared" ca="1" si="1744"/>
        <v>X</v>
      </c>
      <c r="LS426" s="58" t="str">
        <f t="shared" ca="1" si="1745"/>
        <v>X</v>
      </c>
      <c r="LT426" s="58" t="str">
        <f t="shared" ca="1" si="1746"/>
        <v>X</v>
      </c>
      <c r="LU426" s="58" t="str">
        <f t="shared" ca="1" si="1747"/>
        <v>X</v>
      </c>
      <c r="LV426" s="58" t="str">
        <f t="shared" ca="1" si="1748"/>
        <v>X</v>
      </c>
      <c r="LW426" s="58" t="str">
        <f t="shared" ca="1" si="1749"/>
        <v>X</v>
      </c>
      <c r="LX426" s="58" t="str">
        <f t="shared" ca="1" si="1750"/>
        <v>X</v>
      </c>
      <c r="LY426" s="58" t="str">
        <f t="shared" ca="1" si="1751"/>
        <v>X</v>
      </c>
      <c r="LZ426" s="58" t="str">
        <f t="shared" ca="1" si="1752"/>
        <v>X</v>
      </c>
      <c r="MA426" s="58" t="str">
        <f t="shared" ca="1" si="1753"/>
        <v>X</v>
      </c>
      <c r="MB426" s="58" t="str">
        <f t="shared" ca="1" si="1754"/>
        <v>X</v>
      </c>
      <c r="MC426" s="58" t="str">
        <f t="shared" ca="1" si="1755"/>
        <v>X</v>
      </c>
      <c r="MD426" s="58" t="str">
        <f t="shared" ca="1" si="1756"/>
        <v>X</v>
      </c>
      <c r="ME426" s="58" t="str">
        <f t="shared" ca="1" si="1757"/>
        <v>X</v>
      </c>
      <c r="MF426" s="58" t="str">
        <f t="shared" ca="1" si="1758"/>
        <v>X</v>
      </c>
      <c r="MG426" s="58" t="str">
        <f t="shared" ca="1" si="1759"/>
        <v>X</v>
      </c>
      <c r="MH426" s="58" t="str">
        <f t="shared" ca="1" si="1760"/>
        <v>X</v>
      </c>
      <c r="MI426" s="58" t="str">
        <f t="shared" ca="1" si="1761"/>
        <v>X</v>
      </c>
      <c r="MJ426" s="58" t="str">
        <f t="shared" ca="1" si="1762"/>
        <v>X</v>
      </c>
      <c r="MK426" s="58" t="str">
        <f t="shared" ca="1" si="1763"/>
        <v>X</v>
      </c>
      <c r="ML426" s="58" t="str">
        <f t="shared" ca="1" si="1764"/>
        <v>X</v>
      </c>
      <c r="MM426" s="58" t="str">
        <f t="shared" ca="1" si="1765"/>
        <v>X</v>
      </c>
      <c r="MN426" s="58" t="str">
        <f t="shared" ca="1" si="1766"/>
        <v>X</v>
      </c>
      <c r="MO426" s="58" t="str">
        <f t="shared" ca="1" si="1767"/>
        <v>X</v>
      </c>
      <c r="MP426" s="58" t="str">
        <f t="shared" ca="1" si="1768"/>
        <v>X</v>
      </c>
      <c r="MQ426" s="58" t="str">
        <f t="shared" ca="1" si="1769"/>
        <v>X</v>
      </c>
      <c r="MR426" s="58" t="str">
        <f t="shared" ca="1" si="1770"/>
        <v>X</v>
      </c>
      <c r="MS426" s="58" t="str">
        <f t="shared" ca="1" si="1771"/>
        <v>X</v>
      </c>
      <c r="MT426" s="58" t="str">
        <f t="shared" ref="MT426:NE426" ca="1" si="1841">IF($K426=INDIRECT(CONCATENATE("$AG$"&amp;GH$392)),INDIRECT(CONCATENATE("$AG$"&amp;GH$391)),
IF($K426=INDIRECT(CONCATENATE("$AF$"&amp;GH$392)),INDIRECT(CONCATENATE("$AF$"&amp;GH$391)),
IF($K426=INDIRECT(CONCATENATE("$AE$"&amp;GH$392)),INDIRECT(CONCATENATE("$AE$"&amp;GH$391)),
IF($K426=INDIRECT(CONCATENATE("$AD$"&amp;GH$392)),INDIRECT(CONCATENATE("$AD$"&amp;GH$391)),
IF($K426=INDIRECT(CONCATENATE("$AC$"&amp;GH$392)),INDIRECT(CONCATENATE("$AC$"&amp;GH$391)),
IF($K426=INDIRECT(CONCATENATE("$AB$"&amp;GH$392)),INDIRECT(CONCATENATE("$AB$"&amp;GH$391)),
IF($K426=INDIRECT(CONCATENATE("$AA$"&amp;GH$392)),INDIRECT(CONCATENATE("$AA$"&amp;GH$391)),
IF($K426=INDIRECT(CONCATENATE("$Z$"&amp;GH$392)),INDIRECT(CONCATENATE("$Z$"&amp;GH$391)),
IF($K426=INDIRECT(CONCATENATE("$Y$"&amp;GH$392)),INDIRECT(CONCATENATE("$Y$"&amp;GH$391)),
IF($K426=INDIRECT(CONCATENATE("$X$"&amp;GH$392)),INDIRECT(CONCATENATE("$X$"&amp;GH$391)),
IF($K426=INDIRECT(CONCATENATE("$W$"&amp;GH$392)),INDIRECT(CONCATENATE("$W$"&amp;GH$391)),
IF($K426=INDIRECT(CONCATENATE("$V$"&amp;GH$392)),INDIRECT(CONCATENATE("$V$"&amp;GH$391)),
IF($K426=INDIRECT(CONCATENATE("$U$"&amp;GH$392)),INDIRECT(CONCATENATE("$U$"&amp;GH$391)),
IF($K426=INDIRECT(CONCATENATE("$T$"&amp;GH$392)),INDIRECT(CONCATENATE("$T$"&amp;GH$391)),
IF($K426=INDIRECT(CONCATENATE("$S$"&amp;GH$392)),INDIRECT(CONCATENATE("$S$"&amp;GH$391)),
IF($K426=INDIRECT(CONCATENATE("$R$"&amp;GH$392)),INDIRECT(CONCATENATE("$R$"&amp;GH$391)),
IF($K426=INDIRECT(CONCATENATE("$Q$"&amp;GH$392)),INDIRECT(CONCATENATE("$Q$"&amp;GH$391)),
IF($K426=INDIRECT(CONCATENATE("$P$"&amp;GH$392)),INDIRECT(CONCATENATE("$P$"&amp;GH$391)),
IF($K426=INDIRECT(CONCATENATE("$O$"&amp;GH$392)),INDIRECT(CONCATENATE("$O$"&amp;GH$391)),
IF($K426=INDIRECT(CONCATENATE("$N$"&amp;GH$392)),INDIRECT(CONCATENATE("$N$"&amp;GH$391)),
IF($K426=INDIRECT(CONCATENATE("$M$"&amp;GH$392)),INDIRECT(CONCATENATE("$M$"&amp;GH$391)),
IF($K426=INDIRECT(CONCATENATE("$L$"&amp;GH$392)),INDIRECT(CONCATENATE("$L$"&amp;GH$391)),
IF($K426=INDIRECT(CONCATENATE("$K$"&amp;GH$392)),INDIRECT(CONCATENATE("$K$"&amp;GH$391)),
IF($K426=INDIRECT(CONCATENATE("$J$"&amp;GH$392)),INDIRECT(CONCATENATE("$J$"&amp;GH$391)),
IF($K426=INDIRECT(CONCATENATE("$I$"&amp;GH$392)),INDIRECT(CONCATENATE("$I$"&amp;GH$391)),
IF($K426=INDIRECT(CONCATENATE("$H$"&amp;GH$392)),INDIRECT(CONCATENATE("$H$"&amp;GH$391)),
IF($K426=INDIRECT(CONCATENATE("$G$"&amp;GH$392)),INDIRECT(CONCATENATE("$G$"&amp;GH$391)),
IF($K426=INDIRECT(CONCATENATE("$F$"&amp;GH$392)),INDIRECT(CONCATENATE("$F$"&amp;GH$391)),
IF($K426=INDIRECT(CONCATENATE("$E$"&amp;GH$392)),INDIRECT(CONCATENATE("$E$"&amp;GH$391)),
IF($K426=INDIRECT(CONCATENATE("$D$"&amp;GH$392)),INDIRECT(CONCATENATE("$D$"&amp;GH$391)),
IF($K426=INDIRECT(CONCATENATE("$C$"&amp;GH$392)),INDIRECT(CONCATENATE("$C$"&amp;GH$391)),"X")))))))))))))))))))))))))))))))</f>
        <v>X</v>
      </c>
      <c r="MU426" s="58" t="str">
        <f t="shared" ca="1" si="1841"/>
        <v>X</v>
      </c>
      <c r="MV426" s="58" t="str">
        <f t="shared" ca="1" si="1841"/>
        <v>X</v>
      </c>
      <c r="MW426" s="58" t="str">
        <f t="shared" ca="1" si="1841"/>
        <v>X</v>
      </c>
      <c r="MX426" s="58" t="str">
        <f t="shared" ca="1" si="1841"/>
        <v>X</v>
      </c>
      <c r="MY426" s="58" t="str">
        <f t="shared" ca="1" si="1841"/>
        <v>X</v>
      </c>
      <c r="MZ426" s="58" t="str">
        <f t="shared" ca="1" si="1841"/>
        <v>X</v>
      </c>
      <c r="NA426" s="58" t="str">
        <f t="shared" ca="1" si="1841"/>
        <v>X</v>
      </c>
      <c r="NB426" s="58" t="str">
        <f t="shared" ca="1" si="1841"/>
        <v>X</v>
      </c>
      <c r="NC426" s="58" t="str">
        <f t="shared" ca="1" si="1841"/>
        <v>X</v>
      </c>
      <c r="ND426" s="58" t="str">
        <f t="shared" ca="1" si="1841"/>
        <v>X</v>
      </c>
      <c r="NE426" s="58" t="str">
        <f t="shared" ca="1" si="1841"/>
        <v>X</v>
      </c>
      <c r="NF426" s="58" t="str">
        <f t="shared" ca="1" si="1773"/>
        <v>X</v>
      </c>
      <c r="NG426" s="58" t="str">
        <f t="shared" ca="1" si="1774"/>
        <v>X</v>
      </c>
    </row>
    <row r="427" spans="1:371" ht="18" customHeight="1">
      <c r="A427" s="241"/>
      <c r="B427" s="304"/>
      <c r="C427" s="304"/>
      <c r="D427" s="304"/>
      <c r="E427" s="304"/>
      <c r="F427" s="304"/>
      <c r="G427" s="304"/>
      <c r="H427" s="304"/>
      <c r="I427" s="304"/>
      <c r="J427" s="303"/>
      <c r="K427" s="237" t="s">
        <v>84</v>
      </c>
      <c r="L427" s="303"/>
      <c r="M427" s="60"/>
      <c r="N427" s="225"/>
      <c r="O427" s="304"/>
      <c r="P427" s="304"/>
      <c r="Q427" s="304"/>
      <c r="R427" s="303"/>
      <c r="S427" s="226"/>
      <c r="T427" s="304"/>
      <c r="U427" s="303"/>
      <c r="V427" s="227"/>
      <c r="W427" s="303"/>
      <c r="X427" s="56" t="str">
        <f t="shared" ca="1" si="1775"/>
        <v>-</v>
      </c>
      <c r="Y427" s="56" t="str">
        <f t="shared" ca="1" si="1776"/>
        <v>-</v>
      </c>
      <c r="Z427" s="228" t="str">
        <f t="shared" ca="1" si="1612"/>
        <v/>
      </c>
      <c r="AA427" s="304"/>
      <c r="AB427" s="303"/>
      <c r="AC427" s="224">
        <f t="shared" si="1777"/>
        <v>0</v>
      </c>
      <c r="AD427" s="303"/>
      <c r="AE427" s="229">
        <f t="shared" si="1778"/>
        <v>0</v>
      </c>
      <c r="AF427" s="303"/>
      <c r="AG427" s="57" t="str">
        <f t="shared" si="1615"/>
        <v/>
      </c>
      <c r="AH427" s="21"/>
      <c r="AI427" s="70"/>
      <c r="AJ427" s="58" t="str">
        <f t="shared" ref="AJ427:GT427" ca="1" si="1842">IF($K427=INDIRECT(CONCATENATE("$C$"&amp;AJ$392)), INDIRECT(CONCATENATE("$C$"&amp;AJ$391)),
IF($K427=INDIRECT(CONCATENATE("$D$"&amp;AJ$392)), INDIRECT(CONCATENATE("$D$"&amp;AJ$391)),
IF($K427=INDIRECT(CONCATENATE("$E$"&amp;AJ$392)), INDIRECT(CONCATENATE("$E$"&amp;AJ$391)),
IF($K427=INDIRECT(CONCATENATE("$F$"&amp;AJ$392)), INDIRECT(CONCATENATE("$F$"&amp;AJ$391)),
IF($K427=INDIRECT(CONCATENATE("$G$"&amp;AJ$392)), INDIRECT(CONCATENATE("$G$"&amp;AJ$391)),
IF($K427=INDIRECT(CONCATENATE("$H$"&amp;AJ$392)), INDIRECT(CONCATENATE("$H$"&amp;AJ$391)),
IF($K427=INDIRECT(CONCATENATE("$I$"&amp;AJ$392)), INDIRECT(CONCATENATE("$I$"&amp;AJ$391)),
IF($K427=INDIRECT(CONCATENATE("$J$"&amp;AJ$392)), INDIRECT(CONCATENATE("$J$"&amp;AJ$391)),
IF($K427=INDIRECT(CONCATENATE("$K$"&amp;AJ$392)), INDIRECT(CONCATENATE("$K$"&amp;AJ$391)),
IF($K427=INDIRECT(CONCATENATE("$L$"&amp;AJ$392)), INDIRECT(CONCATENATE("$L$"&amp;AJ$391)),
IF($K427=INDIRECT(CONCATENATE("$M$"&amp;AJ$392)), INDIRECT(CONCATENATE("$M$"&amp;AJ$391)),
IF($K427=INDIRECT(CONCATENATE("$N$"&amp;AJ$392)), INDIRECT(CONCATENATE("$N$"&amp;AJ$391)),
IF($K427=INDIRECT(CONCATENATE("$O$"&amp;AJ$392)), INDIRECT(CONCATENATE("$O$"&amp;AJ$391)),
IF($K427=INDIRECT(CONCATENATE("$P$"&amp;AJ$392)), INDIRECT(CONCATENATE("$P$"&amp;AJ$391)),
IF($K427=INDIRECT(CONCATENATE("$Q$"&amp;AJ$392)), INDIRECT(CONCATENATE("$Q$"&amp;AJ$391)),
IF($K427=INDIRECT(CONCATENATE("$R$"&amp;AJ$392)), INDIRECT(CONCATENATE("$R$"&amp;AJ$391)),
IF($K427=INDIRECT(CONCATENATE("$S$"&amp;AJ$392)), INDIRECT(CONCATENATE("$S$"&amp;AJ$391)),
IF($K427=INDIRECT(CONCATENATE("$T$"&amp;AJ$392)), INDIRECT(CONCATENATE("$T$"&amp;AJ$391)),
IF($K427=INDIRECT(CONCATENATE("$U$"&amp;AJ$392)), INDIRECT(CONCATENATE("$U$"&amp;AJ$391)),
IF($K427=INDIRECT(CONCATENATE("$V$"&amp;AJ$392)), INDIRECT(CONCATENATE("$V$"&amp;AJ$391)),
IF($K427=INDIRECT(CONCATENATE("$W$"&amp;AJ$392)), INDIRECT(CONCATENATE("$W$"&amp;AJ$391)),
IF($K427=INDIRECT(CONCATENATE("$X$"&amp;AJ$392)), INDIRECT(CONCATENATE("$X$"&amp;AJ$391)),
IF($K427=INDIRECT(CONCATENATE("$Y$"&amp;AJ$392)), INDIRECT(CONCATENATE("$Y$"&amp;AJ$391)),
IF($K427=INDIRECT(CONCATENATE("$Z$"&amp;AJ$392)), INDIRECT(CONCATENATE("$Z$"&amp;AJ$391)),
IF($K427=INDIRECT(CONCATENATE("$AA$"&amp;AJ$392)), INDIRECT(CONCATENATE("$AA$"&amp;AJ$391)),
IF($K427=INDIRECT(CONCATENATE("$AB$"&amp;AJ$392)), INDIRECT(CONCATENATE("$AB$"&amp;AJ$391)),
IF($K427=INDIRECT(CONCATENATE("$AC$"&amp;AJ$392)), INDIRECT(CONCATENATE("$AC$"&amp;AJ$391)),
IF($K427=INDIRECT(CONCATENATE("$AD$"&amp;AJ$392)), INDIRECT(CONCATENATE("$AD$"&amp;AJ$391)),
IF($K427=INDIRECT(CONCATENATE("$AE$"&amp;AJ$392)), INDIRECT(CONCATENATE("$AE$"&amp;AJ$391)),
IF($K427=INDIRECT(CONCATENATE("$AF$"&amp;AJ$392)), INDIRECT(CONCATENATE("$AF$"&amp;AJ$391)),
IF($K427=INDIRECT(CONCATENATE("$AG$"&amp;AJ$392)), INDIRECT(CONCATENATE("$AG$"&amp;AJ$391)),"X")))))))))))))))))))))))))))))))</f>
        <v>X</v>
      </c>
      <c r="AK427" s="58" t="str">
        <f t="shared" ca="1" si="1842"/>
        <v>X</v>
      </c>
      <c r="AL427" s="58" t="str">
        <f t="shared" ca="1" si="1842"/>
        <v>X</v>
      </c>
      <c r="AM427" s="58" t="str">
        <f t="shared" ca="1" si="1842"/>
        <v>X</v>
      </c>
      <c r="AN427" s="58" t="str">
        <f t="shared" ca="1" si="1842"/>
        <v>X</v>
      </c>
      <c r="AO427" s="58" t="str">
        <f t="shared" ca="1" si="1842"/>
        <v>X</v>
      </c>
      <c r="AP427" s="58" t="str">
        <f t="shared" ca="1" si="1842"/>
        <v>X</v>
      </c>
      <c r="AQ427" s="58" t="str">
        <f t="shared" ca="1" si="1842"/>
        <v>X</v>
      </c>
      <c r="AR427" s="58" t="str">
        <f t="shared" ca="1" si="1842"/>
        <v>X</v>
      </c>
      <c r="AS427" s="58" t="str">
        <f t="shared" ca="1" si="1842"/>
        <v>X</v>
      </c>
      <c r="AT427" s="58" t="str">
        <f t="shared" ca="1" si="1842"/>
        <v>X</v>
      </c>
      <c r="AU427" s="58" t="str">
        <f t="shared" ca="1" si="1842"/>
        <v>X</v>
      </c>
      <c r="AV427" s="58" t="str">
        <f t="shared" ca="1" si="1842"/>
        <v>X</v>
      </c>
      <c r="AW427" s="58" t="str">
        <f t="shared" ca="1" si="1842"/>
        <v>X</v>
      </c>
      <c r="AX427" s="58" t="str">
        <f t="shared" ca="1" si="1842"/>
        <v>X</v>
      </c>
      <c r="AY427" s="58" t="str">
        <f t="shared" ca="1" si="1842"/>
        <v>X</v>
      </c>
      <c r="AZ427" s="58" t="str">
        <f t="shared" ca="1" si="1842"/>
        <v>X</v>
      </c>
      <c r="BA427" s="58" t="str">
        <f t="shared" ca="1" si="1842"/>
        <v>X</v>
      </c>
      <c r="BB427" s="58" t="str">
        <f t="shared" ca="1" si="1842"/>
        <v>X</v>
      </c>
      <c r="BC427" s="58" t="str">
        <f t="shared" ca="1" si="1842"/>
        <v>X</v>
      </c>
      <c r="BD427" s="58" t="str">
        <f t="shared" ca="1" si="1842"/>
        <v>X</v>
      </c>
      <c r="BE427" s="58" t="str">
        <f t="shared" ca="1" si="1842"/>
        <v>X</v>
      </c>
      <c r="BF427" s="58" t="str">
        <f t="shared" ca="1" si="1842"/>
        <v>X</v>
      </c>
      <c r="BG427" s="58" t="str">
        <f t="shared" ca="1" si="1842"/>
        <v>X</v>
      </c>
      <c r="BH427" s="58" t="str">
        <f t="shared" ca="1" si="1842"/>
        <v>X</v>
      </c>
      <c r="BI427" s="58" t="str">
        <f t="shared" ca="1" si="1842"/>
        <v>X</v>
      </c>
      <c r="BJ427" s="58" t="str">
        <f t="shared" ca="1" si="1842"/>
        <v>X</v>
      </c>
      <c r="BK427" s="58" t="str">
        <f t="shared" ca="1" si="1842"/>
        <v>X</v>
      </c>
      <c r="BL427" s="58" t="str">
        <f t="shared" ca="1" si="1842"/>
        <v>X</v>
      </c>
      <c r="BM427" s="58" t="str">
        <f t="shared" ca="1" si="1842"/>
        <v>X</v>
      </c>
      <c r="BN427" s="58" t="str">
        <f t="shared" ca="1" si="1842"/>
        <v>X</v>
      </c>
      <c r="BO427" s="58" t="str">
        <f t="shared" ca="1" si="1842"/>
        <v>X</v>
      </c>
      <c r="BP427" s="58" t="str">
        <f t="shared" ca="1" si="1842"/>
        <v>X</v>
      </c>
      <c r="BQ427" s="58" t="str">
        <f t="shared" ca="1" si="1842"/>
        <v>X</v>
      </c>
      <c r="BR427" s="58" t="str">
        <f t="shared" ca="1" si="1842"/>
        <v>X</v>
      </c>
      <c r="BS427" s="58" t="str">
        <f t="shared" ca="1" si="1842"/>
        <v>X</v>
      </c>
      <c r="BT427" s="58" t="str">
        <f t="shared" ca="1" si="1842"/>
        <v>X</v>
      </c>
      <c r="BU427" s="58" t="str">
        <f t="shared" ca="1" si="1842"/>
        <v>X</v>
      </c>
      <c r="BV427" s="58" t="str">
        <f t="shared" ca="1" si="1842"/>
        <v>X</v>
      </c>
      <c r="BW427" s="58" t="str">
        <f t="shared" ca="1" si="1842"/>
        <v>X</v>
      </c>
      <c r="BX427" s="58" t="str">
        <f t="shared" ca="1" si="1842"/>
        <v>X</v>
      </c>
      <c r="BY427" s="58" t="str">
        <f t="shared" ca="1" si="1842"/>
        <v>X</v>
      </c>
      <c r="BZ427" s="58" t="str">
        <f t="shared" ca="1" si="1842"/>
        <v>X</v>
      </c>
      <c r="CA427" s="58" t="str">
        <f t="shared" ca="1" si="1842"/>
        <v>X</v>
      </c>
      <c r="CB427" s="58" t="str">
        <f t="shared" ca="1" si="1842"/>
        <v>X</v>
      </c>
      <c r="CC427" s="58" t="str">
        <f t="shared" ca="1" si="1842"/>
        <v>X</v>
      </c>
      <c r="CD427" s="58" t="str">
        <f t="shared" ca="1" si="1842"/>
        <v>X</v>
      </c>
      <c r="CE427" s="58" t="str">
        <f t="shared" ca="1" si="1842"/>
        <v>X</v>
      </c>
      <c r="CF427" s="58" t="str">
        <f t="shared" ca="1" si="1842"/>
        <v>X</v>
      </c>
      <c r="CG427" s="58" t="str">
        <f t="shared" ca="1" si="1842"/>
        <v>X</v>
      </c>
      <c r="CH427" s="58" t="str">
        <f t="shared" ca="1" si="1842"/>
        <v>X</v>
      </c>
      <c r="CI427" s="58" t="str">
        <f t="shared" ca="1" si="1842"/>
        <v>X</v>
      </c>
      <c r="CJ427" s="58" t="str">
        <f t="shared" ca="1" si="1842"/>
        <v>X</v>
      </c>
      <c r="CK427" s="58" t="str">
        <f t="shared" ca="1" si="1842"/>
        <v>X</v>
      </c>
      <c r="CL427" s="58" t="str">
        <f t="shared" ca="1" si="1842"/>
        <v>X</v>
      </c>
      <c r="CM427" s="58" t="str">
        <f t="shared" ca="1" si="1842"/>
        <v>X</v>
      </c>
      <c r="CN427" s="58" t="str">
        <f t="shared" ca="1" si="1842"/>
        <v>X</v>
      </c>
      <c r="CO427" s="58" t="str">
        <f t="shared" ca="1" si="1842"/>
        <v>X</v>
      </c>
      <c r="CP427" s="58" t="str">
        <f t="shared" ca="1" si="1842"/>
        <v>X</v>
      </c>
      <c r="CQ427" s="58" t="str">
        <f t="shared" ca="1" si="1842"/>
        <v>X</v>
      </c>
      <c r="CR427" s="58" t="str">
        <f t="shared" ca="1" si="1842"/>
        <v>X</v>
      </c>
      <c r="CS427" s="58" t="str">
        <f t="shared" ca="1" si="1842"/>
        <v>X</v>
      </c>
      <c r="CT427" s="58" t="str">
        <f t="shared" ca="1" si="1842"/>
        <v>X</v>
      </c>
      <c r="CU427" s="58" t="str">
        <f t="shared" ca="1" si="1842"/>
        <v>X</v>
      </c>
      <c r="CV427" s="58" t="str">
        <f t="shared" ca="1" si="1842"/>
        <v>X</v>
      </c>
      <c r="CW427" s="58" t="str">
        <f t="shared" ca="1" si="1842"/>
        <v>X</v>
      </c>
      <c r="CX427" s="58" t="str">
        <f t="shared" ca="1" si="1842"/>
        <v>X</v>
      </c>
      <c r="CY427" s="58" t="str">
        <f t="shared" ca="1" si="1842"/>
        <v>X</v>
      </c>
      <c r="CZ427" s="58" t="str">
        <f t="shared" ca="1" si="1842"/>
        <v>X</v>
      </c>
      <c r="DA427" s="58" t="str">
        <f t="shared" ca="1" si="1842"/>
        <v>X</v>
      </c>
      <c r="DB427" s="58" t="str">
        <f t="shared" ca="1" si="1842"/>
        <v>X</v>
      </c>
      <c r="DC427" s="58" t="str">
        <f t="shared" ca="1" si="1842"/>
        <v>X</v>
      </c>
      <c r="DD427" s="58" t="str">
        <f t="shared" ca="1" si="1842"/>
        <v>X</v>
      </c>
      <c r="DE427" s="58" t="str">
        <f t="shared" ca="1" si="1842"/>
        <v>X</v>
      </c>
      <c r="DF427" s="58" t="str">
        <f t="shared" ca="1" si="1842"/>
        <v>X</v>
      </c>
      <c r="DG427" s="58" t="str">
        <f t="shared" ca="1" si="1842"/>
        <v>X</v>
      </c>
      <c r="DH427" s="58" t="str">
        <f t="shared" ca="1" si="1842"/>
        <v>X</v>
      </c>
      <c r="DI427" s="58" t="str">
        <f t="shared" ca="1" si="1842"/>
        <v>X</v>
      </c>
      <c r="DJ427" s="58" t="str">
        <f t="shared" ca="1" si="1842"/>
        <v>X</v>
      </c>
      <c r="DK427" s="58" t="str">
        <f t="shared" ca="1" si="1842"/>
        <v>X</v>
      </c>
      <c r="DL427" s="58" t="str">
        <f t="shared" ca="1" si="1842"/>
        <v>X</v>
      </c>
      <c r="DM427" s="58" t="str">
        <f t="shared" ca="1" si="1842"/>
        <v>X</v>
      </c>
      <c r="DN427" s="58" t="str">
        <f t="shared" ca="1" si="1842"/>
        <v>X</v>
      </c>
      <c r="DO427" s="58" t="str">
        <f t="shared" ca="1" si="1842"/>
        <v>X</v>
      </c>
      <c r="DP427" s="58" t="str">
        <f t="shared" ca="1" si="1842"/>
        <v>X</v>
      </c>
      <c r="DQ427" s="58" t="str">
        <f t="shared" ca="1" si="1842"/>
        <v>X</v>
      </c>
      <c r="DR427" s="58" t="str">
        <f t="shared" ca="1" si="1842"/>
        <v>X</v>
      </c>
      <c r="DS427" s="58" t="str">
        <f t="shared" ca="1" si="1842"/>
        <v>X</v>
      </c>
      <c r="DT427" s="58" t="str">
        <f t="shared" ca="1" si="1842"/>
        <v>X</v>
      </c>
      <c r="DU427" s="58" t="str">
        <f t="shared" ca="1" si="1842"/>
        <v>X</v>
      </c>
      <c r="DV427" s="58" t="str">
        <f t="shared" ca="1" si="1842"/>
        <v>X</v>
      </c>
      <c r="DW427" s="58" t="str">
        <f t="shared" ca="1" si="1842"/>
        <v>X</v>
      </c>
      <c r="DX427" s="58" t="str">
        <f t="shared" ca="1" si="1842"/>
        <v>X</v>
      </c>
      <c r="DY427" s="58" t="str">
        <f t="shared" ca="1" si="1842"/>
        <v>X</v>
      </c>
      <c r="DZ427" s="58" t="str">
        <f t="shared" ca="1" si="1842"/>
        <v>X</v>
      </c>
      <c r="EA427" s="58" t="str">
        <f t="shared" ca="1" si="1842"/>
        <v>X</v>
      </c>
      <c r="EB427" s="58" t="str">
        <f t="shared" ca="1" si="1842"/>
        <v>X</v>
      </c>
      <c r="EC427" s="58" t="str">
        <f t="shared" ca="1" si="1842"/>
        <v>X</v>
      </c>
      <c r="ED427" s="58" t="str">
        <f t="shared" ca="1" si="1842"/>
        <v>X</v>
      </c>
      <c r="EE427" s="58" t="str">
        <f t="shared" ca="1" si="1842"/>
        <v>X</v>
      </c>
      <c r="EF427" s="58" t="str">
        <f t="shared" ca="1" si="1842"/>
        <v>X</v>
      </c>
      <c r="EG427" s="58" t="str">
        <f t="shared" ca="1" si="1842"/>
        <v>X</v>
      </c>
      <c r="EH427" s="58" t="str">
        <f t="shared" ca="1" si="1842"/>
        <v>X</v>
      </c>
      <c r="EI427" s="58" t="str">
        <f t="shared" ca="1" si="1842"/>
        <v>X</v>
      </c>
      <c r="EJ427" s="58" t="str">
        <f t="shared" ca="1" si="1842"/>
        <v>X</v>
      </c>
      <c r="EK427" s="58" t="str">
        <f t="shared" ca="1" si="1842"/>
        <v>X</v>
      </c>
      <c r="EL427" s="58" t="str">
        <f t="shared" ca="1" si="1842"/>
        <v>X</v>
      </c>
      <c r="EM427" s="58" t="str">
        <f t="shared" ca="1" si="1842"/>
        <v>X</v>
      </c>
      <c r="EN427" s="58" t="str">
        <f t="shared" ca="1" si="1842"/>
        <v>X</v>
      </c>
      <c r="EO427" s="58" t="str">
        <f t="shared" ca="1" si="1842"/>
        <v>X</v>
      </c>
      <c r="EP427" s="58" t="str">
        <f t="shared" ca="1" si="1842"/>
        <v>X</v>
      </c>
      <c r="EQ427" s="58" t="str">
        <f t="shared" ca="1" si="1842"/>
        <v>X</v>
      </c>
      <c r="ER427" s="58" t="str">
        <f t="shared" ca="1" si="1842"/>
        <v>X</v>
      </c>
      <c r="ES427" s="58" t="str">
        <f t="shared" ca="1" si="1842"/>
        <v>X</v>
      </c>
      <c r="ET427" s="58" t="str">
        <f t="shared" ca="1" si="1842"/>
        <v>X</v>
      </c>
      <c r="EU427" s="58" t="str">
        <f t="shared" ca="1" si="1842"/>
        <v>X</v>
      </c>
      <c r="EV427" s="58" t="str">
        <f t="shared" ca="1" si="1842"/>
        <v>X</v>
      </c>
      <c r="EW427" s="58" t="str">
        <f t="shared" ca="1" si="1842"/>
        <v>X</v>
      </c>
      <c r="EX427" s="58" t="str">
        <f t="shared" ca="1" si="1842"/>
        <v>X</v>
      </c>
      <c r="EY427" s="58" t="str">
        <f t="shared" ca="1" si="1842"/>
        <v>X</v>
      </c>
      <c r="EZ427" s="58" t="str">
        <f t="shared" ca="1" si="1842"/>
        <v>X</v>
      </c>
      <c r="FA427" s="58" t="str">
        <f t="shared" ca="1" si="1842"/>
        <v>X</v>
      </c>
      <c r="FB427" s="58" t="str">
        <f t="shared" ca="1" si="1842"/>
        <v>X</v>
      </c>
      <c r="FC427" s="58" t="str">
        <f t="shared" ca="1" si="1842"/>
        <v>X</v>
      </c>
      <c r="FD427" s="58" t="str">
        <f t="shared" ca="1" si="1842"/>
        <v>X</v>
      </c>
      <c r="FE427" s="58" t="str">
        <f t="shared" ca="1" si="1842"/>
        <v>X</v>
      </c>
      <c r="FF427" s="58" t="str">
        <f t="shared" ca="1" si="1842"/>
        <v>X</v>
      </c>
      <c r="FG427" s="58" t="str">
        <f t="shared" ca="1" si="1842"/>
        <v>X</v>
      </c>
      <c r="FH427" s="58" t="str">
        <f t="shared" ca="1" si="1842"/>
        <v>X</v>
      </c>
      <c r="FI427" s="58" t="str">
        <f t="shared" ca="1" si="1842"/>
        <v>X</v>
      </c>
      <c r="FJ427" s="58" t="str">
        <f t="shared" ca="1" si="1842"/>
        <v>X</v>
      </c>
      <c r="FK427" s="58" t="str">
        <f t="shared" ca="1" si="1842"/>
        <v>X</v>
      </c>
      <c r="FL427" s="58" t="str">
        <f t="shared" ca="1" si="1842"/>
        <v>X</v>
      </c>
      <c r="FM427" s="58" t="str">
        <f t="shared" ca="1" si="1842"/>
        <v>X</v>
      </c>
      <c r="FN427" s="58" t="str">
        <f t="shared" ca="1" si="1842"/>
        <v>X</v>
      </c>
      <c r="FO427" s="58" t="str">
        <f t="shared" ca="1" si="1842"/>
        <v>X</v>
      </c>
      <c r="FP427" s="58" t="str">
        <f t="shared" ca="1" si="1842"/>
        <v>X</v>
      </c>
      <c r="FQ427" s="58" t="str">
        <f t="shared" ca="1" si="1842"/>
        <v>X</v>
      </c>
      <c r="FR427" s="58" t="str">
        <f t="shared" ca="1" si="1842"/>
        <v>X</v>
      </c>
      <c r="FS427" s="58" t="str">
        <f t="shared" ca="1" si="1842"/>
        <v>X</v>
      </c>
      <c r="FT427" s="58" t="str">
        <f t="shared" ca="1" si="1842"/>
        <v>X</v>
      </c>
      <c r="FU427" s="58" t="str">
        <f t="shared" ca="1" si="1842"/>
        <v>X</v>
      </c>
      <c r="FV427" s="58" t="str">
        <f t="shared" ca="1" si="1842"/>
        <v>X</v>
      </c>
      <c r="FW427" s="58" t="str">
        <f t="shared" ca="1" si="1842"/>
        <v>X</v>
      </c>
      <c r="FX427" s="58" t="str">
        <f t="shared" ca="1" si="1842"/>
        <v>X</v>
      </c>
      <c r="FY427" s="58" t="str">
        <f t="shared" ca="1" si="1842"/>
        <v>X</v>
      </c>
      <c r="FZ427" s="58" t="str">
        <f t="shared" ca="1" si="1842"/>
        <v>X</v>
      </c>
      <c r="GA427" s="58" t="str">
        <f t="shared" ca="1" si="1842"/>
        <v>X</v>
      </c>
      <c r="GB427" s="58" t="str">
        <f t="shared" ca="1" si="1842"/>
        <v>X</v>
      </c>
      <c r="GC427" s="58" t="str">
        <f t="shared" ca="1" si="1842"/>
        <v>X</v>
      </c>
      <c r="GD427" s="58" t="str">
        <f t="shared" ca="1" si="1842"/>
        <v>X</v>
      </c>
      <c r="GE427" s="58" t="str">
        <f t="shared" ca="1" si="1842"/>
        <v>X</v>
      </c>
      <c r="GF427" s="58" t="str">
        <f t="shared" ca="1" si="1842"/>
        <v>X</v>
      </c>
      <c r="GG427" s="58" t="str">
        <f t="shared" ca="1" si="1842"/>
        <v>X</v>
      </c>
      <c r="GH427" s="58" t="str">
        <f t="shared" ca="1" si="1842"/>
        <v>X</v>
      </c>
      <c r="GI427" s="58" t="str">
        <f t="shared" ca="1" si="1842"/>
        <v>X</v>
      </c>
      <c r="GJ427" s="58" t="str">
        <f t="shared" ca="1" si="1842"/>
        <v>X</v>
      </c>
      <c r="GK427" s="58" t="str">
        <f t="shared" ca="1" si="1842"/>
        <v>X</v>
      </c>
      <c r="GL427" s="58" t="str">
        <f t="shared" ca="1" si="1842"/>
        <v>X</v>
      </c>
      <c r="GM427" s="58" t="str">
        <f t="shared" ca="1" si="1842"/>
        <v>X</v>
      </c>
      <c r="GN427" s="58" t="str">
        <f t="shared" ca="1" si="1842"/>
        <v>X</v>
      </c>
      <c r="GO427" s="58" t="str">
        <f t="shared" ca="1" si="1842"/>
        <v>X</v>
      </c>
      <c r="GP427" s="58" t="str">
        <f t="shared" ca="1" si="1842"/>
        <v>X</v>
      </c>
      <c r="GQ427" s="58" t="str">
        <f t="shared" ca="1" si="1842"/>
        <v>X</v>
      </c>
      <c r="GR427" s="58" t="str">
        <f t="shared" ca="1" si="1842"/>
        <v>X</v>
      </c>
      <c r="GS427" s="80" t="str">
        <f t="shared" ca="1" si="1842"/>
        <v>X</v>
      </c>
      <c r="GT427" s="58" t="str">
        <f t="shared" ca="1" si="1842"/>
        <v>X</v>
      </c>
      <c r="GU427" s="82" t="str">
        <f t="shared" ca="1" si="1617"/>
        <v>X</v>
      </c>
      <c r="GV427" s="58" t="str">
        <f t="shared" ca="1" si="1618"/>
        <v>X</v>
      </c>
      <c r="GW427" s="58" t="str">
        <f t="shared" ca="1" si="1619"/>
        <v>X</v>
      </c>
      <c r="GX427" s="58" t="str">
        <f t="shared" ca="1" si="1620"/>
        <v>X</v>
      </c>
      <c r="GY427" s="58" t="str">
        <f t="shared" ca="1" si="1621"/>
        <v>X</v>
      </c>
      <c r="GZ427" s="58" t="str">
        <f t="shared" ca="1" si="1622"/>
        <v>X</v>
      </c>
      <c r="HA427" s="58" t="str">
        <f t="shared" ca="1" si="1623"/>
        <v>X</v>
      </c>
      <c r="HB427" s="58" t="str">
        <f t="shared" ca="1" si="1624"/>
        <v>X</v>
      </c>
      <c r="HC427" s="58" t="str">
        <f t="shared" ca="1" si="1625"/>
        <v>X</v>
      </c>
      <c r="HD427" s="58" t="str">
        <f t="shared" ca="1" si="1626"/>
        <v>X</v>
      </c>
      <c r="HE427" s="58" t="str">
        <f t="shared" ca="1" si="1627"/>
        <v>X</v>
      </c>
      <c r="HF427" s="58" t="str">
        <f t="shared" ca="1" si="1628"/>
        <v>X</v>
      </c>
      <c r="HG427" s="58" t="str">
        <f t="shared" ca="1" si="1629"/>
        <v>X</v>
      </c>
      <c r="HH427" s="58" t="str">
        <f t="shared" ca="1" si="1630"/>
        <v>X</v>
      </c>
      <c r="HI427" s="58" t="str">
        <f t="shared" ca="1" si="1631"/>
        <v>X</v>
      </c>
      <c r="HJ427" s="58" t="str">
        <f t="shared" ca="1" si="1632"/>
        <v>X</v>
      </c>
      <c r="HK427" s="58" t="str">
        <f t="shared" ca="1" si="1633"/>
        <v>X</v>
      </c>
      <c r="HL427" s="58" t="str">
        <f t="shared" ca="1" si="1634"/>
        <v>X</v>
      </c>
      <c r="HM427" s="58" t="str">
        <f t="shared" ca="1" si="1635"/>
        <v>X</v>
      </c>
      <c r="HN427" s="58" t="str">
        <f t="shared" ca="1" si="1636"/>
        <v>X</v>
      </c>
      <c r="HO427" s="58" t="str">
        <f t="shared" ca="1" si="1637"/>
        <v>X</v>
      </c>
      <c r="HP427" s="58" t="str">
        <f t="shared" ca="1" si="1638"/>
        <v>X</v>
      </c>
      <c r="HQ427" s="58" t="str">
        <f t="shared" ca="1" si="1639"/>
        <v>X</v>
      </c>
      <c r="HR427" s="58" t="str">
        <f t="shared" ca="1" si="1640"/>
        <v>X</v>
      </c>
      <c r="HS427" s="58" t="str">
        <f t="shared" ca="1" si="1641"/>
        <v>X</v>
      </c>
      <c r="HT427" s="58" t="str">
        <f t="shared" ca="1" si="1642"/>
        <v>X</v>
      </c>
      <c r="HU427" s="58" t="str">
        <f t="shared" ca="1" si="1643"/>
        <v>X</v>
      </c>
      <c r="HV427" s="58" t="str">
        <f t="shared" ca="1" si="1644"/>
        <v>X</v>
      </c>
      <c r="HW427" s="58" t="str">
        <f t="shared" ca="1" si="1645"/>
        <v>X</v>
      </c>
      <c r="HX427" s="58" t="str">
        <f t="shared" ca="1" si="1646"/>
        <v>X</v>
      </c>
      <c r="HY427" s="58" t="str">
        <f t="shared" ca="1" si="1647"/>
        <v>X</v>
      </c>
      <c r="HZ427" s="58" t="str">
        <f t="shared" ca="1" si="1648"/>
        <v>X</v>
      </c>
      <c r="IA427" s="58" t="str">
        <f t="shared" ca="1" si="1649"/>
        <v>X</v>
      </c>
      <c r="IB427" s="58" t="str">
        <f t="shared" ca="1" si="1650"/>
        <v>X</v>
      </c>
      <c r="IC427" s="58" t="str">
        <f t="shared" ca="1" si="1651"/>
        <v>X</v>
      </c>
      <c r="ID427" s="58" t="str">
        <f t="shared" ca="1" si="1652"/>
        <v>X</v>
      </c>
      <c r="IE427" s="58" t="str">
        <f t="shared" ca="1" si="1653"/>
        <v>X</v>
      </c>
      <c r="IF427" s="58" t="str">
        <f t="shared" ca="1" si="1654"/>
        <v>X</v>
      </c>
      <c r="IG427" s="58" t="str">
        <f t="shared" ca="1" si="1655"/>
        <v>X</v>
      </c>
      <c r="IH427" s="58" t="str">
        <f t="shared" ca="1" si="1656"/>
        <v>X</v>
      </c>
      <c r="II427" s="58" t="str">
        <f t="shared" ca="1" si="1657"/>
        <v>X</v>
      </c>
      <c r="IJ427" s="58" t="str">
        <f t="shared" ca="1" si="1658"/>
        <v>X</v>
      </c>
      <c r="IK427" s="58" t="str">
        <f t="shared" ca="1" si="1659"/>
        <v>X</v>
      </c>
      <c r="IL427" s="58" t="str">
        <f t="shared" ca="1" si="1660"/>
        <v>X</v>
      </c>
      <c r="IM427" s="58" t="str">
        <f t="shared" ca="1" si="1661"/>
        <v>X</v>
      </c>
      <c r="IN427" s="58" t="str">
        <f t="shared" ca="1" si="1662"/>
        <v>X</v>
      </c>
      <c r="IO427" s="58" t="str">
        <f t="shared" ca="1" si="1663"/>
        <v>X</v>
      </c>
      <c r="IP427" s="58" t="str">
        <f t="shared" ca="1" si="1664"/>
        <v>X</v>
      </c>
      <c r="IQ427" s="58" t="str">
        <f t="shared" ca="1" si="1665"/>
        <v>X</v>
      </c>
      <c r="IR427" s="58" t="str">
        <f t="shared" ca="1" si="1666"/>
        <v>X</v>
      </c>
      <c r="IS427" s="58" t="str">
        <f t="shared" ca="1" si="1667"/>
        <v>X</v>
      </c>
      <c r="IT427" s="58" t="str">
        <f t="shared" ca="1" si="1668"/>
        <v>X</v>
      </c>
      <c r="IU427" s="58" t="str">
        <f t="shared" ca="1" si="1669"/>
        <v>X</v>
      </c>
      <c r="IV427" s="58" t="str">
        <f t="shared" ca="1" si="1670"/>
        <v>X</v>
      </c>
      <c r="IW427" s="58" t="str">
        <f t="shared" ca="1" si="1671"/>
        <v>X</v>
      </c>
      <c r="IX427" s="58" t="str">
        <f t="shared" ca="1" si="1672"/>
        <v>X</v>
      </c>
      <c r="IY427" s="58" t="str">
        <f t="shared" ca="1" si="1673"/>
        <v>X</v>
      </c>
      <c r="IZ427" s="58" t="str">
        <f t="shared" ca="1" si="1674"/>
        <v>X</v>
      </c>
      <c r="JA427" s="58" t="str">
        <f t="shared" ca="1" si="1675"/>
        <v>X</v>
      </c>
      <c r="JB427" s="58" t="str">
        <f t="shared" ca="1" si="1676"/>
        <v>X</v>
      </c>
      <c r="JC427" s="58" t="str">
        <f t="shared" ca="1" si="1677"/>
        <v>X</v>
      </c>
      <c r="JD427" s="58" t="str">
        <f t="shared" ca="1" si="1678"/>
        <v>X</v>
      </c>
      <c r="JE427" s="58" t="str">
        <f t="shared" ca="1" si="1679"/>
        <v>X</v>
      </c>
      <c r="JF427" s="58" t="str">
        <f t="shared" ca="1" si="1680"/>
        <v>X</v>
      </c>
      <c r="JG427" s="58" t="str">
        <f t="shared" ca="1" si="1681"/>
        <v>X</v>
      </c>
      <c r="JH427" s="58" t="str">
        <f t="shared" ca="1" si="1682"/>
        <v>X</v>
      </c>
      <c r="JI427" s="58" t="str">
        <f t="shared" ca="1" si="1683"/>
        <v>X</v>
      </c>
      <c r="JJ427" s="58" t="str">
        <f t="shared" ca="1" si="1684"/>
        <v>X</v>
      </c>
      <c r="JK427" s="58" t="str">
        <f t="shared" ca="1" si="1685"/>
        <v>X</v>
      </c>
      <c r="JL427" s="58" t="str">
        <f t="shared" ca="1" si="1686"/>
        <v>X</v>
      </c>
      <c r="JM427" s="58" t="str">
        <f t="shared" ca="1" si="1687"/>
        <v>X</v>
      </c>
      <c r="JN427" s="58" t="str">
        <f t="shared" ca="1" si="1688"/>
        <v>X</v>
      </c>
      <c r="JO427" s="58" t="str">
        <f t="shared" ca="1" si="1689"/>
        <v>X</v>
      </c>
      <c r="JP427" s="58" t="str">
        <f t="shared" ca="1" si="1690"/>
        <v>X</v>
      </c>
      <c r="JQ427" s="58" t="str">
        <f t="shared" ca="1" si="1691"/>
        <v>X</v>
      </c>
      <c r="JR427" s="58" t="str">
        <f t="shared" ca="1" si="1692"/>
        <v>X</v>
      </c>
      <c r="JS427" s="58" t="str">
        <f t="shared" ca="1" si="1693"/>
        <v>X</v>
      </c>
      <c r="JT427" s="58" t="str">
        <f t="shared" ca="1" si="1694"/>
        <v>X</v>
      </c>
      <c r="JU427" s="58" t="str">
        <f t="shared" ca="1" si="1695"/>
        <v>X</v>
      </c>
      <c r="JV427" s="58" t="str">
        <f t="shared" ca="1" si="1696"/>
        <v>X</v>
      </c>
      <c r="JW427" s="58" t="str">
        <f t="shared" ca="1" si="1697"/>
        <v>X</v>
      </c>
      <c r="JX427" s="58" t="str">
        <f t="shared" ca="1" si="1698"/>
        <v>X</v>
      </c>
      <c r="JY427" s="58" t="str">
        <f t="shared" ca="1" si="1699"/>
        <v>X</v>
      </c>
      <c r="JZ427" s="58" t="str">
        <f t="shared" ca="1" si="1700"/>
        <v>X</v>
      </c>
      <c r="KA427" s="58" t="str">
        <f t="shared" ca="1" si="1701"/>
        <v>X</v>
      </c>
      <c r="KB427" s="58" t="str">
        <f t="shared" ca="1" si="1702"/>
        <v>X</v>
      </c>
      <c r="KC427" s="58" t="str">
        <f t="shared" ca="1" si="1703"/>
        <v>X</v>
      </c>
      <c r="KD427" s="58" t="str">
        <f t="shared" ca="1" si="1704"/>
        <v>X</v>
      </c>
      <c r="KE427" s="58" t="str">
        <f t="shared" ca="1" si="1705"/>
        <v>X</v>
      </c>
      <c r="KF427" s="58" t="str">
        <f t="shared" ca="1" si="1706"/>
        <v>X</v>
      </c>
      <c r="KG427" s="58" t="str">
        <f t="shared" ca="1" si="1707"/>
        <v>X</v>
      </c>
      <c r="KH427" s="58" t="str">
        <f t="shared" ca="1" si="1708"/>
        <v>X</v>
      </c>
      <c r="KI427" s="58" t="str">
        <f t="shared" ca="1" si="1709"/>
        <v>X</v>
      </c>
      <c r="KJ427" s="58" t="str">
        <f t="shared" ca="1" si="1710"/>
        <v>X</v>
      </c>
      <c r="KK427" s="58" t="str">
        <f t="shared" ca="1" si="1711"/>
        <v>X</v>
      </c>
      <c r="KL427" s="58" t="str">
        <f t="shared" ca="1" si="1712"/>
        <v>X</v>
      </c>
      <c r="KM427" s="58" t="str">
        <f t="shared" ca="1" si="1713"/>
        <v>X</v>
      </c>
      <c r="KN427" s="58" t="str">
        <f t="shared" ca="1" si="1714"/>
        <v>X</v>
      </c>
      <c r="KO427" s="58" t="str">
        <f t="shared" ca="1" si="1715"/>
        <v>X</v>
      </c>
      <c r="KP427" s="58" t="str">
        <f t="shared" ca="1" si="1716"/>
        <v>X</v>
      </c>
      <c r="KQ427" s="58" t="str">
        <f t="shared" ca="1" si="1717"/>
        <v>X</v>
      </c>
      <c r="KR427" s="58" t="str">
        <f t="shared" ca="1" si="1718"/>
        <v>X</v>
      </c>
      <c r="KS427" s="58" t="str">
        <f t="shared" ca="1" si="1719"/>
        <v>X</v>
      </c>
      <c r="KT427" s="58" t="str">
        <f t="shared" ca="1" si="1720"/>
        <v>X</v>
      </c>
      <c r="KU427" s="58" t="str">
        <f t="shared" ca="1" si="1721"/>
        <v>X</v>
      </c>
      <c r="KV427" s="58" t="str">
        <f t="shared" ca="1" si="1722"/>
        <v>X</v>
      </c>
      <c r="KW427" s="58" t="str">
        <f t="shared" ca="1" si="1723"/>
        <v>X</v>
      </c>
      <c r="KX427" s="58" t="str">
        <f t="shared" ca="1" si="1724"/>
        <v>X</v>
      </c>
      <c r="KY427" s="58" t="str">
        <f t="shared" ca="1" si="1725"/>
        <v>X</v>
      </c>
      <c r="KZ427" s="58" t="str">
        <f t="shared" ca="1" si="1726"/>
        <v>X</v>
      </c>
      <c r="LA427" s="58" t="str">
        <f t="shared" ca="1" si="1727"/>
        <v>X</v>
      </c>
      <c r="LB427" s="58" t="str">
        <f t="shared" ca="1" si="1728"/>
        <v>X</v>
      </c>
      <c r="LC427" s="58" t="str">
        <f t="shared" ca="1" si="1729"/>
        <v>X</v>
      </c>
      <c r="LD427" s="58" t="str">
        <f t="shared" ca="1" si="1730"/>
        <v>X</v>
      </c>
      <c r="LE427" s="58" t="str">
        <f t="shared" ca="1" si="1731"/>
        <v>X</v>
      </c>
      <c r="LF427" s="58" t="str">
        <f t="shared" ca="1" si="1732"/>
        <v>X</v>
      </c>
      <c r="LG427" s="58" t="str">
        <f t="shared" ca="1" si="1733"/>
        <v>X</v>
      </c>
      <c r="LH427" s="58" t="str">
        <f t="shared" ca="1" si="1734"/>
        <v>X</v>
      </c>
      <c r="LI427" s="58" t="str">
        <f t="shared" ca="1" si="1735"/>
        <v>X</v>
      </c>
      <c r="LJ427" s="58" t="str">
        <f t="shared" ca="1" si="1736"/>
        <v>X</v>
      </c>
      <c r="LK427" s="58" t="str">
        <f t="shared" ca="1" si="1737"/>
        <v>X</v>
      </c>
      <c r="LL427" s="58" t="str">
        <f t="shared" ca="1" si="1738"/>
        <v>X</v>
      </c>
      <c r="LM427" s="58" t="str">
        <f t="shared" ca="1" si="1739"/>
        <v>X</v>
      </c>
      <c r="LN427" s="58" t="str">
        <f t="shared" ca="1" si="1740"/>
        <v>X</v>
      </c>
      <c r="LO427" s="58" t="str">
        <f t="shared" ca="1" si="1741"/>
        <v>X</v>
      </c>
      <c r="LP427" s="58" t="str">
        <f t="shared" ca="1" si="1742"/>
        <v>X</v>
      </c>
      <c r="LQ427" s="58" t="str">
        <f t="shared" ca="1" si="1743"/>
        <v>X</v>
      </c>
      <c r="LR427" s="58" t="str">
        <f t="shared" ca="1" si="1744"/>
        <v>X</v>
      </c>
      <c r="LS427" s="58" t="str">
        <f t="shared" ca="1" si="1745"/>
        <v>X</v>
      </c>
      <c r="LT427" s="58" t="str">
        <f t="shared" ca="1" si="1746"/>
        <v>X</v>
      </c>
      <c r="LU427" s="58" t="str">
        <f t="shared" ca="1" si="1747"/>
        <v>X</v>
      </c>
      <c r="LV427" s="58" t="str">
        <f t="shared" ca="1" si="1748"/>
        <v>X</v>
      </c>
      <c r="LW427" s="58" t="str">
        <f t="shared" ca="1" si="1749"/>
        <v>X</v>
      </c>
      <c r="LX427" s="58" t="str">
        <f t="shared" ca="1" si="1750"/>
        <v>X</v>
      </c>
      <c r="LY427" s="58" t="str">
        <f t="shared" ca="1" si="1751"/>
        <v>X</v>
      </c>
      <c r="LZ427" s="58" t="str">
        <f t="shared" ca="1" si="1752"/>
        <v>X</v>
      </c>
      <c r="MA427" s="58" t="str">
        <f t="shared" ca="1" si="1753"/>
        <v>X</v>
      </c>
      <c r="MB427" s="58" t="str">
        <f t="shared" ca="1" si="1754"/>
        <v>X</v>
      </c>
      <c r="MC427" s="58" t="str">
        <f t="shared" ca="1" si="1755"/>
        <v>X</v>
      </c>
      <c r="MD427" s="58" t="str">
        <f t="shared" ca="1" si="1756"/>
        <v>X</v>
      </c>
      <c r="ME427" s="58" t="str">
        <f t="shared" ca="1" si="1757"/>
        <v>X</v>
      </c>
      <c r="MF427" s="58" t="str">
        <f t="shared" ca="1" si="1758"/>
        <v>X</v>
      </c>
      <c r="MG427" s="58" t="str">
        <f t="shared" ca="1" si="1759"/>
        <v>X</v>
      </c>
      <c r="MH427" s="58" t="str">
        <f t="shared" ca="1" si="1760"/>
        <v>X</v>
      </c>
      <c r="MI427" s="58" t="str">
        <f t="shared" ca="1" si="1761"/>
        <v>X</v>
      </c>
      <c r="MJ427" s="58" t="str">
        <f t="shared" ca="1" si="1762"/>
        <v>X</v>
      </c>
      <c r="MK427" s="58" t="str">
        <f t="shared" ca="1" si="1763"/>
        <v>X</v>
      </c>
      <c r="ML427" s="58" t="str">
        <f t="shared" ca="1" si="1764"/>
        <v>X</v>
      </c>
      <c r="MM427" s="58" t="str">
        <f t="shared" ca="1" si="1765"/>
        <v>X</v>
      </c>
      <c r="MN427" s="58" t="str">
        <f t="shared" ca="1" si="1766"/>
        <v>X</v>
      </c>
      <c r="MO427" s="58" t="str">
        <f t="shared" ca="1" si="1767"/>
        <v>X</v>
      </c>
      <c r="MP427" s="58" t="str">
        <f t="shared" ca="1" si="1768"/>
        <v>X</v>
      </c>
      <c r="MQ427" s="58" t="str">
        <f t="shared" ca="1" si="1769"/>
        <v>X</v>
      </c>
      <c r="MR427" s="58" t="str">
        <f t="shared" ca="1" si="1770"/>
        <v>X</v>
      </c>
      <c r="MS427" s="58" t="str">
        <f t="shared" ca="1" si="1771"/>
        <v>X</v>
      </c>
      <c r="MT427" s="58" t="str">
        <f t="shared" ref="MT427:NE427" ca="1" si="1843">IF($K427=INDIRECT(CONCATENATE("$AG$"&amp;GH$392)),INDIRECT(CONCATENATE("$AG$"&amp;GH$391)),
IF($K427=INDIRECT(CONCATENATE("$AF$"&amp;GH$392)),INDIRECT(CONCATENATE("$AF$"&amp;GH$391)),
IF($K427=INDIRECT(CONCATENATE("$AE$"&amp;GH$392)),INDIRECT(CONCATENATE("$AE$"&amp;GH$391)),
IF($K427=INDIRECT(CONCATENATE("$AD$"&amp;GH$392)),INDIRECT(CONCATENATE("$AD$"&amp;GH$391)),
IF($K427=INDIRECT(CONCATENATE("$AC$"&amp;GH$392)),INDIRECT(CONCATENATE("$AC$"&amp;GH$391)),
IF($K427=INDIRECT(CONCATENATE("$AB$"&amp;GH$392)),INDIRECT(CONCATENATE("$AB$"&amp;GH$391)),
IF($K427=INDIRECT(CONCATENATE("$AA$"&amp;GH$392)),INDIRECT(CONCATENATE("$AA$"&amp;GH$391)),
IF($K427=INDIRECT(CONCATENATE("$Z$"&amp;GH$392)),INDIRECT(CONCATENATE("$Z$"&amp;GH$391)),
IF($K427=INDIRECT(CONCATENATE("$Y$"&amp;GH$392)),INDIRECT(CONCATENATE("$Y$"&amp;GH$391)),
IF($K427=INDIRECT(CONCATENATE("$X$"&amp;GH$392)),INDIRECT(CONCATENATE("$X$"&amp;GH$391)),
IF($K427=INDIRECT(CONCATENATE("$W$"&amp;GH$392)),INDIRECT(CONCATENATE("$W$"&amp;GH$391)),
IF($K427=INDIRECT(CONCATENATE("$V$"&amp;GH$392)),INDIRECT(CONCATENATE("$V$"&amp;GH$391)),
IF($K427=INDIRECT(CONCATENATE("$U$"&amp;GH$392)),INDIRECT(CONCATENATE("$U$"&amp;GH$391)),
IF($K427=INDIRECT(CONCATENATE("$T$"&amp;GH$392)),INDIRECT(CONCATENATE("$T$"&amp;GH$391)),
IF($K427=INDIRECT(CONCATENATE("$S$"&amp;GH$392)),INDIRECT(CONCATENATE("$S$"&amp;GH$391)),
IF($K427=INDIRECT(CONCATENATE("$R$"&amp;GH$392)),INDIRECT(CONCATENATE("$R$"&amp;GH$391)),
IF($K427=INDIRECT(CONCATENATE("$Q$"&amp;GH$392)),INDIRECT(CONCATENATE("$Q$"&amp;GH$391)),
IF($K427=INDIRECT(CONCATENATE("$P$"&amp;GH$392)),INDIRECT(CONCATENATE("$P$"&amp;GH$391)),
IF($K427=INDIRECT(CONCATENATE("$O$"&amp;GH$392)),INDIRECT(CONCATENATE("$O$"&amp;GH$391)),
IF($K427=INDIRECT(CONCATENATE("$N$"&amp;GH$392)),INDIRECT(CONCATENATE("$N$"&amp;GH$391)),
IF($K427=INDIRECT(CONCATENATE("$M$"&amp;GH$392)),INDIRECT(CONCATENATE("$M$"&amp;GH$391)),
IF($K427=INDIRECT(CONCATENATE("$L$"&amp;GH$392)),INDIRECT(CONCATENATE("$L$"&amp;GH$391)),
IF($K427=INDIRECT(CONCATENATE("$K$"&amp;GH$392)),INDIRECT(CONCATENATE("$K$"&amp;GH$391)),
IF($K427=INDIRECT(CONCATENATE("$J$"&amp;GH$392)),INDIRECT(CONCATENATE("$J$"&amp;GH$391)),
IF($K427=INDIRECT(CONCATENATE("$I$"&amp;GH$392)),INDIRECT(CONCATENATE("$I$"&amp;GH$391)),
IF($K427=INDIRECT(CONCATENATE("$H$"&amp;GH$392)),INDIRECT(CONCATENATE("$H$"&amp;GH$391)),
IF($K427=INDIRECT(CONCATENATE("$G$"&amp;GH$392)),INDIRECT(CONCATENATE("$G$"&amp;GH$391)),
IF($K427=INDIRECT(CONCATENATE("$F$"&amp;GH$392)),INDIRECT(CONCATENATE("$F$"&amp;GH$391)),
IF($K427=INDIRECT(CONCATENATE("$E$"&amp;GH$392)),INDIRECT(CONCATENATE("$E$"&amp;GH$391)),
IF($K427=INDIRECT(CONCATENATE("$D$"&amp;GH$392)),INDIRECT(CONCATENATE("$D$"&amp;GH$391)),
IF($K427=INDIRECT(CONCATENATE("$C$"&amp;GH$392)),INDIRECT(CONCATENATE("$C$"&amp;GH$391)),"X")))))))))))))))))))))))))))))))</f>
        <v>X</v>
      </c>
      <c r="MU427" s="58" t="str">
        <f t="shared" ca="1" si="1843"/>
        <v>X</v>
      </c>
      <c r="MV427" s="58" t="str">
        <f t="shared" ca="1" si="1843"/>
        <v>X</v>
      </c>
      <c r="MW427" s="58" t="str">
        <f t="shared" ca="1" si="1843"/>
        <v>X</v>
      </c>
      <c r="MX427" s="58" t="str">
        <f t="shared" ca="1" si="1843"/>
        <v>X</v>
      </c>
      <c r="MY427" s="58" t="str">
        <f t="shared" ca="1" si="1843"/>
        <v>X</v>
      </c>
      <c r="MZ427" s="58" t="str">
        <f t="shared" ca="1" si="1843"/>
        <v>X</v>
      </c>
      <c r="NA427" s="58" t="str">
        <f t="shared" ca="1" si="1843"/>
        <v>X</v>
      </c>
      <c r="NB427" s="58" t="str">
        <f t="shared" ca="1" si="1843"/>
        <v>X</v>
      </c>
      <c r="NC427" s="58" t="str">
        <f t="shared" ca="1" si="1843"/>
        <v>X</v>
      </c>
      <c r="ND427" s="58" t="str">
        <f t="shared" ca="1" si="1843"/>
        <v>X</v>
      </c>
      <c r="NE427" s="58" t="str">
        <f t="shared" ca="1" si="1843"/>
        <v>X</v>
      </c>
      <c r="NF427" s="58" t="str">
        <f t="shared" ca="1" si="1773"/>
        <v>X</v>
      </c>
      <c r="NG427" s="58" t="str">
        <f t="shared" ca="1" si="1774"/>
        <v>X</v>
      </c>
    </row>
    <row r="428" spans="1:371" ht="18" customHeight="1">
      <c r="A428" s="241"/>
      <c r="B428" s="304"/>
      <c r="C428" s="304"/>
      <c r="D428" s="304"/>
      <c r="E428" s="304"/>
      <c r="F428" s="304"/>
      <c r="G428" s="304"/>
      <c r="H428" s="304"/>
      <c r="I428" s="304"/>
      <c r="J428" s="303"/>
      <c r="K428" s="237" t="s">
        <v>84</v>
      </c>
      <c r="L428" s="303"/>
      <c r="M428" s="60"/>
      <c r="N428" s="225"/>
      <c r="O428" s="304"/>
      <c r="P428" s="304"/>
      <c r="Q428" s="304"/>
      <c r="R428" s="303"/>
      <c r="S428" s="226"/>
      <c r="T428" s="304"/>
      <c r="U428" s="303"/>
      <c r="V428" s="227"/>
      <c r="W428" s="303"/>
      <c r="X428" s="56" t="str">
        <f t="shared" ca="1" si="1775"/>
        <v>-</v>
      </c>
      <c r="Y428" s="56" t="str">
        <f t="shared" ca="1" si="1776"/>
        <v>-</v>
      </c>
      <c r="Z428" s="228" t="str">
        <f t="shared" ca="1" si="1612"/>
        <v/>
      </c>
      <c r="AA428" s="304"/>
      <c r="AB428" s="303"/>
      <c r="AC428" s="224">
        <f t="shared" si="1777"/>
        <v>0</v>
      </c>
      <c r="AD428" s="303"/>
      <c r="AE428" s="229">
        <f t="shared" si="1778"/>
        <v>0</v>
      </c>
      <c r="AF428" s="303"/>
      <c r="AG428" s="57" t="str">
        <f t="shared" si="1615"/>
        <v/>
      </c>
      <c r="AH428" s="21"/>
      <c r="AI428" s="70"/>
      <c r="AJ428" s="58" t="str">
        <f t="shared" ref="AJ428:GT428" ca="1" si="1844">IF($K428=INDIRECT(CONCATENATE("$C$"&amp;AJ$392)), INDIRECT(CONCATENATE("$C$"&amp;AJ$391)),
IF($K428=INDIRECT(CONCATENATE("$D$"&amp;AJ$392)), INDIRECT(CONCATENATE("$D$"&amp;AJ$391)),
IF($K428=INDIRECT(CONCATENATE("$E$"&amp;AJ$392)), INDIRECT(CONCATENATE("$E$"&amp;AJ$391)),
IF($K428=INDIRECT(CONCATENATE("$F$"&amp;AJ$392)), INDIRECT(CONCATENATE("$F$"&amp;AJ$391)),
IF($K428=INDIRECT(CONCATENATE("$G$"&amp;AJ$392)), INDIRECT(CONCATENATE("$G$"&amp;AJ$391)),
IF($K428=INDIRECT(CONCATENATE("$H$"&amp;AJ$392)), INDIRECT(CONCATENATE("$H$"&amp;AJ$391)),
IF($K428=INDIRECT(CONCATENATE("$I$"&amp;AJ$392)), INDIRECT(CONCATENATE("$I$"&amp;AJ$391)),
IF($K428=INDIRECT(CONCATENATE("$J$"&amp;AJ$392)), INDIRECT(CONCATENATE("$J$"&amp;AJ$391)),
IF($K428=INDIRECT(CONCATENATE("$K$"&amp;AJ$392)), INDIRECT(CONCATENATE("$K$"&amp;AJ$391)),
IF($K428=INDIRECT(CONCATENATE("$L$"&amp;AJ$392)), INDIRECT(CONCATENATE("$L$"&amp;AJ$391)),
IF($K428=INDIRECT(CONCATENATE("$M$"&amp;AJ$392)), INDIRECT(CONCATENATE("$M$"&amp;AJ$391)),
IF($K428=INDIRECT(CONCATENATE("$N$"&amp;AJ$392)), INDIRECT(CONCATENATE("$N$"&amp;AJ$391)),
IF($K428=INDIRECT(CONCATENATE("$O$"&amp;AJ$392)), INDIRECT(CONCATENATE("$O$"&amp;AJ$391)),
IF($K428=INDIRECT(CONCATENATE("$P$"&amp;AJ$392)), INDIRECT(CONCATENATE("$P$"&amp;AJ$391)),
IF($K428=INDIRECT(CONCATENATE("$Q$"&amp;AJ$392)), INDIRECT(CONCATENATE("$Q$"&amp;AJ$391)),
IF($K428=INDIRECT(CONCATENATE("$R$"&amp;AJ$392)), INDIRECT(CONCATENATE("$R$"&amp;AJ$391)),
IF($K428=INDIRECT(CONCATENATE("$S$"&amp;AJ$392)), INDIRECT(CONCATENATE("$S$"&amp;AJ$391)),
IF($K428=INDIRECT(CONCATENATE("$T$"&amp;AJ$392)), INDIRECT(CONCATENATE("$T$"&amp;AJ$391)),
IF($K428=INDIRECT(CONCATENATE("$U$"&amp;AJ$392)), INDIRECT(CONCATENATE("$U$"&amp;AJ$391)),
IF($K428=INDIRECT(CONCATENATE("$V$"&amp;AJ$392)), INDIRECT(CONCATENATE("$V$"&amp;AJ$391)),
IF($K428=INDIRECT(CONCATENATE("$W$"&amp;AJ$392)), INDIRECT(CONCATENATE("$W$"&amp;AJ$391)),
IF($K428=INDIRECT(CONCATENATE("$X$"&amp;AJ$392)), INDIRECT(CONCATENATE("$X$"&amp;AJ$391)),
IF($K428=INDIRECT(CONCATENATE("$Y$"&amp;AJ$392)), INDIRECT(CONCATENATE("$Y$"&amp;AJ$391)),
IF($K428=INDIRECT(CONCATENATE("$Z$"&amp;AJ$392)), INDIRECT(CONCATENATE("$Z$"&amp;AJ$391)),
IF($K428=INDIRECT(CONCATENATE("$AA$"&amp;AJ$392)), INDIRECT(CONCATENATE("$AA$"&amp;AJ$391)),
IF($K428=INDIRECT(CONCATENATE("$AB$"&amp;AJ$392)), INDIRECT(CONCATENATE("$AB$"&amp;AJ$391)),
IF($K428=INDIRECT(CONCATENATE("$AC$"&amp;AJ$392)), INDIRECT(CONCATENATE("$AC$"&amp;AJ$391)),
IF($K428=INDIRECT(CONCATENATE("$AD$"&amp;AJ$392)), INDIRECT(CONCATENATE("$AD$"&amp;AJ$391)),
IF($K428=INDIRECT(CONCATENATE("$AE$"&amp;AJ$392)), INDIRECT(CONCATENATE("$AE$"&amp;AJ$391)),
IF($K428=INDIRECT(CONCATENATE("$AF$"&amp;AJ$392)), INDIRECT(CONCATENATE("$AF$"&amp;AJ$391)),
IF($K428=INDIRECT(CONCATENATE("$AG$"&amp;AJ$392)), INDIRECT(CONCATENATE("$AG$"&amp;AJ$391)),"X")))))))))))))))))))))))))))))))</f>
        <v>X</v>
      </c>
      <c r="AK428" s="58" t="str">
        <f t="shared" ca="1" si="1844"/>
        <v>X</v>
      </c>
      <c r="AL428" s="58" t="str">
        <f t="shared" ca="1" si="1844"/>
        <v>X</v>
      </c>
      <c r="AM428" s="58" t="str">
        <f t="shared" ca="1" si="1844"/>
        <v>X</v>
      </c>
      <c r="AN428" s="58" t="str">
        <f t="shared" ca="1" si="1844"/>
        <v>X</v>
      </c>
      <c r="AO428" s="58" t="str">
        <f t="shared" ca="1" si="1844"/>
        <v>X</v>
      </c>
      <c r="AP428" s="58" t="str">
        <f t="shared" ca="1" si="1844"/>
        <v>X</v>
      </c>
      <c r="AQ428" s="58" t="str">
        <f t="shared" ca="1" si="1844"/>
        <v>X</v>
      </c>
      <c r="AR428" s="58" t="str">
        <f t="shared" ca="1" si="1844"/>
        <v>X</v>
      </c>
      <c r="AS428" s="58" t="str">
        <f t="shared" ca="1" si="1844"/>
        <v>X</v>
      </c>
      <c r="AT428" s="58" t="str">
        <f t="shared" ca="1" si="1844"/>
        <v>X</v>
      </c>
      <c r="AU428" s="58" t="str">
        <f t="shared" ca="1" si="1844"/>
        <v>X</v>
      </c>
      <c r="AV428" s="58" t="str">
        <f t="shared" ca="1" si="1844"/>
        <v>X</v>
      </c>
      <c r="AW428" s="58" t="str">
        <f t="shared" ca="1" si="1844"/>
        <v>X</v>
      </c>
      <c r="AX428" s="58" t="str">
        <f t="shared" ca="1" si="1844"/>
        <v>X</v>
      </c>
      <c r="AY428" s="58" t="str">
        <f t="shared" ca="1" si="1844"/>
        <v>X</v>
      </c>
      <c r="AZ428" s="58" t="str">
        <f t="shared" ca="1" si="1844"/>
        <v>X</v>
      </c>
      <c r="BA428" s="58" t="str">
        <f t="shared" ca="1" si="1844"/>
        <v>X</v>
      </c>
      <c r="BB428" s="58" t="str">
        <f t="shared" ca="1" si="1844"/>
        <v>X</v>
      </c>
      <c r="BC428" s="58" t="str">
        <f t="shared" ca="1" si="1844"/>
        <v>X</v>
      </c>
      <c r="BD428" s="58" t="str">
        <f t="shared" ca="1" si="1844"/>
        <v>X</v>
      </c>
      <c r="BE428" s="58" t="str">
        <f t="shared" ca="1" si="1844"/>
        <v>X</v>
      </c>
      <c r="BF428" s="58" t="str">
        <f t="shared" ca="1" si="1844"/>
        <v>X</v>
      </c>
      <c r="BG428" s="58" t="str">
        <f t="shared" ca="1" si="1844"/>
        <v>X</v>
      </c>
      <c r="BH428" s="58" t="str">
        <f t="shared" ca="1" si="1844"/>
        <v>X</v>
      </c>
      <c r="BI428" s="58" t="str">
        <f t="shared" ca="1" si="1844"/>
        <v>X</v>
      </c>
      <c r="BJ428" s="58" t="str">
        <f t="shared" ca="1" si="1844"/>
        <v>X</v>
      </c>
      <c r="BK428" s="58" t="str">
        <f t="shared" ca="1" si="1844"/>
        <v>X</v>
      </c>
      <c r="BL428" s="58" t="str">
        <f t="shared" ca="1" si="1844"/>
        <v>X</v>
      </c>
      <c r="BM428" s="58" t="str">
        <f t="shared" ca="1" si="1844"/>
        <v>X</v>
      </c>
      <c r="BN428" s="58" t="str">
        <f t="shared" ca="1" si="1844"/>
        <v>X</v>
      </c>
      <c r="BO428" s="58" t="str">
        <f t="shared" ca="1" si="1844"/>
        <v>X</v>
      </c>
      <c r="BP428" s="58" t="str">
        <f t="shared" ca="1" si="1844"/>
        <v>X</v>
      </c>
      <c r="BQ428" s="58" t="str">
        <f t="shared" ca="1" si="1844"/>
        <v>X</v>
      </c>
      <c r="BR428" s="58" t="str">
        <f t="shared" ca="1" si="1844"/>
        <v>X</v>
      </c>
      <c r="BS428" s="58" t="str">
        <f t="shared" ca="1" si="1844"/>
        <v>X</v>
      </c>
      <c r="BT428" s="58" t="str">
        <f t="shared" ca="1" si="1844"/>
        <v>X</v>
      </c>
      <c r="BU428" s="58" t="str">
        <f t="shared" ca="1" si="1844"/>
        <v>X</v>
      </c>
      <c r="BV428" s="58" t="str">
        <f t="shared" ca="1" si="1844"/>
        <v>X</v>
      </c>
      <c r="BW428" s="58" t="str">
        <f t="shared" ca="1" si="1844"/>
        <v>X</v>
      </c>
      <c r="BX428" s="58" t="str">
        <f t="shared" ca="1" si="1844"/>
        <v>X</v>
      </c>
      <c r="BY428" s="58" t="str">
        <f t="shared" ca="1" si="1844"/>
        <v>X</v>
      </c>
      <c r="BZ428" s="58" t="str">
        <f t="shared" ca="1" si="1844"/>
        <v>X</v>
      </c>
      <c r="CA428" s="58" t="str">
        <f t="shared" ca="1" si="1844"/>
        <v>X</v>
      </c>
      <c r="CB428" s="58" t="str">
        <f t="shared" ca="1" si="1844"/>
        <v>X</v>
      </c>
      <c r="CC428" s="58" t="str">
        <f t="shared" ca="1" si="1844"/>
        <v>X</v>
      </c>
      <c r="CD428" s="58" t="str">
        <f t="shared" ca="1" si="1844"/>
        <v>X</v>
      </c>
      <c r="CE428" s="58" t="str">
        <f t="shared" ca="1" si="1844"/>
        <v>X</v>
      </c>
      <c r="CF428" s="58" t="str">
        <f t="shared" ca="1" si="1844"/>
        <v>X</v>
      </c>
      <c r="CG428" s="58" t="str">
        <f t="shared" ca="1" si="1844"/>
        <v>X</v>
      </c>
      <c r="CH428" s="58" t="str">
        <f t="shared" ca="1" si="1844"/>
        <v>X</v>
      </c>
      <c r="CI428" s="58" t="str">
        <f t="shared" ca="1" si="1844"/>
        <v>X</v>
      </c>
      <c r="CJ428" s="58" t="str">
        <f t="shared" ca="1" si="1844"/>
        <v>X</v>
      </c>
      <c r="CK428" s="58" t="str">
        <f t="shared" ca="1" si="1844"/>
        <v>X</v>
      </c>
      <c r="CL428" s="58" t="str">
        <f t="shared" ca="1" si="1844"/>
        <v>X</v>
      </c>
      <c r="CM428" s="58" t="str">
        <f t="shared" ca="1" si="1844"/>
        <v>X</v>
      </c>
      <c r="CN428" s="58" t="str">
        <f t="shared" ca="1" si="1844"/>
        <v>X</v>
      </c>
      <c r="CO428" s="58" t="str">
        <f t="shared" ca="1" si="1844"/>
        <v>X</v>
      </c>
      <c r="CP428" s="58" t="str">
        <f t="shared" ca="1" si="1844"/>
        <v>X</v>
      </c>
      <c r="CQ428" s="58" t="str">
        <f t="shared" ca="1" si="1844"/>
        <v>X</v>
      </c>
      <c r="CR428" s="58" t="str">
        <f t="shared" ca="1" si="1844"/>
        <v>X</v>
      </c>
      <c r="CS428" s="58" t="str">
        <f t="shared" ca="1" si="1844"/>
        <v>X</v>
      </c>
      <c r="CT428" s="58" t="str">
        <f t="shared" ca="1" si="1844"/>
        <v>X</v>
      </c>
      <c r="CU428" s="58" t="str">
        <f t="shared" ca="1" si="1844"/>
        <v>X</v>
      </c>
      <c r="CV428" s="58" t="str">
        <f t="shared" ca="1" si="1844"/>
        <v>X</v>
      </c>
      <c r="CW428" s="58" t="str">
        <f t="shared" ca="1" si="1844"/>
        <v>X</v>
      </c>
      <c r="CX428" s="58" t="str">
        <f t="shared" ca="1" si="1844"/>
        <v>X</v>
      </c>
      <c r="CY428" s="58" t="str">
        <f t="shared" ca="1" si="1844"/>
        <v>X</v>
      </c>
      <c r="CZ428" s="58" t="str">
        <f t="shared" ca="1" si="1844"/>
        <v>X</v>
      </c>
      <c r="DA428" s="58" t="str">
        <f t="shared" ca="1" si="1844"/>
        <v>X</v>
      </c>
      <c r="DB428" s="58" t="str">
        <f t="shared" ca="1" si="1844"/>
        <v>X</v>
      </c>
      <c r="DC428" s="58" t="str">
        <f t="shared" ca="1" si="1844"/>
        <v>X</v>
      </c>
      <c r="DD428" s="58" t="str">
        <f t="shared" ca="1" si="1844"/>
        <v>X</v>
      </c>
      <c r="DE428" s="58" t="str">
        <f t="shared" ca="1" si="1844"/>
        <v>X</v>
      </c>
      <c r="DF428" s="58" t="str">
        <f t="shared" ca="1" si="1844"/>
        <v>X</v>
      </c>
      <c r="DG428" s="58" t="str">
        <f t="shared" ca="1" si="1844"/>
        <v>X</v>
      </c>
      <c r="DH428" s="58" t="str">
        <f t="shared" ca="1" si="1844"/>
        <v>X</v>
      </c>
      <c r="DI428" s="58" t="str">
        <f t="shared" ca="1" si="1844"/>
        <v>X</v>
      </c>
      <c r="DJ428" s="58" t="str">
        <f t="shared" ca="1" si="1844"/>
        <v>X</v>
      </c>
      <c r="DK428" s="58" t="str">
        <f t="shared" ca="1" si="1844"/>
        <v>X</v>
      </c>
      <c r="DL428" s="58" t="str">
        <f t="shared" ca="1" si="1844"/>
        <v>X</v>
      </c>
      <c r="DM428" s="58" t="str">
        <f t="shared" ca="1" si="1844"/>
        <v>X</v>
      </c>
      <c r="DN428" s="58" t="str">
        <f t="shared" ca="1" si="1844"/>
        <v>X</v>
      </c>
      <c r="DO428" s="58" t="str">
        <f t="shared" ca="1" si="1844"/>
        <v>X</v>
      </c>
      <c r="DP428" s="58" t="str">
        <f t="shared" ca="1" si="1844"/>
        <v>X</v>
      </c>
      <c r="DQ428" s="58" t="str">
        <f t="shared" ca="1" si="1844"/>
        <v>X</v>
      </c>
      <c r="DR428" s="58" t="str">
        <f t="shared" ca="1" si="1844"/>
        <v>X</v>
      </c>
      <c r="DS428" s="58" t="str">
        <f t="shared" ca="1" si="1844"/>
        <v>X</v>
      </c>
      <c r="DT428" s="58" t="str">
        <f t="shared" ca="1" si="1844"/>
        <v>X</v>
      </c>
      <c r="DU428" s="58" t="str">
        <f t="shared" ca="1" si="1844"/>
        <v>X</v>
      </c>
      <c r="DV428" s="58" t="str">
        <f t="shared" ca="1" si="1844"/>
        <v>X</v>
      </c>
      <c r="DW428" s="58" t="str">
        <f t="shared" ca="1" si="1844"/>
        <v>X</v>
      </c>
      <c r="DX428" s="58" t="str">
        <f t="shared" ca="1" si="1844"/>
        <v>X</v>
      </c>
      <c r="DY428" s="58" t="str">
        <f t="shared" ca="1" si="1844"/>
        <v>X</v>
      </c>
      <c r="DZ428" s="58" t="str">
        <f t="shared" ca="1" si="1844"/>
        <v>X</v>
      </c>
      <c r="EA428" s="58" t="str">
        <f t="shared" ca="1" si="1844"/>
        <v>X</v>
      </c>
      <c r="EB428" s="58" t="str">
        <f t="shared" ca="1" si="1844"/>
        <v>X</v>
      </c>
      <c r="EC428" s="58" t="str">
        <f t="shared" ca="1" si="1844"/>
        <v>X</v>
      </c>
      <c r="ED428" s="58" t="str">
        <f t="shared" ca="1" si="1844"/>
        <v>X</v>
      </c>
      <c r="EE428" s="58" t="str">
        <f t="shared" ca="1" si="1844"/>
        <v>X</v>
      </c>
      <c r="EF428" s="58" t="str">
        <f t="shared" ca="1" si="1844"/>
        <v>X</v>
      </c>
      <c r="EG428" s="58" t="str">
        <f t="shared" ca="1" si="1844"/>
        <v>X</v>
      </c>
      <c r="EH428" s="58" t="str">
        <f t="shared" ca="1" si="1844"/>
        <v>X</v>
      </c>
      <c r="EI428" s="58" t="str">
        <f t="shared" ca="1" si="1844"/>
        <v>X</v>
      </c>
      <c r="EJ428" s="58" t="str">
        <f t="shared" ca="1" si="1844"/>
        <v>X</v>
      </c>
      <c r="EK428" s="58" t="str">
        <f t="shared" ca="1" si="1844"/>
        <v>X</v>
      </c>
      <c r="EL428" s="58" t="str">
        <f t="shared" ca="1" si="1844"/>
        <v>X</v>
      </c>
      <c r="EM428" s="58" t="str">
        <f t="shared" ca="1" si="1844"/>
        <v>X</v>
      </c>
      <c r="EN428" s="58" t="str">
        <f t="shared" ca="1" si="1844"/>
        <v>X</v>
      </c>
      <c r="EO428" s="58" t="str">
        <f t="shared" ca="1" si="1844"/>
        <v>X</v>
      </c>
      <c r="EP428" s="58" t="str">
        <f t="shared" ca="1" si="1844"/>
        <v>X</v>
      </c>
      <c r="EQ428" s="58" t="str">
        <f t="shared" ca="1" si="1844"/>
        <v>X</v>
      </c>
      <c r="ER428" s="58" t="str">
        <f t="shared" ca="1" si="1844"/>
        <v>X</v>
      </c>
      <c r="ES428" s="58" t="str">
        <f t="shared" ca="1" si="1844"/>
        <v>X</v>
      </c>
      <c r="ET428" s="58" t="str">
        <f t="shared" ca="1" si="1844"/>
        <v>X</v>
      </c>
      <c r="EU428" s="58" t="str">
        <f t="shared" ca="1" si="1844"/>
        <v>X</v>
      </c>
      <c r="EV428" s="58" t="str">
        <f t="shared" ca="1" si="1844"/>
        <v>X</v>
      </c>
      <c r="EW428" s="58" t="str">
        <f t="shared" ca="1" si="1844"/>
        <v>X</v>
      </c>
      <c r="EX428" s="58" t="str">
        <f t="shared" ca="1" si="1844"/>
        <v>X</v>
      </c>
      <c r="EY428" s="58" t="str">
        <f t="shared" ca="1" si="1844"/>
        <v>X</v>
      </c>
      <c r="EZ428" s="58" t="str">
        <f t="shared" ca="1" si="1844"/>
        <v>X</v>
      </c>
      <c r="FA428" s="58" t="str">
        <f t="shared" ca="1" si="1844"/>
        <v>X</v>
      </c>
      <c r="FB428" s="58" t="str">
        <f t="shared" ca="1" si="1844"/>
        <v>X</v>
      </c>
      <c r="FC428" s="58" t="str">
        <f t="shared" ca="1" si="1844"/>
        <v>X</v>
      </c>
      <c r="FD428" s="58" t="str">
        <f t="shared" ca="1" si="1844"/>
        <v>X</v>
      </c>
      <c r="FE428" s="58" t="str">
        <f t="shared" ca="1" si="1844"/>
        <v>X</v>
      </c>
      <c r="FF428" s="58" t="str">
        <f t="shared" ca="1" si="1844"/>
        <v>X</v>
      </c>
      <c r="FG428" s="58" t="str">
        <f t="shared" ca="1" si="1844"/>
        <v>X</v>
      </c>
      <c r="FH428" s="58" t="str">
        <f t="shared" ca="1" si="1844"/>
        <v>X</v>
      </c>
      <c r="FI428" s="58" t="str">
        <f t="shared" ca="1" si="1844"/>
        <v>X</v>
      </c>
      <c r="FJ428" s="58" t="str">
        <f t="shared" ca="1" si="1844"/>
        <v>X</v>
      </c>
      <c r="FK428" s="58" t="str">
        <f t="shared" ca="1" si="1844"/>
        <v>X</v>
      </c>
      <c r="FL428" s="58" t="str">
        <f t="shared" ca="1" si="1844"/>
        <v>X</v>
      </c>
      <c r="FM428" s="58" t="str">
        <f t="shared" ca="1" si="1844"/>
        <v>X</v>
      </c>
      <c r="FN428" s="58" t="str">
        <f t="shared" ca="1" si="1844"/>
        <v>X</v>
      </c>
      <c r="FO428" s="58" t="str">
        <f t="shared" ca="1" si="1844"/>
        <v>X</v>
      </c>
      <c r="FP428" s="58" t="str">
        <f t="shared" ca="1" si="1844"/>
        <v>X</v>
      </c>
      <c r="FQ428" s="58" t="str">
        <f t="shared" ca="1" si="1844"/>
        <v>X</v>
      </c>
      <c r="FR428" s="58" t="str">
        <f t="shared" ca="1" si="1844"/>
        <v>X</v>
      </c>
      <c r="FS428" s="58" t="str">
        <f t="shared" ca="1" si="1844"/>
        <v>X</v>
      </c>
      <c r="FT428" s="58" t="str">
        <f t="shared" ca="1" si="1844"/>
        <v>X</v>
      </c>
      <c r="FU428" s="58" t="str">
        <f t="shared" ca="1" si="1844"/>
        <v>X</v>
      </c>
      <c r="FV428" s="58" t="str">
        <f t="shared" ca="1" si="1844"/>
        <v>X</v>
      </c>
      <c r="FW428" s="58" t="str">
        <f t="shared" ca="1" si="1844"/>
        <v>X</v>
      </c>
      <c r="FX428" s="58" t="str">
        <f t="shared" ca="1" si="1844"/>
        <v>X</v>
      </c>
      <c r="FY428" s="58" t="str">
        <f t="shared" ca="1" si="1844"/>
        <v>X</v>
      </c>
      <c r="FZ428" s="58" t="str">
        <f t="shared" ca="1" si="1844"/>
        <v>X</v>
      </c>
      <c r="GA428" s="58" t="str">
        <f t="shared" ca="1" si="1844"/>
        <v>X</v>
      </c>
      <c r="GB428" s="58" t="str">
        <f t="shared" ca="1" si="1844"/>
        <v>X</v>
      </c>
      <c r="GC428" s="58" t="str">
        <f t="shared" ca="1" si="1844"/>
        <v>X</v>
      </c>
      <c r="GD428" s="58" t="str">
        <f t="shared" ca="1" si="1844"/>
        <v>X</v>
      </c>
      <c r="GE428" s="58" t="str">
        <f t="shared" ca="1" si="1844"/>
        <v>X</v>
      </c>
      <c r="GF428" s="58" t="str">
        <f t="shared" ca="1" si="1844"/>
        <v>X</v>
      </c>
      <c r="GG428" s="58" t="str">
        <f t="shared" ca="1" si="1844"/>
        <v>X</v>
      </c>
      <c r="GH428" s="58" t="str">
        <f t="shared" ca="1" si="1844"/>
        <v>X</v>
      </c>
      <c r="GI428" s="58" t="str">
        <f t="shared" ca="1" si="1844"/>
        <v>X</v>
      </c>
      <c r="GJ428" s="58" t="str">
        <f t="shared" ca="1" si="1844"/>
        <v>X</v>
      </c>
      <c r="GK428" s="58" t="str">
        <f t="shared" ca="1" si="1844"/>
        <v>X</v>
      </c>
      <c r="GL428" s="58" t="str">
        <f t="shared" ca="1" si="1844"/>
        <v>X</v>
      </c>
      <c r="GM428" s="58" t="str">
        <f t="shared" ca="1" si="1844"/>
        <v>X</v>
      </c>
      <c r="GN428" s="58" t="str">
        <f t="shared" ca="1" si="1844"/>
        <v>X</v>
      </c>
      <c r="GO428" s="58" t="str">
        <f t="shared" ca="1" si="1844"/>
        <v>X</v>
      </c>
      <c r="GP428" s="58" t="str">
        <f t="shared" ca="1" si="1844"/>
        <v>X</v>
      </c>
      <c r="GQ428" s="58" t="str">
        <f t="shared" ca="1" si="1844"/>
        <v>X</v>
      </c>
      <c r="GR428" s="58" t="str">
        <f t="shared" ca="1" si="1844"/>
        <v>X</v>
      </c>
      <c r="GS428" s="80" t="str">
        <f t="shared" ca="1" si="1844"/>
        <v>X</v>
      </c>
      <c r="GT428" s="58" t="str">
        <f t="shared" ca="1" si="1844"/>
        <v>X</v>
      </c>
      <c r="GU428" s="82" t="str">
        <f t="shared" ca="1" si="1617"/>
        <v>X</v>
      </c>
      <c r="GV428" s="58" t="str">
        <f t="shared" ca="1" si="1618"/>
        <v>X</v>
      </c>
      <c r="GW428" s="58" t="str">
        <f t="shared" ca="1" si="1619"/>
        <v>X</v>
      </c>
      <c r="GX428" s="58" t="str">
        <f t="shared" ca="1" si="1620"/>
        <v>X</v>
      </c>
      <c r="GY428" s="58" t="str">
        <f t="shared" ca="1" si="1621"/>
        <v>X</v>
      </c>
      <c r="GZ428" s="58" t="str">
        <f t="shared" ca="1" si="1622"/>
        <v>X</v>
      </c>
      <c r="HA428" s="58" t="str">
        <f t="shared" ca="1" si="1623"/>
        <v>X</v>
      </c>
      <c r="HB428" s="58" t="str">
        <f t="shared" ca="1" si="1624"/>
        <v>X</v>
      </c>
      <c r="HC428" s="58" t="str">
        <f t="shared" ca="1" si="1625"/>
        <v>X</v>
      </c>
      <c r="HD428" s="58" t="str">
        <f t="shared" ca="1" si="1626"/>
        <v>X</v>
      </c>
      <c r="HE428" s="58" t="str">
        <f t="shared" ca="1" si="1627"/>
        <v>X</v>
      </c>
      <c r="HF428" s="58" t="str">
        <f t="shared" ca="1" si="1628"/>
        <v>X</v>
      </c>
      <c r="HG428" s="58" t="str">
        <f t="shared" ca="1" si="1629"/>
        <v>X</v>
      </c>
      <c r="HH428" s="58" t="str">
        <f t="shared" ca="1" si="1630"/>
        <v>X</v>
      </c>
      <c r="HI428" s="58" t="str">
        <f t="shared" ca="1" si="1631"/>
        <v>X</v>
      </c>
      <c r="HJ428" s="58" t="str">
        <f t="shared" ca="1" si="1632"/>
        <v>X</v>
      </c>
      <c r="HK428" s="58" t="str">
        <f t="shared" ca="1" si="1633"/>
        <v>X</v>
      </c>
      <c r="HL428" s="58" t="str">
        <f t="shared" ca="1" si="1634"/>
        <v>X</v>
      </c>
      <c r="HM428" s="58" t="str">
        <f t="shared" ca="1" si="1635"/>
        <v>X</v>
      </c>
      <c r="HN428" s="58" t="str">
        <f t="shared" ca="1" si="1636"/>
        <v>X</v>
      </c>
      <c r="HO428" s="58" t="str">
        <f t="shared" ca="1" si="1637"/>
        <v>X</v>
      </c>
      <c r="HP428" s="58" t="str">
        <f t="shared" ca="1" si="1638"/>
        <v>X</v>
      </c>
      <c r="HQ428" s="58" t="str">
        <f t="shared" ca="1" si="1639"/>
        <v>X</v>
      </c>
      <c r="HR428" s="58" t="str">
        <f t="shared" ca="1" si="1640"/>
        <v>X</v>
      </c>
      <c r="HS428" s="58" t="str">
        <f t="shared" ca="1" si="1641"/>
        <v>X</v>
      </c>
      <c r="HT428" s="58" t="str">
        <f t="shared" ca="1" si="1642"/>
        <v>X</v>
      </c>
      <c r="HU428" s="58" t="str">
        <f t="shared" ca="1" si="1643"/>
        <v>X</v>
      </c>
      <c r="HV428" s="58" t="str">
        <f t="shared" ca="1" si="1644"/>
        <v>X</v>
      </c>
      <c r="HW428" s="58" t="str">
        <f t="shared" ca="1" si="1645"/>
        <v>X</v>
      </c>
      <c r="HX428" s="58" t="str">
        <f t="shared" ca="1" si="1646"/>
        <v>X</v>
      </c>
      <c r="HY428" s="58" t="str">
        <f t="shared" ca="1" si="1647"/>
        <v>X</v>
      </c>
      <c r="HZ428" s="58" t="str">
        <f t="shared" ca="1" si="1648"/>
        <v>X</v>
      </c>
      <c r="IA428" s="58" t="str">
        <f t="shared" ca="1" si="1649"/>
        <v>X</v>
      </c>
      <c r="IB428" s="58" t="str">
        <f t="shared" ca="1" si="1650"/>
        <v>X</v>
      </c>
      <c r="IC428" s="58" t="str">
        <f t="shared" ca="1" si="1651"/>
        <v>X</v>
      </c>
      <c r="ID428" s="58" t="str">
        <f t="shared" ca="1" si="1652"/>
        <v>X</v>
      </c>
      <c r="IE428" s="58" t="str">
        <f t="shared" ca="1" si="1653"/>
        <v>X</v>
      </c>
      <c r="IF428" s="58" t="str">
        <f t="shared" ca="1" si="1654"/>
        <v>X</v>
      </c>
      <c r="IG428" s="58" t="str">
        <f t="shared" ca="1" si="1655"/>
        <v>X</v>
      </c>
      <c r="IH428" s="58" t="str">
        <f t="shared" ca="1" si="1656"/>
        <v>X</v>
      </c>
      <c r="II428" s="58" t="str">
        <f t="shared" ca="1" si="1657"/>
        <v>X</v>
      </c>
      <c r="IJ428" s="58" t="str">
        <f t="shared" ca="1" si="1658"/>
        <v>X</v>
      </c>
      <c r="IK428" s="58" t="str">
        <f t="shared" ca="1" si="1659"/>
        <v>X</v>
      </c>
      <c r="IL428" s="58" t="str">
        <f t="shared" ca="1" si="1660"/>
        <v>X</v>
      </c>
      <c r="IM428" s="58" t="str">
        <f t="shared" ca="1" si="1661"/>
        <v>X</v>
      </c>
      <c r="IN428" s="58" t="str">
        <f t="shared" ca="1" si="1662"/>
        <v>X</v>
      </c>
      <c r="IO428" s="58" t="str">
        <f t="shared" ca="1" si="1663"/>
        <v>X</v>
      </c>
      <c r="IP428" s="58" t="str">
        <f t="shared" ca="1" si="1664"/>
        <v>X</v>
      </c>
      <c r="IQ428" s="58" t="str">
        <f t="shared" ca="1" si="1665"/>
        <v>X</v>
      </c>
      <c r="IR428" s="58" t="str">
        <f t="shared" ca="1" si="1666"/>
        <v>X</v>
      </c>
      <c r="IS428" s="58" t="str">
        <f t="shared" ca="1" si="1667"/>
        <v>X</v>
      </c>
      <c r="IT428" s="58" t="str">
        <f t="shared" ca="1" si="1668"/>
        <v>X</v>
      </c>
      <c r="IU428" s="58" t="str">
        <f t="shared" ca="1" si="1669"/>
        <v>X</v>
      </c>
      <c r="IV428" s="58" t="str">
        <f t="shared" ca="1" si="1670"/>
        <v>X</v>
      </c>
      <c r="IW428" s="58" t="str">
        <f t="shared" ca="1" si="1671"/>
        <v>X</v>
      </c>
      <c r="IX428" s="58" t="str">
        <f t="shared" ca="1" si="1672"/>
        <v>X</v>
      </c>
      <c r="IY428" s="58" t="str">
        <f t="shared" ca="1" si="1673"/>
        <v>X</v>
      </c>
      <c r="IZ428" s="58" t="str">
        <f t="shared" ca="1" si="1674"/>
        <v>X</v>
      </c>
      <c r="JA428" s="58" t="str">
        <f t="shared" ca="1" si="1675"/>
        <v>X</v>
      </c>
      <c r="JB428" s="58" t="str">
        <f t="shared" ca="1" si="1676"/>
        <v>X</v>
      </c>
      <c r="JC428" s="58" t="str">
        <f t="shared" ca="1" si="1677"/>
        <v>X</v>
      </c>
      <c r="JD428" s="58" t="str">
        <f t="shared" ca="1" si="1678"/>
        <v>X</v>
      </c>
      <c r="JE428" s="58" t="str">
        <f t="shared" ca="1" si="1679"/>
        <v>X</v>
      </c>
      <c r="JF428" s="58" t="str">
        <f t="shared" ca="1" si="1680"/>
        <v>X</v>
      </c>
      <c r="JG428" s="58" t="str">
        <f t="shared" ca="1" si="1681"/>
        <v>X</v>
      </c>
      <c r="JH428" s="58" t="str">
        <f t="shared" ca="1" si="1682"/>
        <v>X</v>
      </c>
      <c r="JI428" s="58" t="str">
        <f t="shared" ca="1" si="1683"/>
        <v>X</v>
      </c>
      <c r="JJ428" s="58" t="str">
        <f t="shared" ca="1" si="1684"/>
        <v>X</v>
      </c>
      <c r="JK428" s="58" t="str">
        <f t="shared" ca="1" si="1685"/>
        <v>X</v>
      </c>
      <c r="JL428" s="58" t="str">
        <f t="shared" ca="1" si="1686"/>
        <v>X</v>
      </c>
      <c r="JM428" s="58" t="str">
        <f t="shared" ca="1" si="1687"/>
        <v>X</v>
      </c>
      <c r="JN428" s="58" t="str">
        <f t="shared" ca="1" si="1688"/>
        <v>X</v>
      </c>
      <c r="JO428" s="58" t="str">
        <f t="shared" ca="1" si="1689"/>
        <v>X</v>
      </c>
      <c r="JP428" s="58" t="str">
        <f t="shared" ca="1" si="1690"/>
        <v>X</v>
      </c>
      <c r="JQ428" s="58" t="str">
        <f t="shared" ca="1" si="1691"/>
        <v>X</v>
      </c>
      <c r="JR428" s="58" t="str">
        <f t="shared" ca="1" si="1692"/>
        <v>X</v>
      </c>
      <c r="JS428" s="58" t="str">
        <f t="shared" ca="1" si="1693"/>
        <v>X</v>
      </c>
      <c r="JT428" s="58" t="str">
        <f t="shared" ca="1" si="1694"/>
        <v>X</v>
      </c>
      <c r="JU428" s="58" t="str">
        <f t="shared" ca="1" si="1695"/>
        <v>X</v>
      </c>
      <c r="JV428" s="58" t="str">
        <f t="shared" ca="1" si="1696"/>
        <v>X</v>
      </c>
      <c r="JW428" s="58" t="str">
        <f t="shared" ca="1" si="1697"/>
        <v>X</v>
      </c>
      <c r="JX428" s="58" t="str">
        <f t="shared" ca="1" si="1698"/>
        <v>X</v>
      </c>
      <c r="JY428" s="58" t="str">
        <f t="shared" ca="1" si="1699"/>
        <v>X</v>
      </c>
      <c r="JZ428" s="58" t="str">
        <f t="shared" ca="1" si="1700"/>
        <v>X</v>
      </c>
      <c r="KA428" s="58" t="str">
        <f t="shared" ca="1" si="1701"/>
        <v>X</v>
      </c>
      <c r="KB428" s="58" t="str">
        <f t="shared" ca="1" si="1702"/>
        <v>X</v>
      </c>
      <c r="KC428" s="58" t="str">
        <f t="shared" ca="1" si="1703"/>
        <v>X</v>
      </c>
      <c r="KD428" s="58" t="str">
        <f t="shared" ca="1" si="1704"/>
        <v>X</v>
      </c>
      <c r="KE428" s="58" t="str">
        <f t="shared" ca="1" si="1705"/>
        <v>X</v>
      </c>
      <c r="KF428" s="58" t="str">
        <f t="shared" ca="1" si="1706"/>
        <v>X</v>
      </c>
      <c r="KG428" s="58" t="str">
        <f t="shared" ca="1" si="1707"/>
        <v>X</v>
      </c>
      <c r="KH428" s="58" t="str">
        <f t="shared" ca="1" si="1708"/>
        <v>X</v>
      </c>
      <c r="KI428" s="58" t="str">
        <f t="shared" ca="1" si="1709"/>
        <v>X</v>
      </c>
      <c r="KJ428" s="58" t="str">
        <f t="shared" ca="1" si="1710"/>
        <v>X</v>
      </c>
      <c r="KK428" s="58" t="str">
        <f t="shared" ca="1" si="1711"/>
        <v>X</v>
      </c>
      <c r="KL428" s="58" t="str">
        <f t="shared" ca="1" si="1712"/>
        <v>X</v>
      </c>
      <c r="KM428" s="58" t="str">
        <f t="shared" ca="1" si="1713"/>
        <v>X</v>
      </c>
      <c r="KN428" s="58" t="str">
        <f t="shared" ca="1" si="1714"/>
        <v>X</v>
      </c>
      <c r="KO428" s="58" t="str">
        <f t="shared" ca="1" si="1715"/>
        <v>X</v>
      </c>
      <c r="KP428" s="58" t="str">
        <f t="shared" ca="1" si="1716"/>
        <v>X</v>
      </c>
      <c r="KQ428" s="58" t="str">
        <f t="shared" ca="1" si="1717"/>
        <v>X</v>
      </c>
      <c r="KR428" s="58" t="str">
        <f t="shared" ca="1" si="1718"/>
        <v>X</v>
      </c>
      <c r="KS428" s="58" t="str">
        <f t="shared" ca="1" si="1719"/>
        <v>X</v>
      </c>
      <c r="KT428" s="58" t="str">
        <f t="shared" ca="1" si="1720"/>
        <v>X</v>
      </c>
      <c r="KU428" s="58" t="str">
        <f t="shared" ca="1" si="1721"/>
        <v>X</v>
      </c>
      <c r="KV428" s="58" t="str">
        <f t="shared" ca="1" si="1722"/>
        <v>X</v>
      </c>
      <c r="KW428" s="58" t="str">
        <f t="shared" ca="1" si="1723"/>
        <v>X</v>
      </c>
      <c r="KX428" s="58" t="str">
        <f t="shared" ca="1" si="1724"/>
        <v>X</v>
      </c>
      <c r="KY428" s="58" t="str">
        <f t="shared" ca="1" si="1725"/>
        <v>X</v>
      </c>
      <c r="KZ428" s="58" t="str">
        <f t="shared" ca="1" si="1726"/>
        <v>X</v>
      </c>
      <c r="LA428" s="58" t="str">
        <f t="shared" ca="1" si="1727"/>
        <v>X</v>
      </c>
      <c r="LB428" s="58" t="str">
        <f t="shared" ca="1" si="1728"/>
        <v>X</v>
      </c>
      <c r="LC428" s="58" t="str">
        <f t="shared" ca="1" si="1729"/>
        <v>X</v>
      </c>
      <c r="LD428" s="58" t="str">
        <f t="shared" ca="1" si="1730"/>
        <v>X</v>
      </c>
      <c r="LE428" s="58" t="str">
        <f t="shared" ca="1" si="1731"/>
        <v>X</v>
      </c>
      <c r="LF428" s="58" t="str">
        <f t="shared" ca="1" si="1732"/>
        <v>X</v>
      </c>
      <c r="LG428" s="58" t="str">
        <f t="shared" ca="1" si="1733"/>
        <v>X</v>
      </c>
      <c r="LH428" s="58" t="str">
        <f t="shared" ca="1" si="1734"/>
        <v>X</v>
      </c>
      <c r="LI428" s="58" t="str">
        <f t="shared" ca="1" si="1735"/>
        <v>X</v>
      </c>
      <c r="LJ428" s="58" t="str">
        <f t="shared" ca="1" si="1736"/>
        <v>X</v>
      </c>
      <c r="LK428" s="58" t="str">
        <f t="shared" ca="1" si="1737"/>
        <v>X</v>
      </c>
      <c r="LL428" s="58" t="str">
        <f t="shared" ca="1" si="1738"/>
        <v>X</v>
      </c>
      <c r="LM428" s="58" t="str">
        <f t="shared" ca="1" si="1739"/>
        <v>X</v>
      </c>
      <c r="LN428" s="58" t="str">
        <f t="shared" ca="1" si="1740"/>
        <v>X</v>
      </c>
      <c r="LO428" s="58" t="str">
        <f t="shared" ca="1" si="1741"/>
        <v>X</v>
      </c>
      <c r="LP428" s="58" t="str">
        <f t="shared" ca="1" si="1742"/>
        <v>X</v>
      </c>
      <c r="LQ428" s="58" t="str">
        <f t="shared" ca="1" si="1743"/>
        <v>X</v>
      </c>
      <c r="LR428" s="58" t="str">
        <f t="shared" ca="1" si="1744"/>
        <v>X</v>
      </c>
      <c r="LS428" s="58" t="str">
        <f t="shared" ca="1" si="1745"/>
        <v>X</v>
      </c>
      <c r="LT428" s="58" t="str">
        <f t="shared" ca="1" si="1746"/>
        <v>X</v>
      </c>
      <c r="LU428" s="58" t="str">
        <f t="shared" ca="1" si="1747"/>
        <v>X</v>
      </c>
      <c r="LV428" s="58" t="str">
        <f t="shared" ca="1" si="1748"/>
        <v>X</v>
      </c>
      <c r="LW428" s="58" t="str">
        <f t="shared" ca="1" si="1749"/>
        <v>X</v>
      </c>
      <c r="LX428" s="58" t="str">
        <f t="shared" ca="1" si="1750"/>
        <v>X</v>
      </c>
      <c r="LY428" s="58" t="str">
        <f t="shared" ca="1" si="1751"/>
        <v>X</v>
      </c>
      <c r="LZ428" s="58" t="str">
        <f t="shared" ca="1" si="1752"/>
        <v>X</v>
      </c>
      <c r="MA428" s="58" t="str">
        <f t="shared" ca="1" si="1753"/>
        <v>X</v>
      </c>
      <c r="MB428" s="58" t="str">
        <f t="shared" ca="1" si="1754"/>
        <v>X</v>
      </c>
      <c r="MC428" s="58" t="str">
        <f t="shared" ca="1" si="1755"/>
        <v>X</v>
      </c>
      <c r="MD428" s="58" t="str">
        <f t="shared" ca="1" si="1756"/>
        <v>X</v>
      </c>
      <c r="ME428" s="58" t="str">
        <f t="shared" ca="1" si="1757"/>
        <v>X</v>
      </c>
      <c r="MF428" s="58" t="str">
        <f t="shared" ca="1" si="1758"/>
        <v>X</v>
      </c>
      <c r="MG428" s="58" t="str">
        <f t="shared" ca="1" si="1759"/>
        <v>X</v>
      </c>
      <c r="MH428" s="58" t="str">
        <f t="shared" ca="1" si="1760"/>
        <v>X</v>
      </c>
      <c r="MI428" s="58" t="str">
        <f t="shared" ca="1" si="1761"/>
        <v>X</v>
      </c>
      <c r="MJ428" s="58" t="str">
        <f t="shared" ca="1" si="1762"/>
        <v>X</v>
      </c>
      <c r="MK428" s="58" t="str">
        <f t="shared" ca="1" si="1763"/>
        <v>X</v>
      </c>
      <c r="ML428" s="58" t="str">
        <f t="shared" ca="1" si="1764"/>
        <v>X</v>
      </c>
      <c r="MM428" s="58" t="str">
        <f t="shared" ca="1" si="1765"/>
        <v>X</v>
      </c>
      <c r="MN428" s="58" t="str">
        <f t="shared" ca="1" si="1766"/>
        <v>X</v>
      </c>
      <c r="MO428" s="58" t="str">
        <f t="shared" ca="1" si="1767"/>
        <v>X</v>
      </c>
      <c r="MP428" s="58" t="str">
        <f t="shared" ca="1" si="1768"/>
        <v>X</v>
      </c>
      <c r="MQ428" s="58" t="str">
        <f t="shared" ca="1" si="1769"/>
        <v>X</v>
      </c>
      <c r="MR428" s="58" t="str">
        <f t="shared" ca="1" si="1770"/>
        <v>X</v>
      </c>
      <c r="MS428" s="58" t="str">
        <f t="shared" ca="1" si="1771"/>
        <v>X</v>
      </c>
      <c r="MT428" s="58" t="str">
        <f t="shared" ref="MT428:NE428" ca="1" si="1845">IF($K428=INDIRECT(CONCATENATE("$AG$"&amp;GH$392)),INDIRECT(CONCATENATE("$AG$"&amp;GH$391)),
IF($K428=INDIRECT(CONCATENATE("$AF$"&amp;GH$392)),INDIRECT(CONCATENATE("$AF$"&amp;GH$391)),
IF($K428=INDIRECT(CONCATENATE("$AE$"&amp;GH$392)),INDIRECT(CONCATENATE("$AE$"&amp;GH$391)),
IF($K428=INDIRECT(CONCATENATE("$AD$"&amp;GH$392)),INDIRECT(CONCATENATE("$AD$"&amp;GH$391)),
IF($K428=INDIRECT(CONCATENATE("$AC$"&amp;GH$392)),INDIRECT(CONCATENATE("$AC$"&amp;GH$391)),
IF($K428=INDIRECT(CONCATENATE("$AB$"&amp;GH$392)),INDIRECT(CONCATENATE("$AB$"&amp;GH$391)),
IF($K428=INDIRECT(CONCATENATE("$AA$"&amp;GH$392)),INDIRECT(CONCATENATE("$AA$"&amp;GH$391)),
IF($K428=INDIRECT(CONCATENATE("$Z$"&amp;GH$392)),INDIRECT(CONCATENATE("$Z$"&amp;GH$391)),
IF($K428=INDIRECT(CONCATENATE("$Y$"&amp;GH$392)),INDIRECT(CONCATENATE("$Y$"&amp;GH$391)),
IF($K428=INDIRECT(CONCATENATE("$X$"&amp;GH$392)),INDIRECT(CONCATENATE("$X$"&amp;GH$391)),
IF($K428=INDIRECT(CONCATENATE("$W$"&amp;GH$392)),INDIRECT(CONCATENATE("$W$"&amp;GH$391)),
IF($K428=INDIRECT(CONCATENATE("$V$"&amp;GH$392)),INDIRECT(CONCATENATE("$V$"&amp;GH$391)),
IF($K428=INDIRECT(CONCATENATE("$U$"&amp;GH$392)),INDIRECT(CONCATENATE("$U$"&amp;GH$391)),
IF($K428=INDIRECT(CONCATENATE("$T$"&amp;GH$392)),INDIRECT(CONCATENATE("$T$"&amp;GH$391)),
IF($K428=INDIRECT(CONCATENATE("$S$"&amp;GH$392)),INDIRECT(CONCATENATE("$S$"&amp;GH$391)),
IF($K428=INDIRECT(CONCATENATE("$R$"&amp;GH$392)),INDIRECT(CONCATENATE("$R$"&amp;GH$391)),
IF($K428=INDIRECT(CONCATENATE("$Q$"&amp;GH$392)),INDIRECT(CONCATENATE("$Q$"&amp;GH$391)),
IF($K428=INDIRECT(CONCATENATE("$P$"&amp;GH$392)),INDIRECT(CONCATENATE("$P$"&amp;GH$391)),
IF($K428=INDIRECT(CONCATENATE("$O$"&amp;GH$392)),INDIRECT(CONCATENATE("$O$"&amp;GH$391)),
IF($K428=INDIRECT(CONCATENATE("$N$"&amp;GH$392)),INDIRECT(CONCATENATE("$N$"&amp;GH$391)),
IF($K428=INDIRECT(CONCATENATE("$M$"&amp;GH$392)),INDIRECT(CONCATENATE("$M$"&amp;GH$391)),
IF($K428=INDIRECT(CONCATENATE("$L$"&amp;GH$392)),INDIRECT(CONCATENATE("$L$"&amp;GH$391)),
IF($K428=INDIRECT(CONCATENATE("$K$"&amp;GH$392)),INDIRECT(CONCATENATE("$K$"&amp;GH$391)),
IF($K428=INDIRECT(CONCATENATE("$J$"&amp;GH$392)),INDIRECT(CONCATENATE("$J$"&amp;GH$391)),
IF($K428=INDIRECT(CONCATENATE("$I$"&amp;GH$392)),INDIRECT(CONCATENATE("$I$"&amp;GH$391)),
IF($K428=INDIRECT(CONCATENATE("$H$"&amp;GH$392)),INDIRECT(CONCATENATE("$H$"&amp;GH$391)),
IF($K428=INDIRECT(CONCATENATE("$G$"&amp;GH$392)),INDIRECT(CONCATENATE("$G$"&amp;GH$391)),
IF($K428=INDIRECT(CONCATENATE("$F$"&amp;GH$392)),INDIRECT(CONCATENATE("$F$"&amp;GH$391)),
IF($K428=INDIRECT(CONCATENATE("$E$"&amp;GH$392)),INDIRECT(CONCATENATE("$E$"&amp;GH$391)),
IF($K428=INDIRECT(CONCATENATE("$D$"&amp;GH$392)),INDIRECT(CONCATENATE("$D$"&amp;GH$391)),
IF($K428=INDIRECT(CONCATENATE("$C$"&amp;GH$392)),INDIRECT(CONCATENATE("$C$"&amp;GH$391)),"X")))))))))))))))))))))))))))))))</f>
        <v>X</v>
      </c>
      <c r="MU428" s="58" t="str">
        <f t="shared" ca="1" si="1845"/>
        <v>X</v>
      </c>
      <c r="MV428" s="58" t="str">
        <f t="shared" ca="1" si="1845"/>
        <v>X</v>
      </c>
      <c r="MW428" s="58" t="str">
        <f t="shared" ca="1" si="1845"/>
        <v>X</v>
      </c>
      <c r="MX428" s="58" t="str">
        <f t="shared" ca="1" si="1845"/>
        <v>X</v>
      </c>
      <c r="MY428" s="58" t="str">
        <f t="shared" ca="1" si="1845"/>
        <v>X</v>
      </c>
      <c r="MZ428" s="58" t="str">
        <f t="shared" ca="1" si="1845"/>
        <v>X</v>
      </c>
      <c r="NA428" s="58" t="str">
        <f t="shared" ca="1" si="1845"/>
        <v>X</v>
      </c>
      <c r="NB428" s="58" t="str">
        <f t="shared" ca="1" si="1845"/>
        <v>X</v>
      </c>
      <c r="NC428" s="58" t="str">
        <f t="shared" ca="1" si="1845"/>
        <v>X</v>
      </c>
      <c r="ND428" s="58" t="str">
        <f t="shared" ca="1" si="1845"/>
        <v>X</v>
      </c>
      <c r="NE428" s="58" t="str">
        <f t="shared" ca="1" si="1845"/>
        <v>X</v>
      </c>
      <c r="NF428" s="58" t="str">
        <f t="shared" ca="1" si="1773"/>
        <v>X</v>
      </c>
      <c r="NG428" s="58" t="str">
        <f t="shared" ca="1" si="1774"/>
        <v>X</v>
      </c>
    </row>
  </sheetData>
  <mergeCells count="878">
    <mergeCell ref="Z362:Z363"/>
    <mergeCell ref="Z364:Z365"/>
    <mergeCell ref="Z366:Z367"/>
    <mergeCell ref="Z368:Z369"/>
    <mergeCell ref="Z370:Z371"/>
    <mergeCell ref="Z372:Z373"/>
    <mergeCell ref="Z374:Z375"/>
    <mergeCell ref="Z376:Z377"/>
    <mergeCell ref="Z378:Z379"/>
    <mergeCell ref="A104:B105"/>
    <mergeCell ref="B106:B107"/>
    <mergeCell ref="B114:B115"/>
    <mergeCell ref="A126:A133"/>
    <mergeCell ref="B190:B191"/>
    <mergeCell ref="B202:B203"/>
    <mergeCell ref="A199:M199"/>
    <mergeCell ref="A202:A211"/>
    <mergeCell ref="A212:A221"/>
    <mergeCell ref="B206:B207"/>
    <mergeCell ref="B212:B213"/>
    <mergeCell ref="C148:C149"/>
    <mergeCell ref="C150:C151"/>
    <mergeCell ref="A180:A189"/>
    <mergeCell ref="A190:A197"/>
    <mergeCell ref="A106:A115"/>
    <mergeCell ref="A116:A125"/>
    <mergeCell ref="B110:B111"/>
    <mergeCell ref="B112:B113"/>
    <mergeCell ref="B116:B117"/>
    <mergeCell ref="B118:B119"/>
    <mergeCell ref="B120:B121"/>
    <mergeCell ref="B122:B123"/>
    <mergeCell ref="B108:B109"/>
    <mergeCell ref="N316:N317"/>
    <mergeCell ref="B338:B339"/>
    <mergeCell ref="D338:D339"/>
    <mergeCell ref="N298:N299"/>
    <mergeCell ref="N300:N301"/>
    <mergeCell ref="N302:N303"/>
    <mergeCell ref="N304:N305"/>
    <mergeCell ref="N308:N309"/>
    <mergeCell ref="N310:N311"/>
    <mergeCell ref="N312:N313"/>
    <mergeCell ref="N314:N315"/>
    <mergeCell ref="N318:N319"/>
    <mergeCell ref="N320:N321"/>
    <mergeCell ref="N322:N323"/>
    <mergeCell ref="N324:N325"/>
    <mergeCell ref="D334:D335"/>
    <mergeCell ref="D336:D337"/>
    <mergeCell ref="N306:N307"/>
    <mergeCell ref="B298:B299"/>
    <mergeCell ref="B300:B301"/>
    <mergeCell ref="B302:B303"/>
    <mergeCell ref="B304:B305"/>
    <mergeCell ref="B336:B337"/>
    <mergeCell ref="D202:D203"/>
    <mergeCell ref="B204:B205"/>
    <mergeCell ref="D212:D213"/>
    <mergeCell ref="B208:B209"/>
    <mergeCell ref="D208:D209"/>
    <mergeCell ref="B226:B227"/>
    <mergeCell ref="A200:B201"/>
    <mergeCell ref="D226:D227"/>
    <mergeCell ref="D204:D205"/>
    <mergeCell ref="D206:D207"/>
    <mergeCell ref="D214:D215"/>
    <mergeCell ref="D216:D217"/>
    <mergeCell ref="D218:D219"/>
    <mergeCell ref="B220:B221"/>
    <mergeCell ref="D220:D221"/>
    <mergeCell ref="B214:B215"/>
    <mergeCell ref="B216:B217"/>
    <mergeCell ref="B218:B219"/>
    <mergeCell ref="B222:B223"/>
    <mergeCell ref="B224:B225"/>
    <mergeCell ref="B210:B211"/>
    <mergeCell ref="D210:D211"/>
    <mergeCell ref="D222:D223"/>
    <mergeCell ref="D224:D225"/>
    <mergeCell ref="B144:B145"/>
    <mergeCell ref="C144:C145"/>
    <mergeCell ref="B162:B163"/>
    <mergeCell ref="C162:C163"/>
    <mergeCell ref="B140:B141"/>
    <mergeCell ref="B146:B147"/>
    <mergeCell ref="A138:A147"/>
    <mergeCell ref="N199:Q199"/>
    <mergeCell ref="S199:V199"/>
    <mergeCell ref="A170:A179"/>
    <mergeCell ref="A158:A165"/>
    <mergeCell ref="B178:B179"/>
    <mergeCell ref="A168:B169"/>
    <mergeCell ref="A167:M167"/>
    <mergeCell ref="B148:B149"/>
    <mergeCell ref="B150:B151"/>
    <mergeCell ref="B152:B153"/>
    <mergeCell ref="B154:B155"/>
    <mergeCell ref="B158:B159"/>
    <mergeCell ref="B160:B161"/>
    <mergeCell ref="B156:B157"/>
    <mergeCell ref="O182:O183"/>
    <mergeCell ref="O184:O185"/>
    <mergeCell ref="O186:O187"/>
    <mergeCell ref="D106:D107"/>
    <mergeCell ref="D108:D109"/>
    <mergeCell ref="D110:D111"/>
    <mergeCell ref="W126:W127"/>
    <mergeCell ref="W128:W129"/>
    <mergeCell ref="W130:W131"/>
    <mergeCell ref="W132:W133"/>
    <mergeCell ref="E130:E131"/>
    <mergeCell ref="E132:E133"/>
    <mergeCell ref="D112:D113"/>
    <mergeCell ref="D114:D115"/>
    <mergeCell ref="D116:D117"/>
    <mergeCell ref="D118:D119"/>
    <mergeCell ref="D120:D121"/>
    <mergeCell ref="D122:D123"/>
    <mergeCell ref="E106:E107"/>
    <mergeCell ref="E108:E109"/>
    <mergeCell ref="W116:W117"/>
    <mergeCell ref="W118:W119"/>
    <mergeCell ref="W106:W107"/>
    <mergeCell ref="W108:W109"/>
    <mergeCell ref="B130:B131"/>
    <mergeCell ref="B132:B133"/>
    <mergeCell ref="W120:W121"/>
    <mergeCell ref="W122:W123"/>
    <mergeCell ref="D124:D125"/>
    <mergeCell ref="D126:D127"/>
    <mergeCell ref="D128:D129"/>
    <mergeCell ref="D130:D131"/>
    <mergeCell ref="D132:D133"/>
    <mergeCell ref="E124:E125"/>
    <mergeCell ref="B128:B129"/>
    <mergeCell ref="B126:B127"/>
    <mergeCell ref="B124:B125"/>
    <mergeCell ref="W124:W125"/>
    <mergeCell ref="AC327:AE327"/>
    <mergeCell ref="AF327:AG327"/>
    <mergeCell ref="V330:V331"/>
    <mergeCell ref="V332:V333"/>
    <mergeCell ref="V334:V335"/>
    <mergeCell ref="B344:B345"/>
    <mergeCell ref="B346:B347"/>
    <mergeCell ref="B334:B335"/>
    <mergeCell ref="N327:Q327"/>
    <mergeCell ref="S327:V327"/>
    <mergeCell ref="X327:AA327"/>
    <mergeCell ref="V338:V339"/>
    <mergeCell ref="B330:B331"/>
    <mergeCell ref="D330:D331"/>
    <mergeCell ref="B332:B333"/>
    <mergeCell ref="D332:D333"/>
    <mergeCell ref="D340:D341"/>
    <mergeCell ref="D342:D343"/>
    <mergeCell ref="A328:B329"/>
    <mergeCell ref="A327:M327"/>
    <mergeCell ref="A330:A339"/>
    <mergeCell ref="A340:A349"/>
    <mergeCell ref="B342:B343"/>
    <mergeCell ref="B348:B349"/>
    <mergeCell ref="D348:D349"/>
    <mergeCell ref="D344:D345"/>
    <mergeCell ref="D346:D347"/>
    <mergeCell ref="V354:V355"/>
    <mergeCell ref="V356:V357"/>
    <mergeCell ref="AC359:AE359"/>
    <mergeCell ref="AF359:AG359"/>
    <mergeCell ref="V336:V337"/>
    <mergeCell ref="V340:V341"/>
    <mergeCell ref="V342:V343"/>
    <mergeCell ref="V344:V345"/>
    <mergeCell ref="V346:V347"/>
    <mergeCell ref="V350:V351"/>
    <mergeCell ref="V352:V353"/>
    <mergeCell ref="AG328:AG357"/>
    <mergeCell ref="S359:V359"/>
    <mergeCell ref="X359:AA359"/>
    <mergeCell ref="V348:V349"/>
    <mergeCell ref="A382:A389"/>
    <mergeCell ref="B384:B385"/>
    <mergeCell ref="Y392:Y393"/>
    <mergeCell ref="N391:R393"/>
    <mergeCell ref="N359:Q359"/>
    <mergeCell ref="A350:A357"/>
    <mergeCell ref="B350:B351"/>
    <mergeCell ref="B352:B353"/>
    <mergeCell ref="B354:B355"/>
    <mergeCell ref="B356:B357"/>
    <mergeCell ref="B386:B387"/>
    <mergeCell ref="B388:B389"/>
    <mergeCell ref="A359:M359"/>
    <mergeCell ref="B370:B371"/>
    <mergeCell ref="B380:B381"/>
    <mergeCell ref="A372:A381"/>
    <mergeCell ref="A362:A371"/>
    <mergeCell ref="A360:B361"/>
    <mergeCell ref="K396:L396"/>
    <mergeCell ref="A397:J397"/>
    <mergeCell ref="K397:L397"/>
    <mergeCell ref="A398:J398"/>
    <mergeCell ref="K398:L398"/>
    <mergeCell ref="V391:W393"/>
    <mergeCell ref="X391:Y391"/>
    <mergeCell ref="X392:X393"/>
    <mergeCell ref="D350:D351"/>
    <mergeCell ref="D352:D353"/>
    <mergeCell ref="D354:D355"/>
    <mergeCell ref="D356:D357"/>
    <mergeCell ref="A391:J393"/>
    <mergeCell ref="K391:L393"/>
    <mergeCell ref="M391:M392"/>
    <mergeCell ref="B378:B379"/>
    <mergeCell ref="B382:B383"/>
    <mergeCell ref="B362:B363"/>
    <mergeCell ref="B364:B365"/>
    <mergeCell ref="B366:B367"/>
    <mergeCell ref="B368:B369"/>
    <mergeCell ref="B372:B373"/>
    <mergeCell ref="B374:B375"/>
    <mergeCell ref="B376:B377"/>
    <mergeCell ref="A394:J394"/>
    <mergeCell ref="K394:L394"/>
    <mergeCell ref="N394:R394"/>
    <mergeCell ref="S394:U394"/>
    <mergeCell ref="V394:W394"/>
    <mergeCell ref="K395:L395"/>
    <mergeCell ref="V395:W395"/>
    <mergeCell ref="N395:R395"/>
    <mergeCell ref="S395:U395"/>
    <mergeCell ref="N396:R396"/>
    <mergeCell ref="S396:U396"/>
    <mergeCell ref="V396:W396"/>
    <mergeCell ref="S397:U397"/>
    <mergeCell ref="V397:W397"/>
    <mergeCell ref="N397:R397"/>
    <mergeCell ref="N398:R398"/>
    <mergeCell ref="S398:U398"/>
    <mergeCell ref="V398:W398"/>
    <mergeCell ref="AF103:AG103"/>
    <mergeCell ref="AG104:AG133"/>
    <mergeCell ref="AC103:AE103"/>
    <mergeCell ref="W110:W111"/>
    <mergeCell ref="W112:W113"/>
    <mergeCell ref="E114:E115"/>
    <mergeCell ref="W114:W115"/>
    <mergeCell ref="N399:R399"/>
    <mergeCell ref="S399:U399"/>
    <mergeCell ref="V399:W399"/>
    <mergeCell ref="E116:E117"/>
    <mergeCell ref="E118:E119"/>
    <mergeCell ref="E110:E111"/>
    <mergeCell ref="E112:E113"/>
    <mergeCell ref="F186:F187"/>
    <mergeCell ref="F190:F191"/>
    <mergeCell ref="F196:F197"/>
    <mergeCell ref="E120:E121"/>
    <mergeCell ref="E122:E123"/>
    <mergeCell ref="E126:E127"/>
    <mergeCell ref="E128:E129"/>
    <mergeCell ref="A395:J395"/>
    <mergeCell ref="A396:J396"/>
    <mergeCell ref="S391:U393"/>
    <mergeCell ref="AF135:AG135"/>
    <mergeCell ref="AC135:AE135"/>
    <mergeCell ref="AC167:AE167"/>
    <mergeCell ref="AF167:AG167"/>
    <mergeCell ref="X167:AA167"/>
    <mergeCell ref="C152:C153"/>
    <mergeCell ref="C154:C155"/>
    <mergeCell ref="C158:C159"/>
    <mergeCell ref="C160:C161"/>
    <mergeCell ref="C156:C157"/>
    <mergeCell ref="N135:Q135"/>
    <mergeCell ref="S135:V135"/>
    <mergeCell ref="X135:AA135"/>
    <mergeCell ref="C146:C147"/>
    <mergeCell ref="C140:C141"/>
    <mergeCell ref="A135:M135"/>
    <mergeCell ref="A148:A157"/>
    <mergeCell ref="C164:C165"/>
    <mergeCell ref="B164:B165"/>
    <mergeCell ref="B142:B143"/>
    <mergeCell ref="C142:C143"/>
    <mergeCell ref="A136:B137"/>
    <mergeCell ref="B138:B139"/>
    <mergeCell ref="C138:C139"/>
    <mergeCell ref="D228:D229"/>
    <mergeCell ref="B170:B171"/>
    <mergeCell ref="B172:B173"/>
    <mergeCell ref="B174:B175"/>
    <mergeCell ref="B176:B177"/>
    <mergeCell ref="F192:F193"/>
    <mergeCell ref="F194:F195"/>
    <mergeCell ref="B196:B197"/>
    <mergeCell ref="B192:B193"/>
    <mergeCell ref="B194:B195"/>
    <mergeCell ref="B180:B181"/>
    <mergeCell ref="B182:B183"/>
    <mergeCell ref="F172:F173"/>
    <mergeCell ref="F174:F175"/>
    <mergeCell ref="F170:F171"/>
    <mergeCell ref="F176:F177"/>
    <mergeCell ref="F180:F181"/>
    <mergeCell ref="F178:F179"/>
    <mergeCell ref="B188:B189"/>
    <mergeCell ref="F188:F189"/>
    <mergeCell ref="F182:F183"/>
    <mergeCell ref="F184:F185"/>
    <mergeCell ref="B184:B185"/>
    <mergeCell ref="B186:B187"/>
    <mergeCell ref="B252:B253"/>
    <mergeCell ref="B284:B285"/>
    <mergeCell ref="B316:B317"/>
    <mergeCell ref="B308:B309"/>
    <mergeCell ref="B314:B315"/>
    <mergeCell ref="B318:B319"/>
    <mergeCell ref="B256:B257"/>
    <mergeCell ref="B258:B259"/>
    <mergeCell ref="A222:A229"/>
    <mergeCell ref="B234:B235"/>
    <mergeCell ref="B236:B237"/>
    <mergeCell ref="B242:B243"/>
    <mergeCell ref="B228:B229"/>
    <mergeCell ref="A244:A253"/>
    <mergeCell ref="A234:A243"/>
    <mergeCell ref="A232:B233"/>
    <mergeCell ref="B340:B341"/>
    <mergeCell ref="I274:I275"/>
    <mergeCell ref="B286:B287"/>
    <mergeCell ref="B288:B289"/>
    <mergeCell ref="I286:I287"/>
    <mergeCell ref="I288:I289"/>
    <mergeCell ref="A295:M295"/>
    <mergeCell ref="A286:A293"/>
    <mergeCell ref="I284:I285"/>
    <mergeCell ref="B320:B321"/>
    <mergeCell ref="B322:B323"/>
    <mergeCell ref="B324:B325"/>
    <mergeCell ref="B306:B307"/>
    <mergeCell ref="A266:A275"/>
    <mergeCell ref="A276:A285"/>
    <mergeCell ref="I270:I271"/>
    <mergeCell ref="I272:I273"/>
    <mergeCell ref="A298:A307"/>
    <mergeCell ref="A308:A317"/>
    <mergeCell ref="B310:B311"/>
    <mergeCell ref="B312:B313"/>
    <mergeCell ref="A318:A325"/>
    <mergeCell ref="A296:B297"/>
    <mergeCell ref="A399:J399"/>
    <mergeCell ref="K399:L399"/>
    <mergeCell ref="A400:J400"/>
    <mergeCell ref="K400:L400"/>
    <mergeCell ref="A401:J401"/>
    <mergeCell ref="K401:L401"/>
    <mergeCell ref="K402:L402"/>
    <mergeCell ref="A402:J402"/>
    <mergeCell ref="A403:J403"/>
    <mergeCell ref="K403:L403"/>
    <mergeCell ref="A404:J404"/>
    <mergeCell ref="K404:L404"/>
    <mergeCell ref="K417:L417"/>
    <mergeCell ref="A405:J405"/>
    <mergeCell ref="K405:L405"/>
    <mergeCell ref="A406:J406"/>
    <mergeCell ref="K406:L406"/>
    <mergeCell ref="A407:J407"/>
    <mergeCell ref="K407:L407"/>
    <mergeCell ref="A408:J408"/>
    <mergeCell ref="K408:L408"/>
    <mergeCell ref="K409:L409"/>
    <mergeCell ref="A409:J409"/>
    <mergeCell ref="A413:J413"/>
    <mergeCell ref="K413:L413"/>
    <mergeCell ref="A414:J414"/>
    <mergeCell ref="K414:L414"/>
    <mergeCell ref="A415:J415"/>
    <mergeCell ref="K415:L415"/>
    <mergeCell ref="K416:L416"/>
    <mergeCell ref="A410:J410"/>
    <mergeCell ref="K410:L410"/>
    <mergeCell ref="A411:J411"/>
    <mergeCell ref="K411:L411"/>
    <mergeCell ref="A412:J412"/>
    <mergeCell ref="K412:L412"/>
    <mergeCell ref="A416:J416"/>
    <mergeCell ref="Z395:AB395"/>
    <mergeCell ref="AC395:AD395"/>
    <mergeCell ref="AE395:AF395"/>
    <mergeCell ref="Z396:AB396"/>
    <mergeCell ref="AC396:AD396"/>
    <mergeCell ref="AE396:AF396"/>
    <mergeCell ref="AC399:AD399"/>
    <mergeCell ref="AE399:AF399"/>
    <mergeCell ref="Z397:AB397"/>
    <mergeCell ref="AC397:AD397"/>
    <mergeCell ref="AE397:AF397"/>
    <mergeCell ref="Z398:AB398"/>
    <mergeCell ref="AC398:AD398"/>
    <mergeCell ref="AE398:AF398"/>
    <mergeCell ref="Z399:AB399"/>
    <mergeCell ref="AC402:AD402"/>
    <mergeCell ref="AE402:AF402"/>
    <mergeCell ref="Z400:AB400"/>
    <mergeCell ref="AC400:AD400"/>
    <mergeCell ref="AE400:AF400"/>
    <mergeCell ref="Z401:AB401"/>
    <mergeCell ref="AC401:AD401"/>
    <mergeCell ref="AE401:AF401"/>
    <mergeCell ref="Z402:AB402"/>
    <mergeCell ref="AC405:AD405"/>
    <mergeCell ref="AE405:AF405"/>
    <mergeCell ref="Z403:AB403"/>
    <mergeCell ref="AC403:AD403"/>
    <mergeCell ref="AE403:AF403"/>
    <mergeCell ref="Z404:AB404"/>
    <mergeCell ref="AC404:AD404"/>
    <mergeCell ref="AE404:AF404"/>
    <mergeCell ref="Z405:AB405"/>
    <mergeCell ref="AC418:AD418"/>
    <mergeCell ref="AE418:AF418"/>
    <mergeCell ref="N414:R414"/>
    <mergeCell ref="S414:U414"/>
    <mergeCell ref="V414:W414"/>
    <mergeCell ref="Z414:AB414"/>
    <mergeCell ref="AC414:AD414"/>
    <mergeCell ref="AE414:AF414"/>
    <mergeCell ref="N415:R415"/>
    <mergeCell ref="AE415:AF415"/>
    <mergeCell ref="N418:R418"/>
    <mergeCell ref="S418:U418"/>
    <mergeCell ref="S415:U415"/>
    <mergeCell ref="V415:W415"/>
    <mergeCell ref="S416:U416"/>
    <mergeCell ref="V416:W416"/>
    <mergeCell ref="Z416:AB416"/>
    <mergeCell ref="AC416:AD416"/>
    <mergeCell ref="AE416:AF416"/>
    <mergeCell ref="N416:R416"/>
    <mergeCell ref="A2:C2"/>
    <mergeCell ref="D2:L2"/>
    <mergeCell ref="M2:O2"/>
    <mergeCell ref="R2:Z2"/>
    <mergeCell ref="A3:C3"/>
    <mergeCell ref="D3:L3"/>
    <mergeCell ref="M3:O3"/>
    <mergeCell ref="D4:L4"/>
    <mergeCell ref="B24:B25"/>
    <mergeCell ref="C24:C25"/>
    <mergeCell ref="B18:B19"/>
    <mergeCell ref="C18:C19"/>
    <mergeCell ref="A10:A19"/>
    <mergeCell ref="A20:A29"/>
    <mergeCell ref="C20:C21"/>
    <mergeCell ref="B22:B23"/>
    <mergeCell ref="C22:C23"/>
    <mergeCell ref="A4:C4"/>
    <mergeCell ref="A8:B9"/>
    <mergeCell ref="B10:B11"/>
    <mergeCell ref="C10:C11"/>
    <mergeCell ref="C12:C13"/>
    <mergeCell ref="B12:B13"/>
    <mergeCell ref="B20:B21"/>
    <mergeCell ref="AF71:AG71"/>
    <mergeCell ref="R46:R47"/>
    <mergeCell ref="S46:S47"/>
    <mergeCell ref="T46:T47"/>
    <mergeCell ref="O60:O61"/>
    <mergeCell ref="R60:R61"/>
    <mergeCell ref="S60:S61"/>
    <mergeCell ref="T60:T61"/>
    <mergeCell ref="R54:R55"/>
    <mergeCell ref="S54:S55"/>
    <mergeCell ref="T54:T55"/>
    <mergeCell ref="O56:O57"/>
    <mergeCell ref="T56:T57"/>
    <mergeCell ref="Y70:AC70"/>
    <mergeCell ref="AC71:AE71"/>
    <mergeCell ref="R52:R53"/>
    <mergeCell ref="S52:S53"/>
    <mergeCell ref="O50:O51"/>
    <mergeCell ref="R50:R51"/>
    <mergeCell ref="S50:S51"/>
    <mergeCell ref="T50:T51"/>
    <mergeCell ref="O48:O49"/>
    <mergeCell ref="T48:T49"/>
    <mergeCell ref="T58:T59"/>
    <mergeCell ref="O68:O69"/>
    <mergeCell ref="C36:C37"/>
    <mergeCell ref="B68:B69"/>
    <mergeCell ref="B54:B55"/>
    <mergeCell ref="B56:B57"/>
    <mergeCell ref="O62:O63"/>
    <mergeCell ref="T62:T63"/>
    <mergeCell ref="O46:O47"/>
    <mergeCell ref="R48:R49"/>
    <mergeCell ref="S48:S49"/>
    <mergeCell ref="O42:O43"/>
    <mergeCell ref="R42:R43"/>
    <mergeCell ref="S42:S43"/>
    <mergeCell ref="T42:T43"/>
    <mergeCell ref="R44:R45"/>
    <mergeCell ref="S44:S45"/>
    <mergeCell ref="T44:T45"/>
    <mergeCell ref="O44:O45"/>
    <mergeCell ref="O52:O53"/>
    <mergeCell ref="T52:T53"/>
    <mergeCell ref="R56:R57"/>
    <mergeCell ref="S56:S57"/>
    <mergeCell ref="O54:O55"/>
    <mergeCell ref="B66:B67"/>
    <mergeCell ref="AC7:AE7"/>
    <mergeCell ref="AF7:AG7"/>
    <mergeCell ref="B14:B15"/>
    <mergeCell ref="C14:C15"/>
    <mergeCell ref="B16:B17"/>
    <mergeCell ref="C16:C17"/>
    <mergeCell ref="AF39:AG39"/>
    <mergeCell ref="AE40:AG69"/>
    <mergeCell ref="B26:B27"/>
    <mergeCell ref="C26:C27"/>
    <mergeCell ref="AC39:AE39"/>
    <mergeCell ref="B28:B29"/>
    <mergeCell ref="C28:C29"/>
    <mergeCell ref="B50:B51"/>
    <mergeCell ref="B60:B61"/>
    <mergeCell ref="O58:O59"/>
    <mergeCell ref="R58:R59"/>
    <mergeCell ref="S58:S59"/>
    <mergeCell ref="R68:R69"/>
    <mergeCell ref="S68:S69"/>
    <mergeCell ref="T68:T69"/>
    <mergeCell ref="B46:B47"/>
    <mergeCell ref="B58:B59"/>
    <mergeCell ref="B48:B49"/>
    <mergeCell ref="R66:R67"/>
    <mergeCell ref="S66:S67"/>
    <mergeCell ref="B62:B63"/>
    <mergeCell ref="B64:B65"/>
    <mergeCell ref="O64:O65"/>
    <mergeCell ref="R64:R65"/>
    <mergeCell ref="S64:S65"/>
    <mergeCell ref="T64:T65"/>
    <mergeCell ref="O66:O67"/>
    <mergeCell ref="T66:T67"/>
    <mergeCell ref="R62:R63"/>
    <mergeCell ref="S62:S63"/>
    <mergeCell ref="B84:B85"/>
    <mergeCell ref="B86:B87"/>
    <mergeCell ref="B88:B89"/>
    <mergeCell ref="B90:B91"/>
    <mergeCell ref="B94:B95"/>
    <mergeCell ref="A103:M103"/>
    <mergeCell ref="B96:B97"/>
    <mergeCell ref="B98:B99"/>
    <mergeCell ref="A94:A101"/>
    <mergeCell ref="B92:B93"/>
    <mergeCell ref="A84:A93"/>
    <mergeCell ref="B100:B101"/>
    <mergeCell ref="AC231:AE231"/>
    <mergeCell ref="AF231:AG231"/>
    <mergeCell ref="AC263:AE263"/>
    <mergeCell ref="AF263:AG263"/>
    <mergeCell ref="I280:I281"/>
    <mergeCell ref="I282:I283"/>
    <mergeCell ref="A231:M231"/>
    <mergeCell ref="B260:B261"/>
    <mergeCell ref="A264:B265"/>
    <mergeCell ref="B238:B239"/>
    <mergeCell ref="B240:B241"/>
    <mergeCell ref="B244:B245"/>
    <mergeCell ref="B246:B247"/>
    <mergeCell ref="B248:B249"/>
    <mergeCell ref="B250:B251"/>
    <mergeCell ref="B254:B255"/>
    <mergeCell ref="A254:A261"/>
    <mergeCell ref="S263:V263"/>
    <mergeCell ref="N231:Q231"/>
    <mergeCell ref="S231:V231"/>
    <mergeCell ref="A263:M263"/>
    <mergeCell ref="N263:Q263"/>
    <mergeCell ref="AG264:AG293"/>
    <mergeCell ref="B282:B283"/>
    <mergeCell ref="AG168:AG197"/>
    <mergeCell ref="Y170:Y171"/>
    <mergeCell ref="Y196:Y197"/>
    <mergeCell ref="Z196:Z197"/>
    <mergeCell ref="AC199:AE199"/>
    <mergeCell ref="AF199:AG199"/>
    <mergeCell ref="X199:AA199"/>
    <mergeCell ref="Z170:Z171"/>
    <mergeCell ref="Z172:Z173"/>
    <mergeCell ref="Y178:Y179"/>
    <mergeCell ref="Z178:Z179"/>
    <mergeCell ref="Y188:Y189"/>
    <mergeCell ref="Z188:Z189"/>
    <mergeCell ref="AA362:AA363"/>
    <mergeCell ref="AA364:AA365"/>
    <mergeCell ref="AA366:AA367"/>
    <mergeCell ref="X231:AA231"/>
    <mergeCell ref="AC295:AE295"/>
    <mergeCell ref="AF295:AG295"/>
    <mergeCell ref="Y172:Y173"/>
    <mergeCell ref="Y174:Y175"/>
    <mergeCell ref="Y180:Y181"/>
    <mergeCell ref="Z180:Z181"/>
    <mergeCell ref="Y182:Y183"/>
    <mergeCell ref="Z182:Z183"/>
    <mergeCell ref="Y184:Y185"/>
    <mergeCell ref="Z184:Z185"/>
    <mergeCell ref="Y186:Y187"/>
    <mergeCell ref="Z186:Z187"/>
    <mergeCell ref="Y190:Y191"/>
    <mergeCell ref="Z190:Z191"/>
    <mergeCell ref="X263:AA263"/>
    <mergeCell ref="Y192:Y193"/>
    <mergeCell ref="Z192:Z193"/>
    <mergeCell ref="Z174:Z175"/>
    <mergeCell ref="Y176:Y177"/>
    <mergeCell ref="Z176:Z177"/>
    <mergeCell ref="AA368:AA369"/>
    <mergeCell ref="AA372:AA373"/>
    <mergeCell ref="AA374:AA375"/>
    <mergeCell ref="AA376:AA377"/>
    <mergeCell ref="AC391:AF391"/>
    <mergeCell ref="AC392:AD392"/>
    <mergeCell ref="AE392:AF392"/>
    <mergeCell ref="AA370:AA371"/>
    <mergeCell ref="AA380:AA381"/>
    <mergeCell ref="AC393:AD393"/>
    <mergeCell ref="AE393:AF393"/>
    <mergeCell ref="AC394:AD394"/>
    <mergeCell ref="AE394:AF394"/>
    <mergeCell ref="AA378:AA379"/>
    <mergeCell ref="AA382:AA383"/>
    <mergeCell ref="AA384:AA385"/>
    <mergeCell ref="AA386:AA387"/>
    <mergeCell ref="AA388:AA389"/>
    <mergeCell ref="Z391:AB393"/>
    <mergeCell ref="Z394:AB394"/>
    <mergeCell ref="Z380:Z381"/>
    <mergeCell ref="Z382:Z383"/>
    <mergeCell ref="Z384:Z385"/>
    <mergeCell ref="Z386:Z387"/>
    <mergeCell ref="Z388:Z389"/>
    <mergeCell ref="S402:U402"/>
    <mergeCell ref="V402:W402"/>
    <mergeCell ref="N400:R400"/>
    <mergeCell ref="S400:U400"/>
    <mergeCell ref="V400:W400"/>
    <mergeCell ref="N401:R401"/>
    <mergeCell ref="S401:U401"/>
    <mergeCell ref="V401:W401"/>
    <mergeCell ref="N402:R402"/>
    <mergeCell ref="N403:R403"/>
    <mergeCell ref="S403:U403"/>
    <mergeCell ref="V403:W403"/>
    <mergeCell ref="AE408:AF408"/>
    <mergeCell ref="Z406:AB406"/>
    <mergeCell ref="AC406:AD406"/>
    <mergeCell ref="AE406:AF406"/>
    <mergeCell ref="Z407:AB407"/>
    <mergeCell ref="AC407:AD407"/>
    <mergeCell ref="AE407:AF407"/>
    <mergeCell ref="Z408:AB408"/>
    <mergeCell ref="AE411:AF411"/>
    <mergeCell ref="Z409:AB409"/>
    <mergeCell ref="AC409:AD409"/>
    <mergeCell ref="AE409:AF409"/>
    <mergeCell ref="Z410:AB410"/>
    <mergeCell ref="AC410:AD410"/>
    <mergeCell ref="AE410:AF410"/>
    <mergeCell ref="Z411:AB411"/>
    <mergeCell ref="S405:U405"/>
    <mergeCell ref="V405:W405"/>
    <mergeCell ref="S411:U411"/>
    <mergeCell ref="V411:W411"/>
    <mergeCell ref="S409:U409"/>
    <mergeCell ref="V409:W409"/>
    <mergeCell ref="S410:U410"/>
    <mergeCell ref="V410:W410"/>
    <mergeCell ref="AE413:AF413"/>
    <mergeCell ref="Z412:AB412"/>
    <mergeCell ref="AC412:AD412"/>
    <mergeCell ref="AE412:AF412"/>
    <mergeCell ref="N413:R413"/>
    <mergeCell ref="S413:U413"/>
    <mergeCell ref="V413:W413"/>
    <mergeCell ref="Z413:AB413"/>
    <mergeCell ref="N412:R412"/>
    <mergeCell ref="S412:U412"/>
    <mergeCell ref="V412:W412"/>
    <mergeCell ref="AC421:AD421"/>
    <mergeCell ref="AE421:AF421"/>
    <mergeCell ref="A421:J421"/>
    <mergeCell ref="A422:J422"/>
    <mergeCell ref="K422:L422"/>
    <mergeCell ref="N422:R422"/>
    <mergeCell ref="S422:U422"/>
    <mergeCell ref="V422:W422"/>
    <mergeCell ref="Z422:AB422"/>
    <mergeCell ref="AC422:AD422"/>
    <mergeCell ref="AE422:AF422"/>
    <mergeCell ref="A423:J423"/>
    <mergeCell ref="A424:J424"/>
    <mergeCell ref="K424:L424"/>
    <mergeCell ref="N424:R424"/>
    <mergeCell ref="S424:U424"/>
    <mergeCell ref="V424:W424"/>
    <mergeCell ref="Z424:AB424"/>
    <mergeCell ref="K421:L421"/>
    <mergeCell ref="N421:R421"/>
    <mergeCell ref="S421:U421"/>
    <mergeCell ref="V421:W421"/>
    <mergeCell ref="Z421:AB421"/>
    <mergeCell ref="AC424:AD424"/>
    <mergeCell ref="AE424:AF424"/>
    <mergeCell ref="K425:L425"/>
    <mergeCell ref="N425:R425"/>
    <mergeCell ref="S425:U425"/>
    <mergeCell ref="V425:W425"/>
    <mergeCell ref="AE425:AF425"/>
    <mergeCell ref="K423:L423"/>
    <mergeCell ref="N423:R423"/>
    <mergeCell ref="S423:U423"/>
    <mergeCell ref="V423:W423"/>
    <mergeCell ref="Z423:AB423"/>
    <mergeCell ref="AC423:AD423"/>
    <mergeCell ref="AE423:AF423"/>
    <mergeCell ref="AC426:AD426"/>
    <mergeCell ref="AE426:AF426"/>
    <mergeCell ref="A425:J425"/>
    <mergeCell ref="A426:J426"/>
    <mergeCell ref="K426:L426"/>
    <mergeCell ref="N426:R426"/>
    <mergeCell ref="S426:U426"/>
    <mergeCell ref="V426:W426"/>
    <mergeCell ref="Z426:AB426"/>
    <mergeCell ref="Z425:AB425"/>
    <mergeCell ref="AC425:AD425"/>
    <mergeCell ref="K427:L427"/>
    <mergeCell ref="N427:R427"/>
    <mergeCell ref="S427:U427"/>
    <mergeCell ref="V427:W427"/>
    <mergeCell ref="Z427:AB427"/>
    <mergeCell ref="AC427:AD427"/>
    <mergeCell ref="AE427:AF427"/>
    <mergeCell ref="A427:J427"/>
    <mergeCell ref="A428:J428"/>
    <mergeCell ref="K428:L428"/>
    <mergeCell ref="N428:R428"/>
    <mergeCell ref="S428:U428"/>
    <mergeCell ref="V428:W428"/>
    <mergeCell ref="Z428:AB428"/>
    <mergeCell ref="AC428:AD428"/>
    <mergeCell ref="AE428:AF428"/>
    <mergeCell ref="AE420:AF420"/>
    <mergeCell ref="A419:J419"/>
    <mergeCell ref="A420:J420"/>
    <mergeCell ref="K420:L420"/>
    <mergeCell ref="N420:R420"/>
    <mergeCell ref="S420:U420"/>
    <mergeCell ref="V420:W420"/>
    <mergeCell ref="Z420:AB420"/>
    <mergeCell ref="N417:R417"/>
    <mergeCell ref="S417:U417"/>
    <mergeCell ref="V417:W417"/>
    <mergeCell ref="Z417:AB417"/>
    <mergeCell ref="AC417:AD417"/>
    <mergeCell ref="AE417:AF417"/>
    <mergeCell ref="K419:L419"/>
    <mergeCell ref="N419:R419"/>
    <mergeCell ref="S419:U419"/>
    <mergeCell ref="V419:W419"/>
    <mergeCell ref="Z419:AB419"/>
    <mergeCell ref="AC419:AD419"/>
    <mergeCell ref="AE419:AF419"/>
    <mergeCell ref="A418:J418"/>
    <mergeCell ref="K418:L418"/>
    <mergeCell ref="A417:J417"/>
    <mergeCell ref="AC420:AD420"/>
    <mergeCell ref="AC413:AD413"/>
    <mergeCell ref="AC408:AD408"/>
    <mergeCell ref="N404:R404"/>
    <mergeCell ref="S404:U404"/>
    <mergeCell ref="V404:W404"/>
    <mergeCell ref="N405:R405"/>
    <mergeCell ref="S408:U408"/>
    <mergeCell ref="V408:W408"/>
    <mergeCell ref="N406:R406"/>
    <mergeCell ref="S406:U406"/>
    <mergeCell ref="V406:W406"/>
    <mergeCell ref="N407:R407"/>
    <mergeCell ref="S407:U407"/>
    <mergeCell ref="V407:W407"/>
    <mergeCell ref="N408:R408"/>
    <mergeCell ref="AC411:AD411"/>
    <mergeCell ref="N409:R409"/>
    <mergeCell ref="N410:R410"/>
    <mergeCell ref="N411:R411"/>
    <mergeCell ref="Z415:AB415"/>
    <mergeCell ref="AC415:AD415"/>
    <mergeCell ref="V418:W418"/>
    <mergeCell ref="Z418:AB418"/>
    <mergeCell ref="N7:Q7"/>
    <mergeCell ref="S7:V7"/>
    <mergeCell ref="X7:AA7"/>
    <mergeCell ref="A7:M7"/>
    <mergeCell ref="A39:M39"/>
    <mergeCell ref="N39:Q39"/>
    <mergeCell ref="S39:V39"/>
    <mergeCell ref="X39:AA39"/>
    <mergeCell ref="A30:A37"/>
    <mergeCell ref="B30:B31"/>
    <mergeCell ref="B32:B33"/>
    <mergeCell ref="B34:B35"/>
    <mergeCell ref="B36:B37"/>
    <mergeCell ref="A40:B41"/>
    <mergeCell ref="A71:M71"/>
    <mergeCell ref="A72:B73"/>
    <mergeCell ref="C30:C31"/>
    <mergeCell ref="C32:C33"/>
    <mergeCell ref="C34:C35"/>
    <mergeCell ref="B74:B75"/>
    <mergeCell ref="A62:A69"/>
    <mergeCell ref="B42:B43"/>
    <mergeCell ref="B44:B45"/>
    <mergeCell ref="B52:B53"/>
    <mergeCell ref="A42:A51"/>
    <mergeCell ref="A52:A61"/>
    <mergeCell ref="A74:A83"/>
    <mergeCell ref="B76:B77"/>
    <mergeCell ref="B78:B79"/>
    <mergeCell ref="B80:B81"/>
    <mergeCell ref="B82:B83"/>
    <mergeCell ref="S295:V295"/>
    <mergeCell ref="X295:AA295"/>
    <mergeCell ref="B266:B267"/>
    <mergeCell ref="I266:I267"/>
    <mergeCell ref="B268:B269"/>
    <mergeCell ref="I268:I269"/>
    <mergeCell ref="I276:I277"/>
    <mergeCell ref="I278:I279"/>
    <mergeCell ref="B292:B293"/>
    <mergeCell ref="B290:B291"/>
    <mergeCell ref="B274:B275"/>
    <mergeCell ref="I290:I291"/>
    <mergeCell ref="I292:I293"/>
    <mergeCell ref="B272:B273"/>
    <mergeCell ref="B276:B277"/>
    <mergeCell ref="B270:B271"/>
    <mergeCell ref="B278:B279"/>
    <mergeCell ref="B280:B281"/>
    <mergeCell ref="N295:Q295"/>
    <mergeCell ref="O188:O189"/>
    <mergeCell ref="O190:O191"/>
    <mergeCell ref="O192:O193"/>
    <mergeCell ref="O194:O195"/>
    <mergeCell ref="O196:O197"/>
    <mergeCell ref="X71:AA71"/>
    <mergeCell ref="Y194:Y195"/>
    <mergeCell ref="Z194:Z195"/>
    <mergeCell ref="O170:O171"/>
    <mergeCell ref="O172:O173"/>
    <mergeCell ref="O174:O175"/>
    <mergeCell ref="O176:O177"/>
    <mergeCell ref="O178:O179"/>
    <mergeCell ref="O180:O181"/>
    <mergeCell ref="N103:Q103"/>
    <mergeCell ref="S103:V103"/>
    <mergeCell ref="X103:AA103"/>
    <mergeCell ref="N71:Q71"/>
    <mergeCell ref="S71:V71"/>
    <mergeCell ref="N167:Q167"/>
    <mergeCell ref="S167:V167"/>
  </mergeCells>
  <phoneticPr fontId="28" type="noConversion"/>
  <conditionalFormatting sqref="Z394:Z428">
    <cfRule type="cellIs" dxfId="25" priority="1" operator="equal">
      <formula>"CONCLUÍDA"</formula>
    </cfRule>
  </conditionalFormatting>
  <conditionalFormatting sqref="Z394:AB428">
    <cfRule type="cellIs" dxfId="24" priority="2" operator="equal">
      <formula>"EM ANDAMENTO"</formula>
    </cfRule>
  </conditionalFormatting>
  <conditionalFormatting sqref="AF7:AG7">
    <cfRule type="cellIs" dxfId="23" priority="25" operator="equal">
      <formula>""</formula>
    </cfRule>
    <cfRule type="cellIs" dxfId="22" priority="26" operator="greaterThan">
      <formula>1</formula>
    </cfRule>
  </conditionalFormatting>
  <conditionalFormatting sqref="AF39:AG39">
    <cfRule type="cellIs" dxfId="21" priority="23" operator="equal">
      <formula>""</formula>
    </cfRule>
    <cfRule type="cellIs" dxfId="20" priority="24" operator="greaterThan">
      <formula>1</formula>
    </cfRule>
  </conditionalFormatting>
  <conditionalFormatting sqref="AF71:AG71">
    <cfRule type="cellIs" dxfId="19" priority="21" operator="equal">
      <formula>""</formula>
    </cfRule>
    <cfRule type="cellIs" dxfId="18" priority="22" operator="greaterThan">
      <formula>1</formula>
    </cfRule>
  </conditionalFormatting>
  <conditionalFormatting sqref="AF103:AG103">
    <cfRule type="cellIs" dxfId="17" priority="19" operator="equal">
      <formula>""</formula>
    </cfRule>
    <cfRule type="cellIs" dxfId="16" priority="20" operator="greaterThan">
      <formula>1</formula>
    </cfRule>
  </conditionalFormatting>
  <conditionalFormatting sqref="AF135:AG135">
    <cfRule type="cellIs" dxfId="15" priority="17" operator="equal">
      <formula>""</formula>
    </cfRule>
    <cfRule type="cellIs" dxfId="14" priority="18" operator="greaterThan">
      <formula>1</formula>
    </cfRule>
  </conditionalFormatting>
  <conditionalFormatting sqref="AF167:AG167">
    <cfRule type="cellIs" dxfId="13" priority="15" operator="equal">
      <formula>""</formula>
    </cfRule>
    <cfRule type="cellIs" dxfId="12" priority="16" operator="greaterThan">
      <formula>1</formula>
    </cfRule>
  </conditionalFormatting>
  <conditionalFormatting sqref="AF199:AG199">
    <cfRule type="cellIs" dxfId="11" priority="13" operator="equal">
      <formula>""</formula>
    </cfRule>
    <cfRule type="cellIs" dxfId="10" priority="14" operator="greaterThan">
      <formula>1</formula>
    </cfRule>
  </conditionalFormatting>
  <conditionalFormatting sqref="AF231:AG231">
    <cfRule type="cellIs" dxfId="9" priority="11" operator="equal">
      <formula>""</formula>
    </cfRule>
    <cfRule type="cellIs" dxfId="8" priority="12" operator="greaterThan">
      <formula>1</formula>
    </cfRule>
  </conditionalFormatting>
  <conditionalFormatting sqref="AF263:AG263">
    <cfRule type="cellIs" dxfId="7" priority="9" operator="equal">
      <formula>""</formula>
    </cfRule>
    <cfRule type="cellIs" dxfId="6" priority="10" operator="greaterThan">
      <formula>1</formula>
    </cfRule>
  </conditionalFormatting>
  <conditionalFormatting sqref="AF295:AG295">
    <cfRule type="cellIs" dxfId="5" priority="7" operator="equal">
      <formula>""</formula>
    </cfRule>
    <cfRule type="cellIs" dxfId="4" priority="8" operator="greaterThan">
      <formula>1</formula>
    </cfRule>
  </conditionalFormatting>
  <conditionalFormatting sqref="AF327:AG327">
    <cfRule type="cellIs" dxfId="3" priority="5" operator="equal">
      <formula>""</formula>
    </cfRule>
    <cfRule type="cellIs" dxfId="2" priority="6" operator="greaterThan">
      <formula>1</formula>
    </cfRule>
  </conditionalFormatting>
  <conditionalFormatting sqref="AF359:AG359">
    <cfRule type="cellIs" dxfId="1" priority="3" operator="equal">
      <formula>""</formula>
    </cfRule>
    <cfRule type="cellIs" dxfId="0" priority="4" operator="greaterThan">
      <formula>1</formula>
    </cfRule>
  </conditionalFormatting>
  <dataValidations count="4">
    <dataValidation type="list" allowBlank="1" showErrorMessage="1" sqref="AB362:AG362 P44:Q44 D10:AG10 D36:AG36 C68:N68 C112 C106 C120 C122 C116 C126 C128 C130 C132 C114 C100:AG100 C192:E192 C194:E194 C196:E196 C202 C204 C206 C208 AA182:AF182 AA186:AF186 AA184:AF184 AA180:AF180 F108:V108 F106:V106 F112:V112 C228 P196:X196 C266:H266 C268:H268 AB364:AG364 AB366:AG366 AB368:AG368 AB372:AG372 AB374:AG374 AB376:AG376 AB378:AG378 AB382:AG382 AB384:AG384 AB386:AG386 AB388:AG388 AG32 AG30 P180:X180 D26:AG26 D24:AG24 D22:AG22 D20:AG20 D16:AG16 D14:AG14 D12:AG12 P42:Q42 P68:Q68 P66:Q66 P64:Q64 P62:Q62 P58:Q58 P56:Q56 P54:Q54 P52:Q52 P48:Q48 P46:Q46 C62:N62 F132:V132 C354 U66:AD66 X132:AF132 F126:V126 D164:AG164 AA196:AF196 G182:N182 P178:X178 AA194:AF194 C216 C224 AA172:AF172 C274:H274 U68:AD68 C356 C330 C332 C334 C336 C340 C342 C344 C346 C350 C352 D18:AG18 D28:AG28 U50:AD50 P50:Q50 C50:N50 C66:N66 P60:Q60 C60:N60 U60:AD60 C124 X114:AF114 F114:V114 C108 X124:AF124 F124:V124 D156:AG156 C178:E178 AA178:AF178 P188:X188 C188:E188 AA188:AF188 AB380:AG380 C210 C220 E220:AG220 C284:H284 C270:H270 C338 C348 AB370:AG370 G188:N188 G178:N178 C184:E184 C190:E190 G196:N196 X126:AF126 C118 C44:N44 C110 C52:N52 C54:N54 C56:N56 C58:N58 U58:AD58 C94:AG94 C64:N64 U62:AD62 U64:AD64 C92:AG92 C96:AG96 C98:AG98 AG34 AC146:AG146 U44:AD44 F130:V130 F128:V128 X128:AF128 X130:AF130 C86:AG86 X120:AF120 C182:E182 C180:E180 D150:AG150 C186:E186 U52:AD52 U54:AD54 U56:AD56 F116:V116 F118:V118 F122:V122 F120:V120 X122:AF122 X116:AF116 X118:AF118 D148:AG148 D154:AG154 D152:AG152 G184:N184 G186:N186 G180:N180 C212 C214 C218 P182:X182 P184:X184 P186:X186 D30:AA30 D32:AA32 D34:AA34 C48:N48 C42:N42 C46:N46 U42:AD42 U48:AD48 U46:AD46 C82:R82 T82:AG82 X106:AF106 X112:AF112 X108:AF108 X110:AF110 D146:AA146 C76:AG76 C84:AG84 C90:AG90 C88:AG88 C80:AG80 C74:AG74 C78:AG78 F110:V110 C226 C222 D160:AG160 D162:AG162 D158:AG158 G190:N190 G194:N194 G192:N192 P194:X194 P192:X192 P190:X190 D138:Z138 AB144:AG144 C172:E172 AA192:AF192 AA190:AF190 D140:Z140 D144:Z144 D142:Z142 AB138:AG138 AB142:AG142 AB140:AG140 C176:E176 C170:E170 C174:E174 E210:AG210 G172:N172 G174:N174 G170:N170 G176:N176 P174:X174 P176:X176 P172:X172 P170:X170 AA174:AF174 AA170:AF170 AA176:AF176 E226:AG226 E218:AG218 E356:U356 W342:AF342 E216:AG216 E212:AG212 E214:AG214 E224:AG224 E222:AG222 E228:AG228 J274:AF274 C272:H272 O316:AG316 J268:AF268 C316:M316 C306:M306 C300:M300 W348:AF348 W338:AF338 W356:AF356 E348:U348 E338:U338 C234:AG234 C238:AG238 J270:AF270 J266:AF266 J272:AF272 C302:M302 C304:M304 C298:M298 O298:AG298 O306:AG306 E330:U330 W354:AF354 W330:AF330 C256:AG256 C276:H276 C312:M312 C248:AG248 C246:AG246 C244:AG244 C282:H282 C280:H280 C278:H278 E346:U346 C310:M310 C308:M308 C314:M314 C260:AG260 O312:AG312 C292:H292 E208:AG208 J292:AF292 C288:H288 J288:AF288 C324:M324 O324:AG324 O304:AG304 O300:AG300 C384:Y384 C362:Y362 C370:Y370 C388:Y388 C374:Y374 C376:Y376 C378:Y378 W332:AF332 C380:Y380 C372:Y372 C318:M318 C258:AG258 C252:AG252 C290:H290 C286:H286 J286:AF286 J290:AF290 C322:M322 C320:M320 W350:AF350 W352:AF352 W336:AF336 W334:AF334 O302:AG302 O322:AG322 O320:AG320 O318:AG318 E352:U352 E354:U354 E350:U350 E334:U334 E336:U336 E332:U332 C364:Y364 C368:Y368 C366:Y366 C386:Y386 C382:Y382 O314:AG314 O308:AG308 O310:AG310 C242:AG242 W344:AF344 W346:AF346 W340:AF340 E204:AG204 E206:AG206 E202:AG202 C250:AG250 C236:AG236 C254:AG254 C240:AG240 E344:U344 E342:U342 E340:U340 J276:AF276 J280:AF280 J278:AF278 J282:AF282 J284:AF284" xr:uid="{00000000-0002-0000-0000-000000000000}">
      <formula1>$K$394:$K$428</formula1>
    </dataValidation>
    <dataValidation type="list" allowBlank="1" showErrorMessage="1" sqref="V394:V428" xr:uid="{00000000-0002-0000-0000-000001000000}">
      <formula1>"MATUTINO,VESPERTINO,NOTURNO,SÁBADO MAT,SÁBADO VES,DIURNO"</formula1>
    </dataValidation>
    <dataValidation type="list" allowBlank="1" showErrorMessage="1" sqref="M2" xr:uid="{00000000-0002-0000-0000-000002000000}">
      <formula1>"Mensalista,Horista,Intermitente,RSA"</formula1>
    </dataValidation>
    <dataValidation type="list" allowBlank="1" showErrorMessage="1" sqref="AB34:AF34 AB32:AF32 AB30:AF30" xr:uid="{7B06108F-1FE2-4250-984D-81BF292FA59A}">
      <formula1>$K$394:$K$426</formula1>
    </dataValidation>
  </dataValidations>
  <hyperlinks>
    <hyperlink ref="D3" r:id="rId1" display="mailto:gizelle.santos@fieb.org.br" xr:uid="{D5C0A945-D8F0-4BC9-A8F0-51E97A377BEF}"/>
    <hyperlink ref="D4" r:id="rId2" display="mailto:gizelle.reis@ba.docente.senai.br" xr:uid="{C476A816-D3DA-4A7D-BFAF-843B9A481DBE}"/>
  </hyperlinks>
  <pageMargins left="0.51181102362204722" right="0.51181102362204722" top="0.78740157480314965" bottom="0.78740157480314965" header="0" footer="0"/>
  <pageSetup paperSize="9" fitToHeight="0" orientation="landscape"/>
  <drawing r:id="rId3"/>
  <legacy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154dd59-802e-4a0c-9ac9-0b05739e1aed">
      <Terms xmlns="http://schemas.microsoft.com/office/infopath/2007/PartnerControls"/>
    </lcf76f155ced4ddcb4097134ff3c332f>
    <TaxCatchAll xmlns="f3abfac4-72ae-43d2-80fb-4dbc66bd9d6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4DD96FF2B7D742893C6268D62B5FF8" ma:contentTypeVersion="13" ma:contentTypeDescription="Crie um novo documento." ma:contentTypeScope="" ma:versionID="6b8783936a287a41a3e58889d1cb2b53">
  <xsd:schema xmlns:xsd="http://www.w3.org/2001/XMLSchema" xmlns:xs="http://www.w3.org/2001/XMLSchema" xmlns:p="http://schemas.microsoft.com/office/2006/metadata/properties" xmlns:ns2="4154dd59-802e-4a0c-9ac9-0b05739e1aed" xmlns:ns3="f3abfac4-72ae-43d2-80fb-4dbc66bd9d6c" targetNamespace="http://schemas.microsoft.com/office/2006/metadata/properties" ma:root="true" ma:fieldsID="3d28e2f1ca909a035f8a3d60de6fbb2c" ns2:_="" ns3:_="">
    <xsd:import namespace="4154dd59-802e-4a0c-9ac9-0b05739e1aed"/>
    <xsd:import namespace="f3abfac4-72ae-43d2-80fb-4dbc66bd9d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54dd59-802e-4a0c-9ac9-0b05739e1a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11000289-e8e0-4655-aaa4-6ce2e2879b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abfac4-72ae-43d2-80fb-4dbc66bd9d6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f8b1bc6-c1c7-4d1d-b66d-c94b1730bb6d}" ma:internalName="TaxCatchAll" ma:showField="CatchAllData" ma:web="f3abfac4-72ae-43d2-80fb-4dbc66bd9d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625CA7-BFA9-4475-9E7E-71E70ABE16F9}"/>
</file>

<file path=customXml/itemProps2.xml><?xml version="1.0" encoding="utf-8"?>
<ds:datastoreItem xmlns:ds="http://schemas.openxmlformats.org/officeDocument/2006/customXml" ds:itemID="{2AA23A2E-BD84-4A86-9D48-6CFA888E458F}"/>
</file>

<file path=customXml/itemProps3.xml><?xml version="1.0" encoding="utf-8"?>
<ds:datastoreItem xmlns:ds="http://schemas.openxmlformats.org/officeDocument/2006/customXml" ds:itemID="{99F34FF8-C595-47A9-865D-3A5A9DFAC7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Enock Neto</dc:creator>
  <cp:keywords/>
  <dc:description/>
  <cp:lastModifiedBy/>
  <cp:revision/>
  <dcterms:created xsi:type="dcterms:W3CDTF">2011-07-07T18:15:58Z</dcterms:created>
  <dcterms:modified xsi:type="dcterms:W3CDTF">2026-10-13T03:05:22Z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0x010100FC4DD96FF2B7D742893C6268D62B5FF8</vt:lpwstr>
  </property>
  <property fmtid="{D5CDD505-2E9C-101B-9397-08002B2CF9AE}" pid="3" name="Order">
    <vt:r8>17298000</vt:r8>
  </property>
  <property fmtid="{D5CDD505-2E9C-101B-9397-08002B2CF9AE}" pid="4" name="MediaServiceImageTags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