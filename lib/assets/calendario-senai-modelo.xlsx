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izel\Downloads\"/>
    </mc:Choice>
  </mc:AlternateContent>
  <xr:revisionPtr revIDLastSave="0" documentId="8_{21D7A216-71BC-4A13-8BA1-52CDBD2A9EA8}" xr6:coauthVersionLast="47" xr6:coauthVersionMax="47" xr10:uidLastSave="{00000000-0000-0000-0000-000000000000}"/>
  <bookViews>
    <workbookView xWindow="4080" yWindow="3600" windowWidth="17280" windowHeight="8880" tabRatio="519" xr2:uid="{00000000-000D-0000-FFFF-FFFF00000000}"/>
  </bookViews>
  <sheets>
    <sheet name="2026" sheetId="4" r:id="rId1"/>
  </sheets>
  <definedNames>
    <definedName name="_xlnm.Print_Area" localSheetId="0">'2026'!$A$1:$AF$125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4" l="1"/>
  <c r="I86" i="4"/>
  <c r="J87" i="4"/>
  <c r="J86" i="4"/>
  <c r="L71" i="4"/>
  <c r="L70" i="4"/>
  <c r="M70" i="4"/>
  <c r="AF86" i="4"/>
  <c r="AF87" i="4"/>
  <c r="V103" i="4"/>
  <c r="V102" i="4"/>
  <c r="Z79" i="4"/>
  <c r="Z78" i="4"/>
  <c r="Y102" i="4"/>
  <c r="Y103" i="4"/>
  <c r="AA71" i="4"/>
  <c r="AA70" i="4"/>
  <c r="T71" i="4"/>
  <c r="T70" i="4"/>
  <c r="Z71" i="4"/>
  <c r="Z70" i="4"/>
  <c r="S71" i="4"/>
  <c r="S70" i="4"/>
  <c r="J79" i="4"/>
  <c r="J78" i="4"/>
  <c r="R70" i="4"/>
  <c r="R71" i="4"/>
  <c r="T123" i="4"/>
  <c r="G31" i="4"/>
  <c r="G30" i="4"/>
  <c r="F31" i="4"/>
  <c r="F30" i="4"/>
  <c r="E31" i="4"/>
  <c r="E30" i="4"/>
  <c r="D31" i="4"/>
  <c r="D30" i="4"/>
  <c r="CL123" i="4"/>
  <c r="CJ123" i="4"/>
  <c r="CH123" i="4"/>
  <c r="CF123" i="4"/>
  <c r="CD123" i="4"/>
  <c r="CB123" i="4"/>
  <c r="BZ123" i="4"/>
  <c r="BX123" i="4"/>
  <c r="BV123" i="4"/>
  <c r="BT123" i="4"/>
  <c r="BR123" i="4"/>
  <c r="BP123" i="4"/>
  <c r="BN123" i="4"/>
  <c r="BL123" i="4"/>
  <c r="BJ123" i="4"/>
  <c r="BH123" i="4"/>
  <c r="BF123" i="4"/>
  <c r="BD123" i="4"/>
  <c r="BB123" i="4"/>
  <c r="AZ123" i="4"/>
  <c r="AX123" i="4"/>
  <c r="AV123" i="4"/>
  <c r="AT123" i="4"/>
  <c r="AR123" i="4"/>
  <c r="AP123" i="4"/>
  <c r="AN123" i="4"/>
  <c r="AL123" i="4"/>
  <c r="AJ122" i="4"/>
  <c r="AJ121" i="4"/>
  <c r="AJ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G119" i="4"/>
  <c r="G118" i="4"/>
  <c r="AB119" i="4"/>
  <c r="AB118" i="4"/>
  <c r="U119" i="4"/>
  <c r="U118" i="4"/>
  <c r="N119" i="4"/>
  <c r="N118" i="4"/>
  <c r="AE111" i="4"/>
  <c r="AE110" i="4"/>
  <c r="X111" i="4"/>
  <c r="X110" i="4"/>
  <c r="Q111" i="4"/>
  <c r="Q110" i="4"/>
  <c r="J111" i="4"/>
  <c r="J110" i="4"/>
  <c r="C111" i="4"/>
  <c r="C110" i="4"/>
  <c r="AA119" i="4"/>
  <c r="Z119" i="4"/>
  <c r="Y119" i="4"/>
  <c r="X119" i="4"/>
  <c r="W119" i="4"/>
  <c r="T119" i="4"/>
  <c r="S119" i="4"/>
  <c r="R119" i="4"/>
  <c r="Q119" i="4"/>
  <c r="P119" i="4"/>
  <c r="M119" i="4"/>
  <c r="L119" i="4"/>
  <c r="E119" i="4"/>
  <c r="D119" i="4"/>
  <c r="C119" i="4"/>
  <c r="B119" i="4"/>
  <c r="AA118" i="4"/>
  <c r="Z118" i="4"/>
  <c r="Y118" i="4"/>
  <c r="X118" i="4"/>
  <c r="W118" i="4"/>
  <c r="T118" i="4"/>
  <c r="S118" i="4"/>
  <c r="R118" i="4"/>
  <c r="Q118" i="4"/>
  <c r="P118" i="4"/>
  <c r="M118" i="4"/>
  <c r="L118" i="4"/>
  <c r="E118" i="4"/>
  <c r="D118" i="4"/>
  <c r="C118" i="4"/>
  <c r="B118" i="4"/>
  <c r="AD111" i="4"/>
  <c r="AC111" i="4"/>
  <c r="AB111" i="4"/>
  <c r="AA111" i="4"/>
  <c r="Z111" i="4"/>
  <c r="W111" i="4"/>
  <c r="V111" i="4"/>
  <c r="U111" i="4"/>
  <c r="T111" i="4"/>
  <c r="S111" i="4"/>
  <c r="P111" i="4"/>
  <c r="O111" i="4"/>
  <c r="N111" i="4"/>
  <c r="M111" i="4"/>
  <c r="L111" i="4"/>
  <c r="I111" i="4"/>
  <c r="H111" i="4"/>
  <c r="G111" i="4"/>
  <c r="F111" i="4"/>
  <c r="E111" i="4"/>
  <c r="AD110" i="4"/>
  <c r="AC110" i="4"/>
  <c r="AB110" i="4"/>
  <c r="AA110" i="4"/>
  <c r="Z110" i="4"/>
  <c r="W110" i="4"/>
  <c r="V110" i="4"/>
  <c r="U110" i="4"/>
  <c r="T110" i="4"/>
  <c r="S110" i="4"/>
  <c r="P110" i="4"/>
  <c r="O110" i="4"/>
  <c r="N110" i="4"/>
  <c r="M110" i="4"/>
  <c r="L110" i="4"/>
  <c r="I110" i="4"/>
  <c r="H110" i="4"/>
  <c r="G110" i="4"/>
  <c r="F110" i="4"/>
  <c r="E110" i="4"/>
  <c r="AK122" i="4"/>
  <c r="AM122" i="4" s="1"/>
  <c r="AO122" i="4" s="1"/>
  <c r="AK121" i="4"/>
  <c r="AM121" i="4" s="1"/>
  <c r="AO121" i="4" s="1"/>
  <c r="AQ121" i="4" s="1"/>
  <c r="AR121" i="4" s="1"/>
  <c r="A17" i="4"/>
  <c r="A25" i="4" s="1"/>
  <c r="B27" i="4" s="1"/>
  <c r="AA103" i="4"/>
  <c r="AA102" i="4"/>
  <c r="T103" i="4"/>
  <c r="T102" i="4"/>
  <c r="M103" i="4"/>
  <c r="M102" i="4"/>
  <c r="F103" i="4"/>
  <c r="F102" i="4"/>
  <c r="AC95" i="4"/>
  <c r="AC94" i="4"/>
  <c r="V95" i="4"/>
  <c r="V94" i="4"/>
  <c r="O95" i="4"/>
  <c r="O94" i="4"/>
  <c r="H95" i="4"/>
  <c r="H94" i="4"/>
  <c r="Y87" i="4"/>
  <c r="Y86" i="4"/>
  <c r="R87" i="4"/>
  <c r="R86" i="4"/>
  <c r="K87" i="4"/>
  <c r="K86" i="4"/>
  <c r="D87" i="4"/>
  <c r="D86" i="4"/>
  <c r="AA79" i="4"/>
  <c r="AA78" i="4"/>
  <c r="T79" i="4"/>
  <c r="T78" i="4"/>
  <c r="M79" i="4"/>
  <c r="M78" i="4"/>
  <c r="F79" i="4"/>
  <c r="F78" i="4"/>
  <c r="E78" i="4"/>
  <c r="E79" i="4"/>
  <c r="AD71" i="4"/>
  <c r="AD70" i="4"/>
  <c r="W71" i="4"/>
  <c r="W70" i="4"/>
  <c r="P71" i="4"/>
  <c r="P70" i="4"/>
  <c r="I71" i="4"/>
  <c r="I70" i="4"/>
  <c r="Z63" i="4"/>
  <c r="Z62" i="4"/>
  <c r="S63" i="4"/>
  <c r="S62" i="4"/>
  <c r="L63" i="4"/>
  <c r="L62" i="4"/>
  <c r="E63" i="4"/>
  <c r="E62" i="4"/>
  <c r="AB55" i="4"/>
  <c r="AB54" i="4"/>
  <c r="U55" i="4"/>
  <c r="U54" i="4"/>
  <c r="G55" i="4"/>
  <c r="G54" i="4"/>
  <c r="AE47" i="4"/>
  <c r="AE46" i="4"/>
  <c r="X47" i="4"/>
  <c r="X46" i="4"/>
  <c r="Q47" i="4"/>
  <c r="Q46" i="4"/>
  <c r="J47" i="4"/>
  <c r="J46" i="4"/>
  <c r="C47" i="4"/>
  <c r="C46" i="4"/>
  <c r="Z39" i="4"/>
  <c r="Z38" i="4"/>
  <c r="S39" i="4"/>
  <c r="S38" i="4"/>
  <c r="L39" i="4"/>
  <c r="L38" i="4"/>
  <c r="E39" i="4"/>
  <c r="E38" i="4"/>
  <c r="AC31" i="4"/>
  <c r="AC30" i="4"/>
  <c r="V31" i="4"/>
  <c r="V30" i="4"/>
  <c r="O31" i="4"/>
  <c r="O30" i="4"/>
  <c r="H31" i="4"/>
  <c r="H30" i="4"/>
  <c r="AC23" i="4"/>
  <c r="AC22" i="4"/>
  <c r="V23" i="4"/>
  <c r="V22" i="4"/>
  <c r="O23" i="4"/>
  <c r="O22" i="4"/>
  <c r="H23" i="4"/>
  <c r="H22" i="4"/>
  <c r="AF15" i="4"/>
  <c r="AF14" i="4"/>
  <c r="Y15" i="4"/>
  <c r="Y14" i="4"/>
  <c r="R15" i="4"/>
  <c r="R14" i="4"/>
  <c r="K15" i="4"/>
  <c r="K14" i="4"/>
  <c r="AF71" i="4"/>
  <c r="AF70" i="4"/>
  <c r="AF103" i="4"/>
  <c r="AF102" i="4"/>
  <c r="AF63" i="4"/>
  <c r="AF62" i="4"/>
  <c r="AE103" i="4"/>
  <c r="AD103" i="4"/>
  <c r="AC103" i="4"/>
  <c r="X103" i="4"/>
  <c r="W103" i="4"/>
  <c r="S103" i="4"/>
  <c r="R103" i="4"/>
  <c r="Q103" i="4"/>
  <c r="P103" i="4"/>
  <c r="O103" i="4"/>
  <c r="L103" i="4"/>
  <c r="K103" i="4"/>
  <c r="J103" i="4"/>
  <c r="I103" i="4"/>
  <c r="H103" i="4"/>
  <c r="E103" i="4"/>
  <c r="D103" i="4"/>
  <c r="C103" i="4"/>
  <c r="B103" i="4"/>
  <c r="AE102" i="4"/>
  <c r="AD102" i="4"/>
  <c r="AC102" i="4"/>
  <c r="X102" i="4"/>
  <c r="W102" i="4"/>
  <c r="S102" i="4"/>
  <c r="R102" i="4"/>
  <c r="Q102" i="4"/>
  <c r="P102" i="4"/>
  <c r="O102" i="4"/>
  <c r="L102" i="4"/>
  <c r="K102" i="4"/>
  <c r="J102" i="4"/>
  <c r="I102" i="4"/>
  <c r="H102" i="4"/>
  <c r="E102" i="4"/>
  <c r="D102" i="4"/>
  <c r="C102" i="4"/>
  <c r="B102" i="4"/>
  <c r="AE95" i="4"/>
  <c r="AB95" i="4"/>
  <c r="AA95" i="4"/>
  <c r="Z95" i="4"/>
  <c r="Y95" i="4"/>
  <c r="X95" i="4"/>
  <c r="T95" i="4"/>
  <c r="S95" i="4"/>
  <c r="R95" i="4"/>
  <c r="Q95" i="4"/>
  <c r="N95" i="4"/>
  <c r="M95" i="4"/>
  <c r="L95" i="4"/>
  <c r="K95" i="4"/>
  <c r="J95" i="4"/>
  <c r="G95" i="4"/>
  <c r="F95" i="4"/>
  <c r="E95" i="4"/>
  <c r="D95" i="4"/>
  <c r="AE94" i="4"/>
  <c r="AB94" i="4"/>
  <c r="AA94" i="4"/>
  <c r="Z94" i="4"/>
  <c r="Y94" i="4"/>
  <c r="X94" i="4"/>
  <c r="T94" i="4"/>
  <c r="S94" i="4"/>
  <c r="R94" i="4"/>
  <c r="Q94" i="4"/>
  <c r="N94" i="4"/>
  <c r="M94" i="4"/>
  <c r="L94" i="4"/>
  <c r="K94" i="4"/>
  <c r="J94" i="4"/>
  <c r="G94" i="4"/>
  <c r="F94" i="4"/>
  <c r="E94" i="4"/>
  <c r="D94" i="4"/>
  <c r="AE87" i="4"/>
  <c r="AD87" i="4"/>
  <c r="AC87" i="4"/>
  <c r="AB87" i="4"/>
  <c r="AA87" i="4"/>
  <c r="X87" i="4"/>
  <c r="W87" i="4"/>
  <c r="V87" i="4"/>
  <c r="U87" i="4"/>
  <c r="T87" i="4"/>
  <c r="Q87" i="4"/>
  <c r="P87" i="4"/>
  <c r="O87" i="4"/>
  <c r="N87" i="4"/>
  <c r="H87" i="4"/>
  <c r="G87" i="4"/>
  <c r="F87" i="4"/>
  <c r="C87" i="4"/>
  <c r="B87" i="4"/>
  <c r="AE86" i="4"/>
  <c r="AD86" i="4"/>
  <c r="AC86" i="4"/>
  <c r="AB86" i="4"/>
  <c r="AA86" i="4"/>
  <c r="X86" i="4"/>
  <c r="W86" i="4"/>
  <c r="V86" i="4"/>
  <c r="U86" i="4"/>
  <c r="T86" i="4"/>
  <c r="Q86" i="4"/>
  <c r="P86" i="4"/>
  <c r="O86" i="4"/>
  <c r="N86" i="4"/>
  <c r="H86" i="4"/>
  <c r="G86" i="4"/>
  <c r="F86" i="4"/>
  <c r="C86" i="4"/>
  <c r="B86" i="4"/>
  <c r="AE79" i="4"/>
  <c r="AD79" i="4"/>
  <c r="AC79" i="4"/>
  <c r="Y79" i="4"/>
  <c r="X79" i="4"/>
  <c r="W79" i="4"/>
  <c r="V79" i="4"/>
  <c r="S79" i="4"/>
  <c r="R79" i="4"/>
  <c r="Q79" i="4"/>
  <c r="P79" i="4"/>
  <c r="O79" i="4"/>
  <c r="L79" i="4"/>
  <c r="K79" i="4"/>
  <c r="I79" i="4"/>
  <c r="D79" i="4"/>
  <c r="C79" i="4"/>
  <c r="B79" i="4"/>
  <c r="AE78" i="4"/>
  <c r="AD78" i="4"/>
  <c r="AC78" i="4"/>
  <c r="Y78" i="4"/>
  <c r="X78" i="4"/>
  <c r="W78" i="4"/>
  <c r="V78" i="4"/>
  <c r="S78" i="4"/>
  <c r="R78" i="4"/>
  <c r="Q78" i="4"/>
  <c r="P78" i="4"/>
  <c r="O78" i="4"/>
  <c r="L78" i="4"/>
  <c r="K78" i="4"/>
  <c r="I78" i="4"/>
  <c r="D78" i="4"/>
  <c r="C78" i="4"/>
  <c r="B78" i="4"/>
  <c r="AC71" i="4"/>
  <c r="AB71" i="4"/>
  <c r="Y71" i="4"/>
  <c r="V71" i="4"/>
  <c r="U71" i="4"/>
  <c r="O71" i="4"/>
  <c r="N71" i="4"/>
  <c r="M71" i="4"/>
  <c r="K71" i="4"/>
  <c r="H71" i="4"/>
  <c r="G71" i="4"/>
  <c r="F71" i="4"/>
  <c r="E71" i="4"/>
  <c r="D71" i="4"/>
  <c r="B71" i="4"/>
  <c r="AC70" i="4"/>
  <c r="AB70" i="4"/>
  <c r="Y70" i="4"/>
  <c r="V70" i="4"/>
  <c r="U70" i="4"/>
  <c r="O70" i="4"/>
  <c r="N70" i="4"/>
  <c r="K70" i="4"/>
  <c r="H70" i="4"/>
  <c r="G70" i="4"/>
  <c r="F70" i="4"/>
  <c r="E70" i="4"/>
  <c r="D70" i="4"/>
  <c r="B70" i="4"/>
  <c r="AE63" i="4"/>
  <c r="AD63" i="4"/>
  <c r="AC63" i="4"/>
  <c r="AB63" i="4"/>
  <c r="Y63" i="4"/>
  <c r="X63" i="4"/>
  <c r="W63" i="4"/>
  <c r="V63" i="4"/>
  <c r="U63" i="4"/>
  <c r="R63" i="4"/>
  <c r="Q63" i="4"/>
  <c r="P63" i="4"/>
  <c r="O63" i="4"/>
  <c r="N63" i="4"/>
  <c r="K63" i="4"/>
  <c r="J63" i="4"/>
  <c r="I63" i="4"/>
  <c r="H63" i="4"/>
  <c r="G63" i="4"/>
  <c r="D63" i="4"/>
  <c r="B63" i="4"/>
  <c r="AE62" i="4"/>
  <c r="AD62" i="4"/>
  <c r="AC62" i="4"/>
  <c r="AB62" i="4"/>
  <c r="Y62" i="4"/>
  <c r="X62" i="4"/>
  <c r="W62" i="4"/>
  <c r="V62" i="4"/>
  <c r="U62" i="4"/>
  <c r="R62" i="4"/>
  <c r="Q62" i="4"/>
  <c r="P62" i="4"/>
  <c r="O62" i="4"/>
  <c r="N62" i="4"/>
  <c r="K62" i="4"/>
  <c r="J62" i="4"/>
  <c r="I62" i="4"/>
  <c r="H62" i="4"/>
  <c r="G62" i="4"/>
  <c r="D62" i="4"/>
  <c r="B62" i="4"/>
  <c r="AE55" i="4"/>
  <c r="AD55" i="4"/>
  <c r="AA55" i="4"/>
  <c r="Z55" i="4"/>
  <c r="T55" i="4"/>
  <c r="S55" i="4"/>
  <c r="R55" i="4"/>
  <c r="Q55" i="4"/>
  <c r="P55" i="4"/>
  <c r="M55" i="4"/>
  <c r="L55" i="4"/>
  <c r="K55" i="4"/>
  <c r="J55" i="4"/>
  <c r="I55" i="4"/>
  <c r="F55" i="4"/>
  <c r="D55" i="4"/>
  <c r="C55" i="4"/>
  <c r="B55" i="4"/>
  <c r="AE54" i="4"/>
  <c r="AD54" i="4"/>
  <c r="AA54" i="4"/>
  <c r="Z54" i="4"/>
  <c r="T54" i="4"/>
  <c r="S54" i="4"/>
  <c r="R54" i="4"/>
  <c r="Q54" i="4"/>
  <c r="P54" i="4"/>
  <c r="M54" i="4"/>
  <c r="L54" i="4"/>
  <c r="K54" i="4"/>
  <c r="J54" i="4"/>
  <c r="I54" i="4"/>
  <c r="F54" i="4"/>
  <c r="D54" i="4"/>
  <c r="C54" i="4"/>
  <c r="B54" i="4"/>
  <c r="AD47" i="4"/>
  <c r="AC47" i="4"/>
  <c r="AB47" i="4"/>
  <c r="AA47" i="4"/>
  <c r="Z47" i="4"/>
  <c r="W47" i="4"/>
  <c r="V47" i="4"/>
  <c r="U47" i="4"/>
  <c r="T47" i="4"/>
  <c r="S47" i="4"/>
  <c r="P47" i="4"/>
  <c r="O47" i="4"/>
  <c r="N47" i="4"/>
  <c r="M47" i="4"/>
  <c r="I47" i="4"/>
  <c r="H47" i="4"/>
  <c r="G47" i="4"/>
  <c r="F47" i="4"/>
  <c r="E47" i="4"/>
  <c r="AD46" i="4"/>
  <c r="AC46" i="4"/>
  <c r="AB46" i="4"/>
  <c r="AA46" i="4"/>
  <c r="Z46" i="4"/>
  <c r="W46" i="4"/>
  <c r="V46" i="4"/>
  <c r="U46" i="4"/>
  <c r="T46" i="4"/>
  <c r="S46" i="4"/>
  <c r="P46" i="4"/>
  <c r="O46" i="4"/>
  <c r="N46" i="4"/>
  <c r="M46" i="4"/>
  <c r="I46" i="4"/>
  <c r="H46" i="4"/>
  <c r="G46" i="4"/>
  <c r="F46" i="4"/>
  <c r="E46" i="4"/>
  <c r="AE39" i="4"/>
  <c r="AD39" i="4"/>
  <c r="AC39" i="4"/>
  <c r="AB39" i="4"/>
  <c r="Y39" i="4"/>
  <c r="X39" i="4"/>
  <c r="W39" i="4"/>
  <c r="U39" i="4"/>
  <c r="R39" i="4"/>
  <c r="Q39" i="4"/>
  <c r="P39" i="4"/>
  <c r="O39" i="4"/>
  <c r="N39" i="4"/>
  <c r="K39" i="4"/>
  <c r="J39" i="4"/>
  <c r="I39" i="4"/>
  <c r="H39" i="4"/>
  <c r="G39" i="4"/>
  <c r="B39" i="4"/>
  <c r="AE38" i="4"/>
  <c r="AD38" i="4"/>
  <c r="AC38" i="4"/>
  <c r="AB38" i="4"/>
  <c r="Y38" i="4"/>
  <c r="X38" i="4"/>
  <c r="W38" i="4"/>
  <c r="U38" i="4"/>
  <c r="R38" i="4"/>
  <c r="Q38" i="4"/>
  <c r="P38" i="4"/>
  <c r="O38" i="4"/>
  <c r="N38" i="4"/>
  <c r="K38" i="4"/>
  <c r="J38" i="4"/>
  <c r="I38" i="4"/>
  <c r="H38" i="4"/>
  <c r="G38" i="4"/>
  <c r="B38" i="4"/>
  <c r="AF31" i="4"/>
  <c r="AE31" i="4"/>
  <c r="AF30" i="4"/>
  <c r="AE30" i="4"/>
  <c r="AB31" i="4"/>
  <c r="AA31" i="4"/>
  <c r="Y31" i="4"/>
  <c r="X31" i="4"/>
  <c r="U31" i="4"/>
  <c r="T31" i="4"/>
  <c r="S31" i="4"/>
  <c r="R31" i="4"/>
  <c r="Q31" i="4"/>
  <c r="N31" i="4"/>
  <c r="M31" i="4"/>
  <c r="L31" i="4"/>
  <c r="K31" i="4"/>
  <c r="J31" i="4"/>
  <c r="C31" i="4"/>
  <c r="AB30" i="4"/>
  <c r="AA30" i="4"/>
  <c r="Y30" i="4"/>
  <c r="X30" i="4"/>
  <c r="U30" i="4"/>
  <c r="T30" i="4"/>
  <c r="S30" i="4"/>
  <c r="R30" i="4"/>
  <c r="Q30" i="4"/>
  <c r="N30" i="4"/>
  <c r="M30" i="4"/>
  <c r="L30" i="4"/>
  <c r="K30" i="4"/>
  <c r="J30" i="4"/>
  <c r="C30" i="4"/>
  <c r="AB23" i="4"/>
  <c r="AA23" i="4"/>
  <c r="Z23" i="4"/>
  <c r="Y23" i="4"/>
  <c r="X23" i="4"/>
  <c r="U23" i="4"/>
  <c r="T23" i="4"/>
  <c r="M23" i="4"/>
  <c r="L23" i="4"/>
  <c r="K23" i="4"/>
  <c r="J23" i="4"/>
  <c r="G23" i="4"/>
  <c r="F23" i="4"/>
  <c r="E23" i="4"/>
  <c r="D23" i="4"/>
  <c r="C23" i="4"/>
  <c r="AB22" i="4"/>
  <c r="AA22" i="4"/>
  <c r="Z22" i="4"/>
  <c r="Y22" i="4"/>
  <c r="X22" i="4"/>
  <c r="U22" i="4"/>
  <c r="T22" i="4"/>
  <c r="M22" i="4"/>
  <c r="L22" i="4"/>
  <c r="K22" i="4"/>
  <c r="J22" i="4"/>
  <c r="G22" i="4"/>
  <c r="F22" i="4"/>
  <c r="E22" i="4"/>
  <c r="D22" i="4"/>
  <c r="C22" i="4"/>
  <c r="AE15" i="4"/>
  <c r="AD15" i="4"/>
  <c r="AC15" i="4"/>
  <c r="AB15" i="4"/>
  <c r="AA15" i="4"/>
  <c r="X15" i="4"/>
  <c r="W15" i="4"/>
  <c r="V15" i="4"/>
  <c r="U15" i="4"/>
  <c r="T15" i="4"/>
  <c r="Q15" i="4"/>
  <c r="P15" i="4"/>
  <c r="O15" i="4"/>
  <c r="N15" i="4"/>
  <c r="M15" i="4"/>
  <c r="J15" i="4"/>
  <c r="I15" i="4"/>
  <c r="H15" i="4"/>
  <c r="G15" i="4"/>
  <c r="F15" i="4"/>
  <c r="D15" i="4"/>
  <c r="C15" i="4"/>
  <c r="AE14" i="4"/>
  <c r="AD14" i="4"/>
  <c r="AC14" i="4"/>
  <c r="AB14" i="4"/>
  <c r="AA14" i="4"/>
  <c r="X14" i="4"/>
  <c r="W14" i="4"/>
  <c r="V14" i="4"/>
  <c r="U14" i="4"/>
  <c r="T14" i="4"/>
  <c r="Q14" i="4"/>
  <c r="P14" i="4"/>
  <c r="O14" i="4"/>
  <c r="N14" i="4"/>
  <c r="M14" i="4"/>
  <c r="J14" i="4"/>
  <c r="I14" i="4"/>
  <c r="H14" i="4"/>
  <c r="G14" i="4"/>
  <c r="F14" i="4"/>
  <c r="D14" i="4"/>
  <c r="C14" i="4"/>
  <c r="Q7" i="4"/>
  <c r="Q6" i="4"/>
  <c r="W1" i="4"/>
  <c r="Q2" i="4"/>
  <c r="Q3" i="4" s="1"/>
  <c r="Q4" i="4" s="1"/>
  <c r="BL136" i="4"/>
  <c r="AJ136" i="4"/>
  <c r="BL138" i="4"/>
  <c r="BL141" i="4"/>
  <c r="BL135" i="4"/>
  <c r="BL131" i="4"/>
  <c r="AJ138" i="4"/>
  <c r="AJ140" i="4"/>
  <c r="AJ127" i="4"/>
  <c r="BL126" i="4"/>
  <c r="AJ132" i="4"/>
  <c r="AJ137" i="4"/>
  <c r="AJ126" i="4"/>
  <c r="AJ130" i="4"/>
  <c r="BL130" i="4"/>
  <c r="AJ124" i="4"/>
  <c r="AJ131" i="4"/>
  <c r="BL127" i="4"/>
  <c r="BL140" i="4"/>
  <c r="AJ141" i="4"/>
  <c r="BL134" i="4"/>
  <c r="AJ134" i="4"/>
  <c r="BL125" i="4"/>
  <c r="AJ139" i="4"/>
  <c r="AJ135" i="4"/>
  <c r="BL139" i="4"/>
  <c r="BL128" i="4"/>
  <c r="AJ133" i="4"/>
  <c r="BL124" i="4"/>
  <c r="AJ128" i="4"/>
  <c r="AJ129" i="4"/>
  <c r="BL137" i="4"/>
  <c r="AJ125" i="4"/>
  <c r="BL133" i="4"/>
  <c r="BL132" i="4"/>
  <c r="BL129" i="4"/>
  <c r="AL121" i="4" l="1"/>
  <c r="AN121" i="4"/>
  <c r="AN122" i="4"/>
  <c r="AS121" i="4"/>
  <c r="AP121" i="4"/>
  <c r="AP122" i="4"/>
  <c r="AQ122" i="4"/>
  <c r="AR122" i="4" s="1"/>
  <c r="AL122" i="4"/>
  <c r="R2" i="4"/>
  <c r="T2" i="4" s="1"/>
  <c r="Q140" i="4"/>
  <c r="R140" i="4" s="1"/>
  <c r="Q130" i="4"/>
  <c r="R130" i="4" s="1"/>
  <c r="Q134" i="4"/>
  <c r="R134" i="4" s="1"/>
  <c r="Q138" i="4"/>
  <c r="R138" i="4" s="1"/>
  <c r="Q132" i="4"/>
  <c r="R132" i="4" s="1"/>
  <c r="Q127" i="4"/>
  <c r="R127" i="4" s="1"/>
  <c r="Q136" i="4"/>
  <c r="R136" i="4" s="1"/>
  <c r="Q125" i="4"/>
  <c r="R125" i="4" s="1"/>
  <c r="Q139" i="4"/>
  <c r="Q135" i="4"/>
  <c r="Q131" i="4"/>
  <c r="Q128" i="4"/>
  <c r="P128" i="4" s="1"/>
  <c r="AF128" i="4" s="1"/>
  <c r="Q124" i="4"/>
  <c r="Q141" i="4"/>
  <c r="Q137" i="4"/>
  <c r="Q133" i="4"/>
  <c r="Q129" i="4"/>
  <c r="Q126" i="4"/>
  <c r="S6" i="4"/>
  <c r="S2" i="4"/>
  <c r="AR141" i="4"/>
  <c r="AL134" i="4"/>
  <c r="AR136" i="4"/>
  <c r="AN126" i="4"/>
  <c r="AN138" i="4"/>
  <c r="AL140" i="4"/>
  <c r="AL130" i="4"/>
  <c r="AR134" i="4"/>
  <c r="AP133" i="4"/>
  <c r="AL136" i="4"/>
  <c r="AL125" i="4"/>
  <c r="AR128" i="4"/>
  <c r="AL128" i="4"/>
  <c r="AN136" i="4"/>
  <c r="AR132" i="4"/>
  <c r="AL129" i="4"/>
  <c r="AR124" i="4"/>
  <c r="AP137" i="4"/>
  <c r="AP139" i="4"/>
  <c r="AN140" i="4"/>
  <c r="AL137" i="4"/>
  <c r="AL139" i="4"/>
  <c r="AP140" i="4"/>
  <c r="AP129" i="4"/>
  <c r="AN127" i="4"/>
  <c r="AN129" i="4"/>
  <c r="AR140" i="4"/>
  <c r="AP134" i="4"/>
  <c r="AR129" i="4"/>
  <c r="AP125" i="4"/>
  <c r="AR125" i="4"/>
  <c r="AN133" i="4"/>
  <c r="AN131" i="4"/>
  <c r="AN134" i="4"/>
  <c r="AR126" i="4"/>
  <c r="AL141" i="4"/>
  <c r="AP130" i="4"/>
  <c r="AR138" i="4"/>
  <c r="AP141" i="4"/>
  <c r="AR139" i="4"/>
  <c r="AL132" i="4"/>
  <c r="AN125" i="4"/>
  <c r="AR137" i="4"/>
  <c r="AL133" i="4"/>
  <c r="AN128" i="4"/>
  <c r="AN141" i="4"/>
  <c r="AP128" i="4"/>
  <c r="AP131" i="4"/>
  <c r="AL138" i="4"/>
  <c r="AL124" i="4"/>
  <c r="AN139" i="4"/>
  <c r="AL135" i="4"/>
  <c r="AR135" i="4"/>
  <c r="AL127" i="4"/>
  <c r="AP132" i="4"/>
  <c r="AP124" i="4"/>
  <c r="AR131" i="4"/>
  <c r="AP127" i="4"/>
  <c r="AR133" i="4"/>
  <c r="AR127" i="4"/>
  <c r="AN137" i="4"/>
  <c r="AL126" i="4"/>
  <c r="AN132" i="4"/>
  <c r="AR130" i="4"/>
  <c r="AP135" i="4"/>
  <c r="AP138" i="4"/>
  <c r="AL131" i="4"/>
  <c r="AP126" i="4"/>
  <c r="AN135" i="4"/>
  <c r="AN130" i="4"/>
  <c r="AP136" i="4"/>
  <c r="AS122" i="4" l="1"/>
  <c r="AU121" i="4"/>
  <c r="AT121" i="4"/>
  <c r="P140" i="4"/>
  <c r="P138" i="4"/>
  <c r="P136" i="4"/>
  <c r="P134" i="4"/>
  <c r="P127" i="4"/>
  <c r="P132" i="4"/>
  <c r="P125" i="4"/>
  <c r="P130" i="4"/>
  <c r="P141" i="4"/>
  <c r="R141" i="4"/>
  <c r="P124" i="4"/>
  <c r="R124" i="4"/>
  <c r="P135" i="4"/>
  <c r="R135" i="4"/>
  <c r="P129" i="4"/>
  <c r="R129" i="4"/>
  <c r="R128" i="4"/>
  <c r="P139" i="4"/>
  <c r="R139" i="4"/>
  <c r="P133" i="4"/>
  <c r="R133" i="4"/>
  <c r="P126" i="4"/>
  <c r="R126" i="4"/>
  <c r="P137" i="4"/>
  <c r="R137" i="4"/>
  <c r="P131" i="4"/>
  <c r="R131" i="4"/>
  <c r="R3" i="4"/>
  <c r="T3" i="4" s="1"/>
  <c r="R4" i="4" s="1"/>
  <c r="T4" i="4" s="1"/>
  <c r="R5" i="4" s="1"/>
  <c r="BT133" i="4"/>
  <c r="BN136" i="4"/>
  <c r="BN130" i="4"/>
  <c r="BP127" i="4"/>
  <c r="BT124" i="4"/>
  <c r="BP124" i="4"/>
  <c r="BR127" i="4"/>
  <c r="BR135" i="4"/>
  <c r="BT129" i="4"/>
  <c r="BN138" i="4"/>
  <c r="BP134" i="4"/>
  <c r="BT126" i="4"/>
  <c r="BN141" i="4"/>
  <c r="BR140" i="4"/>
  <c r="BR125" i="4"/>
  <c r="BR129" i="4"/>
  <c r="BR134" i="4"/>
  <c r="BP136" i="4"/>
  <c r="BP132" i="4"/>
  <c r="BP137" i="4"/>
  <c r="BN139" i="4"/>
  <c r="BP133" i="4"/>
  <c r="BN129" i="4"/>
  <c r="BN127" i="4"/>
  <c r="BT139" i="4"/>
  <c r="BT140" i="4"/>
  <c r="BT125" i="4"/>
  <c r="BR126" i="4"/>
  <c r="BT131" i="4"/>
  <c r="BN125" i="4"/>
  <c r="BT132" i="4"/>
  <c r="BP130" i="4"/>
  <c r="BN132" i="4"/>
  <c r="BT138" i="4"/>
  <c r="BN135" i="4"/>
  <c r="BP141" i="4"/>
  <c r="BR131" i="4"/>
  <c r="BP131" i="4"/>
  <c r="BP139" i="4"/>
  <c r="BR137" i="4"/>
  <c r="BR128" i="4"/>
  <c r="BR138" i="4"/>
  <c r="BN128" i="4"/>
  <c r="BP140" i="4"/>
  <c r="BN140" i="4"/>
  <c r="BT137" i="4"/>
  <c r="BT141" i="4"/>
  <c r="BR139" i="4"/>
  <c r="BR124" i="4"/>
  <c r="BR130" i="4"/>
  <c r="BT136" i="4"/>
  <c r="BR141" i="4"/>
  <c r="BP125" i="4"/>
  <c r="BN124" i="4"/>
  <c r="BP128" i="4"/>
  <c r="BN131" i="4"/>
  <c r="BR133" i="4"/>
  <c r="BP129" i="4"/>
  <c r="BN134" i="4"/>
  <c r="BP126" i="4"/>
  <c r="BN137" i="4"/>
  <c r="BT128" i="4"/>
  <c r="BP135" i="4"/>
  <c r="BT135" i="4"/>
  <c r="BT134" i="4"/>
  <c r="BR132" i="4"/>
  <c r="BP138" i="4"/>
  <c r="BT130" i="4"/>
  <c r="BT127" i="4"/>
  <c r="BN126" i="4"/>
  <c r="BR136" i="4"/>
  <c r="BN133" i="4"/>
  <c r="AW121" i="4" l="1"/>
  <c r="AV121" i="4"/>
  <c r="AU122" i="4"/>
  <c r="AT122" i="4"/>
  <c r="T5" i="4"/>
  <c r="R6" i="4" s="1"/>
  <c r="T6" i="4" s="1"/>
  <c r="R7" i="4" s="1"/>
  <c r="T7" i="4" s="1"/>
  <c r="M123" i="4"/>
  <c r="AT141" i="4"/>
  <c r="AT124" i="4"/>
  <c r="AT137" i="4"/>
  <c r="AT134" i="4"/>
  <c r="AT127" i="4"/>
  <c r="AT126" i="4"/>
  <c r="AT139" i="4"/>
  <c r="AT136" i="4"/>
  <c r="AT133" i="4"/>
  <c r="AT129" i="4"/>
  <c r="AT131" i="4"/>
  <c r="AT140" i="4"/>
  <c r="AT135" i="4"/>
  <c r="AT132" i="4"/>
  <c r="AT125" i="4"/>
  <c r="AT128" i="4"/>
  <c r="AT138" i="4"/>
  <c r="AT130" i="4"/>
  <c r="AW122" i="4" l="1"/>
  <c r="AV122" i="4"/>
  <c r="AY121" i="4"/>
  <c r="AX121" i="4"/>
  <c r="B11" i="4"/>
  <c r="B10" i="4"/>
  <c r="C10" i="4" s="1"/>
  <c r="D10" i="4" s="1"/>
  <c r="E10" i="4" s="1"/>
  <c r="F10" i="4" s="1"/>
  <c r="G10" i="4" s="1"/>
  <c r="AV124" i="4"/>
  <c r="BV139" i="4"/>
  <c r="BV125" i="4"/>
  <c r="AV136" i="4"/>
  <c r="BV132" i="4"/>
  <c r="AV134" i="4"/>
  <c r="AV131" i="4"/>
  <c r="BV136" i="4"/>
  <c r="BV127" i="4"/>
  <c r="AV141" i="4"/>
  <c r="AV133" i="4"/>
  <c r="AV125" i="4"/>
  <c r="BV137" i="4"/>
  <c r="AV135" i="4"/>
  <c r="AV129" i="4"/>
  <c r="BV129" i="4"/>
  <c r="AV126" i="4"/>
  <c r="BV130" i="4"/>
  <c r="BV135" i="4"/>
  <c r="BV138" i="4"/>
  <c r="BV124" i="4"/>
  <c r="AV130" i="4"/>
  <c r="AV138" i="4"/>
  <c r="BV126" i="4"/>
  <c r="BV128" i="4"/>
  <c r="AV139" i="4"/>
  <c r="AV127" i="4"/>
  <c r="BV131" i="4"/>
  <c r="BV140" i="4"/>
  <c r="BV134" i="4"/>
  <c r="AV137" i="4"/>
  <c r="AV132" i="4"/>
  <c r="AV128" i="4"/>
  <c r="BV133" i="4"/>
  <c r="BV141" i="4"/>
  <c r="AV140" i="4"/>
  <c r="BA121" i="4" l="1"/>
  <c r="AZ121" i="4"/>
  <c r="AY122" i="4"/>
  <c r="AX122" i="4"/>
  <c r="C11" i="4"/>
  <c r="H10" i="4"/>
  <c r="I10" i="4" s="1"/>
  <c r="J10" i="4" s="1"/>
  <c r="BX141" i="4"/>
  <c r="AX134" i="4"/>
  <c r="BX133" i="4"/>
  <c r="BX134" i="4"/>
  <c r="AX139" i="4"/>
  <c r="BX140" i="4"/>
  <c r="AX141" i="4"/>
  <c r="AX127" i="4"/>
  <c r="AX130" i="4"/>
  <c r="AX124" i="4"/>
  <c r="AX132" i="4"/>
  <c r="BX128" i="4"/>
  <c r="BX130" i="4"/>
  <c r="AX140" i="4"/>
  <c r="BX132" i="4"/>
  <c r="BX124" i="4"/>
  <c r="BX138" i="4"/>
  <c r="AX135" i="4"/>
  <c r="AX125" i="4"/>
  <c r="BX126" i="4"/>
  <c r="BX129" i="4"/>
  <c r="AX137" i="4"/>
  <c r="BX125" i="4"/>
  <c r="BX137" i="4"/>
  <c r="BX127" i="4"/>
  <c r="BX139" i="4"/>
  <c r="AX128" i="4"/>
  <c r="AX136" i="4"/>
  <c r="AX129" i="4"/>
  <c r="BX136" i="4"/>
  <c r="AX126" i="4"/>
  <c r="BX131" i="4"/>
  <c r="AX133" i="4"/>
  <c r="AX131" i="4"/>
  <c r="AX138" i="4"/>
  <c r="BX135" i="4"/>
  <c r="BC121" i="4" l="1"/>
  <c r="BB121" i="4"/>
  <c r="BA122" i="4"/>
  <c r="AZ122" i="4"/>
  <c r="K10" i="4"/>
  <c r="L10" i="4" s="1"/>
  <c r="M10" i="4" s="1"/>
  <c r="N10" i="4" s="1"/>
  <c r="D11" i="4"/>
  <c r="A33" i="4"/>
  <c r="A41" i="4" s="1"/>
  <c r="B26" i="4"/>
  <c r="AF126" i="4"/>
  <c r="AF125" i="4"/>
  <c r="AF127" i="4"/>
  <c r="AF138" i="4"/>
  <c r="AF130" i="4"/>
  <c r="AF129" i="4"/>
  <c r="AF136" i="4"/>
  <c r="AF132" i="4"/>
  <c r="B18" i="4"/>
  <c r="C18" i="4" s="1"/>
  <c r="B19" i="4"/>
  <c r="AF124" i="4"/>
  <c r="AZ126" i="4"/>
  <c r="BZ130" i="4"/>
  <c r="BZ136" i="4"/>
  <c r="BZ127" i="4"/>
  <c r="BZ140" i="4"/>
  <c r="BZ126" i="4"/>
  <c r="BZ129" i="4"/>
  <c r="AZ133" i="4"/>
  <c r="AZ134" i="4"/>
  <c r="AZ138" i="4"/>
  <c r="BZ138" i="4"/>
  <c r="AZ132" i="4"/>
  <c r="AZ130" i="4"/>
  <c r="BZ124" i="4"/>
  <c r="BZ135" i="4"/>
  <c r="BZ133" i="4"/>
  <c r="AZ127" i="4"/>
  <c r="AZ129" i="4"/>
  <c r="BZ125" i="4"/>
  <c r="BZ139" i="4"/>
  <c r="AZ136" i="4"/>
  <c r="AZ131" i="4"/>
  <c r="BZ137" i="4"/>
  <c r="BZ134" i="4"/>
  <c r="BZ132" i="4"/>
  <c r="AZ140" i="4"/>
  <c r="AZ141" i="4"/>
  <c r="AZ125" i="4"/>
  <c r="AZ135" i="4"/>
  <c r="BZ131" i="4"/>
  <c r="AZ124" i="4"/>
  <c r="AZ128" i="4"/>
  <c r="BZ128" i="4"/>
  <c r="AZ137" i="4"/>
  <c r="AZ139" i="4"/>
  <c r="BZ141" i="4"/>
  <c r="BC122" i="4" l="1"/>
  <c r="BB122" i="4"/>
  <c r="BE121" i="4"/>
  <c r="BD121" i="4"/>
  <c r="E11" i="4"/>
  <c r="C27" i="4"/>
  <c r="C26" i="4"/>
  <c r="D26" i="4" s="1"/>
  <c r="E26" i="4" s="1"/>
  <c r="F26" i="4" s="1"/>
  <c r="G26" i="4" s="1"/>
  <c r="D18" i="4"/>
  <c r="E18" i="4" s="1"/>
  <c r="F18" i="4" s="1"/>
  <c r="G18" i="4" s="1"/>
  <c r="O10" i="4"/>
  <c r="P10" i="4" s="1"/>
  <c r="Q10" i="4" s="1"/>
  <c r="CB139" i="4"/>
  <c r="BB136" i="4"/>
  <c r="CB135" i="4"/>
  <c r="BB132" i="4"/>
  <c r="BB126" i="4"/>
  <c r="CB138" i="4"/>
  <c r="CB141" i="4"/>
  <c r="BB124" i="4"/>
  <c r="CB137" i="4"/>
  <c r="BB141" i="4"/>
  <c r="CB136" i="4"/>
  <c r="BB128" i="4"/>
  <c r="BB139" i="4"/>
  <c r="BB131" i="4"/>
  <c r="CB134" i="4"/>
  <c r="BB130" i="4"/>
  <c r="CB128" i="4"/>
  <c r="CB140" i="4"/>
  <c r="BB134" i="4"/>
  <c r="BB129" i="4"/>
  <c r="BB137" i="4"/>
  <c r="CB130" i="4"/>
  <c r="CB129" i="4"/>
  <c r="BB140" i="4"/>
  <c r="BB135" i="4"/>
  <c r="CB124" i="4"/>
  <c r="BB127" i="4"/>
  <c r="CB125" i="4"/>
  <c r="CB132" i="4"/>
  <c r="CB133" i="4"/>
  <c r="CB126" i="4"/>
  <c r="CB131" i="4"/>
  <c r="BB125" i="4"/>
  <c r="CB127" i="4"/>
  <c r="BB133" i="4"/>
  <c r="BB138" i="4"/>
  <c r="BG121" i="4" l="1"/>
  <c r="BF121" i="4"/>
  <c r="BE122" i="4"/>
  <c r="BD122" i="4"/>
  <c r="R10" i="4"/>
  <c r="S10" i="4" s="1"/>
  <c r="T10" i="4" s="1"/>
  <c r="U10" i="4" s="1"/>
  <c r="H18" i="4"/>
  <c r="I18" i="4" s="1"/>
  <c r="J18" i="4" s="1"/>
  <c r="K18" i="4" s="1"/>
  <c r="L18" i="4" s="1"/>
  <c r="M18" i="4" s="1"/>
  <c r="N18" i="4" s="1"/>
  <c r="H26" i="4"/>
  <c r="I26" i="4" s="1"/>
  <c r="J26" i="4" s="1"/>
  <c r="K26" i="4" s="1"/>
  <c r="L26" i="4" s="1"/>
  <c r="M26" i="4" s="1"/>
  <c r="N26" i="4" s="1"/>
  <c r="D27" i="4"/>
  <c r="F11" i="4"/>
  <c r="AE133" i="4"/>
  <c r="AF131" i="4"/>
  <c r="AF139" i="4"/>
  <c r="AF140" i="4"/>
  <c r="AF135" i="4"/>
  <c r="AF137" i="4"/>
  <c r="C19" i="4"/>
  <c r="A49" i="4"/>
  <c r="B42" i="4"/>
  <c r="B43" i="4"/>
  <c r="AE126" i="4"/>
  <c r="AE135" i="4"/>
  <c r="AE139" i="4"/>
  <c r="AE129" i="4"/>
  <c r="AE125" i="4"/>
  <c r="AE132" i="4"/>
  <c r="AE130" i="4"/>
  <c r="AE131" i="4"/>
  <c r="AE128" i="4"/>
  <c r="AE140" i="4"/>
  <c r="AE127" i="4"/>
  <c r="AE138" i="4"/>
  <c r="AE136" i="4"/>
  <c r="AE124" i="4"/>
  <c r="AE137" i="4"/>
  <c r="B35" i="4"/>
  <c r="B34" i="4"/>
  <c r="C34" i="4" s="1"/>
  <c r="D34" i="4" s="1"/>
  <c r="E34" i="4" s="1"/>
  <c r="F34" i="4" s="1"/>
  <c r="CD138" i="4"/>
  <c r="CD126" i="4"/>
  <c r="CD130" i="4"/>
  <c r="CD128" i="4"/>
  <c r="CD125" i="4"/>
  <c r="CD124" i="4"/>
  <c r="BD140" i="4"/>
  <c r="CD131" i="4"/>
  <c r="CD132" i="4"/>
  <c r="BD128" i="4"/>
  <c r="CD135" i="4"/>
  <c r="CD133" i="4"/>
  <c r="CD127" i="4"/>
  <c r="BD126" i="4"/>
  <c r="BD131" i="4"/>
  <c r="CD141" i="4"/>
  <c r="CD140" i="4"/>
  <c r="CD134" i="4"/>
  <c r="BD139" i="4"/>
  <c r="CD129" i="4"/>
  <c r="BD124" i="4"/>
  <c r="BD135" i="4"/>
  <c r="BD127" i="4"/>
  <c r="BD132" i="4"/>
  <c r="BD134" i="4"/>
  <c r="CD136" i="4"/>
  <c r="BD138" i="4"/>
  <c r="BD133" i="4"/>
  <c r="BD137" i="4"/>
  <c r="CD137" i="4"/>
  <c r="CD139" i="4"/>
  <c r="BD136" i="4"/>
  <c r="BD129" i="4"/>
  <c r="BD141" i="4"/>
  <c r="BD130" i="4"/>
  <c r="BD125" i="4"/>
  <c r="BG122" i="4" l="1"/>
  <c r="BF122" i="4"/>
  <c r="BI121" i="4"/>
  <c r="BJ121" i="4" s="1"/>
  <c r="BH121" i="4"/>
  <c r="O26" i="4"/>
  <c r="P26" i="4" s="1"/>
  <c r="Q26" i="4" s="1"/>
  <c r="R26" i="4" s="1"/>
  <c r="S26" i="4" s="1"/>
  <c r="T26" i="4" s="1"/>
  <c r="U26" i="4" s="1"/>
  <c r="O18" i="4"/>
  <c r="P18" i="4" s="1"/>
  <c r="Q18" i="4" s="1"/>
  <c r="R18" i="4" s="1"/>
  <c r="S18" i="4" s="1"/>
  <c r="T18" i="4" s="1"/>
  <c r="U18" i="4" s="1"/>
  <c r="C42" i="4"/>
  <c r="D42" i="4" s="1"/>
  <c r="E42" i="4" s="1"/>
  <c r="C43" i="4"/>
  <c r="D43" i="4" s="1"/>
  <c r="E43" i="4" s="1"/>
  <c r="D19" i="4"/>
  <c r="G11" i="4"/>
  <c r="E27" i="4"/>
  <c r="A57" i="4"/>
  <c r="A65" i="4" s="1"/>
  <c r="B50" i="4"/>
  <c r="B51" i="4"/>
  <c r="G34" i="4"/>
  <c r="H34" i="4" s="1"/>
  <c r="AF133" i="4"/>
  <c r="V10" i="4"/>
  <c r="CF125" i="4"/>
  <c r="CF137" i="4"/>
  <c r="BG132" i="4"/>
  <c r="BF136" i="4"/>
  <c r="BF140" i="4"/>
  <c r="BG125" i="4"/>
  <c r="CI124" i="4"/>
  <c r="CI135" i="4"/>
  <c r="CI137" i="4"/>
  <c r="CF132" i="4"/>
  <c r="CF128" i="4"/>
  <c r="BF141" i="4"/>
  <c r="BG129" i="4"/>
  <c r="CF133" i="4"/>
  <c r="CF130" i="4"/>
  <c r="BG138" i="4"/>
  <c r="CI130" i="4"/>
  <c r="BG124" i="4"/>
  <c r="CI141" i="4"/>
  <c r="BF126" i="4"/>
  <c r="CI127" i="4"/>
  <c r="CI125" i="4"/>
  <c r="CF127" i="4"/>
  <c r="CF134" i="4"/>
  <c r="BF125" i="4"/>
  <c r="CI140" i="4"/>
  <c r="BG139" i="4"/>
  <c r="CI132" i="4"/>
  <c r="BG127" i="4"/>
  <c r="CF131" i="4"/>
  <c r="BF132" i="4"/>
  <c r="CF124" i="4"/>
  <c r="CI128" i="4"/>
  <c r="CI131" i="4"/>
  <c r="BG134" i="4"/>
  <c r="CI136" i="4"/>
  <c r="CI126" i="4"/>
  <c r="CF135" i="4"/>
  <c r="BF130" i="4"/>
  <c r="BF139" i="4"/>
  <c r="BF138" i="4"/>
  <c r="BF124" i="4"/>
  <c r="CI134" i="4"/>
  <c r="BF135" i="4"/>
  <c r="BG133" i="4"/>
  <c r="BG130" i="4"/>
  <c r="BF129" i="4"/>
  <c r="BG141" i="4"/>
  <c r="CI129" i="4"/>
  <c r="CF141" i="4"/>
  <c r="BG128" i="4"/>
  <c r="BG136" i="4"/>
  <c r="BG131" i="4"/>
  <c r="BF127" i="4"/>
  <c r="BF133" i="4"/>
  <c r="BG126" i="4"/>
  <c r="BF134" i="4"/>
  <c r="BG135" i="4"/>
  <c r="CF129" i="4"/>
  <c r="CF139" i="4"/>
  <c r="CF136" i="4"/>
  <c r="BF131" i="4"/>
  <c r="BG140" i="4"/>
  <c r="CF140" i="4"/>
  <c r="CF138" i="4"/>
  <c r="BF128" i="4"/>
  <c r="BF137" i="4"/>
  <c r="BG137" i="4"/>
  <c r="CI139" i="4"/>
  <c r="CF126" i="4"/>
  <c r="CI138" i="4"/>
  <c r="CI133" i="4"/>
  <c r="BI122" i="4" l="1"/>
  <c r="BH122" i="4"/>
  <c r="V18" i="4"/>
  <c r="W18" i="4" s="1"/>
  <c r="X18" i="4" s="1"/>
  <c r="Y18" i="4" s="1"/>
  <c r="Z18" i="4" s="1"/>
  <c r="AA18" i="4" s="1"/>
  <c r="AB18" i="4" s="1"/>
  <c r="AC18" i="4" s="1"/>
  <c r="V26" i="4"/>
  <c r="W26" i="4" s="1"/>
  <c r="X26" i="4" s="1"/>
  <c r="Y26" i="4" s="1"/>
  <c r="Z26" i="4" s="1"/>
  <c r="AA26" i="4" s="1"/>
  <c r="AB26" i="4" s="1"/>
  <c r="F27" i="4"/>
  <c r="G27" i="4" s="1"/>
  <c r="H11" i="4"/>
  <c r="W10" i="4"/>
  <c r="X10" i="4" s="1"/>
  <c r="CK134" i="4"/>
  <c r="BH125" i="4"/>
  <c r="CK124" i="4"/>
  <c r="BI141" i="4"/>
  <c r="CK132" i="4"/>
  <c r="BI128" i="4"/>
  <c r="BH141" i="4"/>
  <c r="CH140" i="4"/>
  <c r="CH141" i="4"/>
  <c r="BH136" i="4"/>
  <c r="CH129" i="4"/>
  <c r="BI139" i="4"/>
  <c r="CH139" i="4"/>
  <c r="CH124" i="4"/>
  <c r="BI140" i="4"/>
  <c r="BI138" i="4"/>
  <c r="BI132" i="4"/>
  <c r="CH132" i="4"/>
  <c r="CK141" i="4"/>
  <c r="BI131" i="4"/>
  <c r="CK137" i="4"/>
  <c r="CK138" i="4"/>
  <c r="BH128" i="4"/>
  <c r="CK125" i="4"/>
  <c r="CK140" i="4"/>
  <c r="CK131" i="4"/>
  <c r="BH130" i="4"/>
  <c r="CH134" i="4"/>
  <c r="CH130" i="4"/>
  <c r="CH133" i="4"/>
  <c r="BH131" i="4"/>
  <c r="CK133" i="4"/>
  <c r="CK130" i="4"/>
  <c r="BH133" i="4"/>
  <c r="BH126" i="4"/>
  <c r="BI137" i="4"/>
  <c r="BI133" i="4"/>
  <c r="CH138" i="4"/>
  <c r="BH140" i="4"/>
  <c r="BI126" i="4"/>
  <c r="BI127" i="4"/>
  <c r="BI136" i="4"/>
  <c r="CK127" i="4"/>
  <c r="CH137" i="4"/>
  <c r="CH128" i="4"/>
  <c r="BI129" i="4"/>
  <c r="BH132" i="4"/>
  <c r="BI134" i="4"/>
  <c r="CK128" i="4"/>
  <c r="BI135" i="4"/>
  <c r="CH125" i="4"/>
  <c r="BH138" i="4"/>
  <c r="BI125" i="4"/>
  <c r="CH131" i="4"/>
  <c r="BH124" i="4"/>
  <c r="BH127" i="4"/>
  <c r="CK136" i="4"/>
  <c r="BI124" i="4"/>
  <c r="CK135" i="4"/>
  <c r="CH126" i="4"/>
  <c r="CK126" i="4"/>
  <c r="CH136" i="4"/>
  <c r="BH137" i="4"/>
  <c r="BI130" i="4"/>
  <c r="CK139" i="4"/>
  <c r="CH135" i="4"/>
  <c r="BH134" i="4"/>
  <c r="BH129" i="4"/>
  <c r="BH139" i="4"/>
  <c r="CK129" i="4"/>
  <c r="BH135" i="4"/>
  <c r="CH127" i="4"/>
  <c r="BJ122" i="4" l="1"/>
  <c r="Y10" i="4"/>
  <c r="Z10" i="4" s="1"/>
  <c r="AA10" i="4" s="1"/>
  <c r="AB10" i="4" s="1"/>
  <c r="AC10" i="4" s="1"/>
  <c r="AD10" i="4" s="1"/>
  <c r="AE10" i="4" s="1"/>
  <c r="AF10" i="4" s="1"/>
  <c r="AC26" i="4"/>
  <c r="AD26" i="4" s="1"/>
  <c r="AE26" i="4" s="1"/>
  <c r="H27" i="4"/>
  <c r="I27" i="4" s="1"/>
  <c r="J27" i="4" s="1"/>
  <c r="I11" i="4"/>
  <c r="F43" i="4"/>
  <c r="G43" i="4" s="1"/>
  <c r="H43" i="4" s="1"/>
  <c r="I43" i="4" s="1"/>
  <c r="F42" i="4"/>
  <c r="G42" i="4" s="1"/>
  <c r="H42" i="4" s="1"/>
  <c r="I42" i="4" s="1"/>
  <c r="C51" i="4"/>
  <c r="I34" i="4"/>
  <c r="J34" i="4" s="1"/>
  <c r="K34" i="4" s="1"/>
  <c r="E19" i="4"/>
  <c r="C35" i="4"/>
  <c r="CJ128" i="4"/>
  <c r="BJ130" i="4"/>
  <c r="CJ129" i="4"/>
  <c r="CJ132" i="4"/>
  <c r="BJ135" i="4"/>
  <c r="CJ133" i="4"/>
  <c r="BJ140" i="4"/>
  <c r="CJ141" i="4"/>
  <c r="BJ124" i="4"/>
  <c r="BJ126" i="4"/>
  <c r="CJ140" i="4"/>
  <c r="CJ125" i="4"/>
  <c r="BJ128" i="4"/>
  <c r="BJ133" i="4"/>
  <c r="BJ139" i="4"/>
  <c r="CJ127" i="4"/>
  <c r="CJ124" i="4"/>
  <c r="CJ130" i="4"/>
  <c r="BJ138" i="4"/>
  <c r="CJ136" i="4"/>
  <c r="BJ125" i="4"/>
  <c r="CJ126" i="4"/>
  <c r="BJ136" i="4"/>
  <c r="BJ127" i="4"/>
  <c r="BJ137" i="4"/>
  <c r="CJ135" i="4"/>
  <c r="BJ132" i="4"/>
  <c r="BJ129" i="4"/>
  <c r="BJ134" i="4"/>
  <c r="CJ137" i="4"/>
  <c r="BJ141" i="4"/>
  <c r="CJ138" i="4"/>
  <c r="CJ131" i="4"/>
  <c r="AN124" i="4"/>
  <c r="BJ131" i="4"/>
  <c r="CJ139" i="4"/>
  <c r="CJ134" i="4"/>
  <c r="K27" i="4" l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J42" i="4"/>
  <c r="K42" i="4" s="1"/>
  <c r="L42" i="4" s="1"/>
  <c r="M42" i="4" s="1"/>
  <c r="N42" i="4" s="1"/>
  <c r="O42" i="4" s="1"/>
  <c r="P42" i="4" s="1"/>
  <c r="J43" i="4"/>
  <c r="K43" i="4" s="1"/>
  <c r="L43" i="4" s="1"/>
  <c r="M43" i="4" s="1"/>
  <c r="N43" i="4" s="1"/>
  <c r="O43" i="4" s="1"/>
  <c r="P43" i="4" s="1"/>
  <c r="L34" i="4"/>
  <c r="M34" i="4" s="1"/>
  <c r="N34" i="4" s="1"/>
  <c r="O34" i="4" s="1"/>
  <c r="P34" i="4" s="1"/>
  <c r="Q34" i="4" s="1"/>
  <c r="R34" i="4" s="1"/>
  <c r="F19" i="4"/>
  <c r="J11" i="4"/>
  <c r="K11" i="4" s="1"/>
  <c r="L11" i="4" s="1"/>
  <c r="B58" i="4"/>
  <c r="C58" i="4" s="1"/>
  <c r="D58" i="4" s="1"/>
  <c r="E58" i="4" s="1"/>
  <c r="F58" i="4" s="1"/>
  <c r="C50" i="4"/>
  <c r="D35" i="4"/>
  <c r="E35" i="4" s="1"/>
  <c r="F35" i="4" s="1"/>
  <c r="CL127" i="4"/>
  <c r="CL137" i="4"/>
  <c r="CL133" i="4"/>
  <c r="CL124" i="4"/>
  <c r="CL136" i="4"/>
  <c r="CL141" i="4"/>
  <c r="CL128" i="4"/>
  <c r="CL126" i="4"/>
  <c r="CL134" i="4"/>
  <c r="CL138" i="4"/>
  <c r="CL130" i="4"/>
  <c r="CL129" i="4"/>
  <c r="CL140" i="4"/>
  <c r="CL135" i="4"/>
  <c r="CL125" i="4"/>
  <c r="CL131" i="4"/>
  <c r="CL132" i="4"/>
  <c r="CL139" i="4"/>
  <c r="Q43" i="4" l="1"/>
  <c r="R43" i="4" s="1"/>
  <c r="S43" i="4" s="1"/>
  <c r="T43" i="4" s="1"/>
  <c r="U43" i="4" s="1"/>
  <c r="V43" i="4" s="1"/>
  <c r="W43" i="4" s="1"/>
  <c r="V27" i="4"/>
  <c r="W27" i="4" s="1"/>
  <c r="X27" i="4" s="1"/>
  <c r="Y27" i="4" s="1"/>
  <c r="Z27" i="4" s="1"/>
  <c r="AA27" i="4" s="1"/>
  <c r="AB27" i="4" s="1"/>
  <c r="S34" i="4"/>
  <c r="T34" i="4" s="1"/>
  <c r="U34" i="4" s="1"/>
  <c r="V34" i="4" s="1"/>
  <c r="W34" i="4" s="1"/>
  <c r="X34" i="4" s="1"/>
  <c r="Y34" i="4" s="1"/>
  <c r="Z34" i="4" s="1"/>
  <c r="AA34" i="4" s="1"/>
  <c r="Q42" i="4"/>
  <c r="R42" i="4" s="1"/>
  <c r="S42" i="4" s="1"/>
  <c r="T42" i="4" s="1"/>
  <c r="U42" i="4" s="1"/>
  <c r="V42" i="4" s="1"/>
  <c r="W42" i="4" s="1"/>
  <c r="G19" i="4"/>
  <c r="H19" i="4" s="1"/>
  <c r="I19" i="4" s="1"/>
  <c r="AF134" i="4"/>
  <c r="D51" i="4"/>
  <c r="B66" i="4"/>
  <c r="B59" i="4"/>
  <c r="X43" i="4" l="1"/>
  <c r="Y43" i="4" s="1"/>
  <c r="Z43" i="4" s="1"/>
  <c r="AA43" i="4" s="1"/>
  <c r="AB43" i="4" s="1"/>
  <c r="AC43" i="4" s="1"/>
  <c r="AD43" i="4" s="1"/>
  <c r="AE43" i="4" s="1"/>
  <c r="AF43" i="4" s="1"/>
  <c r="AC27" i="4"/>
  <c r="AD27" i="4" s="1"/>
  <c r="AE27" i="4" s="1"/>
  <c r="X42" i="4"/>
  <c r="Y42" i="4" s="1"/>
  <c r="Z42" i="4" s="1"/>
  <c r="AA42" i="4" s="1"/>
  <c r="AB42" i="4" s="1"/>
  <c r="AC42" i="4" s="1"/>
  <c r="AD42" i="4" s="1"/>
  <c r="AE42" i="4" s="1"/>
  <c r="AF42" i="4" s="1"/>
  <c r="C66" i="4"/>
  <c r="D66" i="4" s="1"/>
  <c r="E66" i="4" s="1"/>
  <c r="F66" i="4" s="1"/>
  <c r="G66" i="4" s="1"/>
  <c r="H66" i="4" s="1"/>
  <c r="I66" i="4" s="1"/>
  <c r="J66" i="4" s="1"/>
  <c r="G35" i="4"/>
  <c r="AB34" i="4"/>
  <c r="AC34" i="4" s="1"/>
  <c r="AD34" i="4" s="1"/>
  <c r="AE34" i="4" s="1"/>
  <c r="AE134" i="4"/>
  <c r="Q123" i="4"/>
  <c r="AF141" i="4"/>
  <c r="AE141" i="4"/>
  <c r="D50" i="4"/>
  <c r="C59" i="4"/>
  <c r="D59" i="4" s="1"/>
  <c r="E59" i="4" s="1"/>
  <c r="F59" i="4" s="1"/>
  <c r="A73" i="4"/>
  <c r="B67" i="4"/>
  <c r="C67" i="4" s="1"/>
  <c r="E51" i="4"/>
  <c r="A81" i="4" l="1"/>
  <c r="A89" i="4" s="1"/>
  <c r="A97" i="4" s="1"/>
  <c r="A105" i="4" s="1"/>
  <c r="A113" i="4" s="1"/>
  <c r="M11" i="4"/>
  <c r="H35" i="4"/>
  <c r="I35" i="4" s="1"/>
  <c r="J35" i="4" s="1"/>
  <c r="K35" i="4" s="1"/>
  <c r="L35" i="4" s="1"/>
  <c r="M35" i="4" s="1"/>
  <c r="AF26" i="4"/>
  <c r="G58" i="4"/>
  <c r="H58" i="4" s="1"/>
  <c r="K66" i="4"/>
  <c r="L66" i="4" s="1"/>
  <c r="M66" i="4" s="1"/>
  <c r="N66" i="4" s="1"/>
  <c r="O66" i="4" s="1"/>
  <c r="P66" i="4" s="1"/>
  <c r="Q66" i="4" s="1"/>
  <c r="P123" i="4"/>
  <c r="E50" i="4"/>
  <c r="B74" i="4"/>
  <c r="B75" i="4"/>
  <c r="F51" i="4"/>
  <c r="G51" i="4" s="1"/>
  <c r="H51" i="4" s="1"/>
  <c r="D67" i="4"/>
  <c r="B114" i="4" l="1"/>
  <c r="C114" i="4" s="1"/>
  <c r="D114" i="4" s="1"/>
  <c r="E114" i="4" s="1"/>
  <c r="F114" i="4" s="1"/>
  <c r="G114" i="4" s="1"/>
  <c r="H114" i="4" s="1"/>
  <c r="I114" i="4" s="1"/>
  <c r="J114" i="4" s="1"/>
  <c r="K114" i="4" s="1"/>
  <c r="L114" i="4" s="1"/>
  <c r="M114" i="4" s="1"/>
  <c r="B115" i="4"/>
  <c r="C115" i="4" s="1"/>
  <c r="D115" i="4" s="1"/>
  <c r="E115" i="4" s="1"/>
  <c r="F115" i="4" s="1"/>
  <c r="G115" i="4" s="1"/>
  <c r="H115" i="4" s="1"/>
  <c r="I115" i="4" s="1"/>
  <c r="J115" i="4" s="1"/>
  <c r="K115" i="4" s="1"/>
  <c r="L115" i="4" s="1"/>
  <c r="M115" i="4" s="1"/>
  <c r="B106" i="4"/>
  <c r="B107" i="4"/>
  <c r="J19" i="4"/>
  <c r="N11" i="4"/>
  <c r="G59" i="4"/>
  <c r="H59" i="4" s="1"/>
  <c r="I59" i="4" s="1"/>
  <c r="J59" i="4" s="1"/>
  <c r="K59" i="4" s="1"/>
  <c r="L59" i="4" s="1"/>
  <c r="M59" i="4" s="1"/>
  <c r="R66" i="4"/>
  <c r="S66" i="4" s="1"/>
  <c r="T66" i="4" s="1"/>
  <c r="U66" i="4" s="1"/>
  <c r="V66" i="4" s="1"/>
  <c r="W66" i="4" s="1"/>
  <c r="X66" i="4" s="1"/>
  <c r="E67" i="4"/>
  <c r="F67" i="4" s="1"/>
  <c r="G67" i="4" s="1"/>
  <c r="H67" i="4" s="1"/>
  <c r="I67" i="4" s="1"/>
  <c r="J67" i="4" s="1"/>
  <c r="B82" i="4"/>
  <c r="C82" i="4" s="1"/>
  <c r="C74" i="4"/>
  <c r="F50" i="4"/>
  <c r="G50" i="4" s="1"/>
  <c r="H50" i="4" s="1"/>
  <c r="I51" i="4"/>
  <c r="C75" i="4"/>
  <c r="D75" i="4" s="1"/>
  <c r="E75" i="4" s="1"/>
  <c r="F75" i="4" s="1"/>
  <c r="G75" i="4" s="1"/>
  <c r="B83" i="4"/>
  <c r="C107" i="4" l="1"/>
  <c r="D107" i="4" s="1"/>
  <c r="E107" i="4" s="1"/>
  <c r="F107" i="4" s="1"/>
  <c r="G107" i="4" s="1"/>
  <c r="H107" i="4" s="1"/>
  <c r="I107" i="4" s="1"/>
  <c r="C106" i="4"/>
  <c r="D106" i="4" s="1"/>
  <c r="E106" i="4" s="1"/>
  <c r="F106" i="4" s="1"/>
  <c r="G106" i="4" s="1"/>
  <c r="H106" i="4" s="1"/>
  <c r="I106" i="4" s="1"/>
  <c r="N114" i="4"/>
  <c r="O114" i="4" s="1"/>
  <c r="P114" i="4" s="1"/>
  <c r="Q114" i="4" s="1"/>
  <c r="R114" i="4" s="1"/>
  <c r="S114" i="4" s="1"/>
  <c r="T114" i="4" s="1"/>
  <c r="N115" i="4"/>
  <c r="O115" i="4" s="1"/>
  <c r="P115" i="4" s="1"/>
  <c r="Q115" i="4" s="1"/>
  <c r="R115" i="4" s="1"/>
  <c r="S115" i="4" s="1"/>
  <c r="T115" i="4" s="1"/>
  <c r="D82" i="4"/>
  <c r="E82" i="4" s="1"/>
  <c r="F82" i="4" s="1"/>
  <c r="G82" i="4" s="1"/>
  <c r="H82" i="4" s="1"/>
  <c r="I82" i="4" s="1"/>
  <c r="J82" i="4" s="1"/>
  <c r="O11" i="4"/>
  <c r="K19" i="4"/>
  <c r="N59" i="4"/>
  <c r="O59" i="4" s="1"/>
  <c r="P59" i="4" s="1"/>
  <c r="Q59" i="4" s="1"/>
  <c r="R59" i="4" s="1"/>
  <c r="K67" i="4"/>
  <c r="L67" i="4" s="1"/>
  <c r="M67" i="4" s="1"/>
  <c r="N67" i="4" s="1"/>
  <c r="O67" i="4" s="1"/>
  <c r="P67" i="4" s="1"/>
  <c r="Q67" i="4" s="1"/>
  <c r="Y66" i="4"/>
  <c r="Z66" i="4" s="1"/>
  <c r="J51" i="4"/>
  <c r="K51" i="4" s="1"/>
  <c r="L51" i="4" s="1"/>
  <c r="M51" i="4" s="1"/>
  <c r="B90" i="4"/>
  <c r="C90" i="4" s="1"/>
  <c r="I58" i="4"/>
  <c r="D74" i="4"/>
  <c r="E74" i="4" s="1"/>
  <c r="F74" i="4" s="1"/>
  <c r="G74" i="4" s="1"/>
  <c r="H75" i="4"/>
  <c r="C83" i="4"/>
  <c r="B98" i="4"/>
  <c r="C98" i="4" s="1"/>
  <c r="D98" i="4" s="1"/>
  <c r="E98" i="4" s="1"/>
  <c r="F98" i="4" s="1"/>
  <c r="G98" i="4" s="1"/>
  <c r="B91" i="4"/>
  <c r="U114" i="4" l="1"/>
  <c r="V114" i="4" s="1"/>
  <c r="W114" i="4" s="1"/>
  <c r="X114" i="4" s="1"/>
  <c r="Y114" i="4" s="1"/>
  <c r="Z114" i="4" s="1"/>
  <c r="AA114" i="4" s="1"/>
  <c r="AB114" i="4" s="1"/>
  <c r="AC114" i="4" s="1"/>
  <c r="J107" i="4"/>
  <c r="K107" i="4" s="1"/>
  <c r="L107" i="4" s="1"/>
  <c r="M107" i="4" s="1"/>
  <c r="N107" i="4" s="1"/>
  <c r="O107" i="4" s="1"/>
  <c r="P107" i="4" s="1"/>
  <c r="J106" i="4"/>
  <c r="K106" i="4" s="1"/>
  <c r="L106" i="4" s="1"/>
  <c r="M106" i="4" s="1"/>
  <c r="N106" i="4" s="1"/>
  <c r="O106" i="4" s="1"/>
  <c r="P106" i="4" s="1"/>
  <c r="U115" i="4"/>
  <c r="V115" i="4" s="1"/>
  <c r="W115" i="4" s="1"/>
  <c r="X115" i="4" s="1"/>
  <c r="Y115" i="4" s="1"/>
  <c r="Z115" i="4" s="1"/>
  <c r="AA115" i="4" s="1"/>
  <c r="AB115" i="4" s="1"/>
  <c r="AC115" i="4" s="1"/>
  <c r="K82" i="4"/>
  <c r="L82" i="4" s="1"/>
  <c r="M82" i="4" s="1"/>
  <c r="N82" i="4" s="1"/>
  <c r="O82" i="4" s="1"/>
  <c r="P82" i="4" s="1"/>
  <c r="Q82" i="4" s="1"/>
  <c r="R82" i="4" s="1"/>
  <c r="S82" i="4" s="1"/>
  <c r="N51" i="4"/>
  <c r="O51" i="4" s="1"/>
  <c r="P51" i="4" s="1"/>
  <c r="Q51" i="4" s="1"/>
  <c r="R51" i="4" s="1"/>
  <c r="S51" i="4" s="1"/>
  <c r="T51" i="4" s="1"/>
  <c r="U51" i="4" s="1"/>
  <c r="V51" i="4" s="1"/>
  <c r="D83" i="4"/>
  <c r="E83" i="4" s="1"/>
  <c r="F83" i="4" s="1"/>
  <c r="G83" i="4" s="1"/>
  <c r="H83" i="4" s="1"/>
  <c r="I83" i="4" s="1"/>
  <c r="J83" i="4" s="1"/>
  <c r="S59" i="4"/>
  <c r="T59" i="4" s="1"/>
  <c r="U59" i="4" s="1"/>
  <c r="V59" i="4" s="1"/>
  <c r="W59" i="4" s="1"/>
  <c r="X59" i="4" s="1"/>
  <c r="Y59" i="4" s="1"/>
  <c r="Z59" i="4" s="1"/>
  <c r="AA59" i="4" s="1"/>
  <c r="L19" i="4"/>
  <c r="P11" i="4"/>
  <c r="N35" i="4"/>
  <c r="C91" i="4"/>
  <c r="D91" i="4" s="1"/>
  <c r="E91" i="4" s="1"/>
  <c r="F91" i="4" s="1"/>
  <c r="G91" i="4" s="1"/>
  <c r="H91" i="4" s="1"/>
  <c r="I91" i="4" s="1"/>
  <c r="R67" i="4"/>
  <c r="S67" i="4" s="1"/>
  <c r="T67" i="4" s="1"/>
  <c r="U67" i="4" s="1"/>
  <c r="V67" i="4" s="1"/>
  <c r="W67" i="4" s="1"/>
  <c r="X67" i="4" s="1"/>
  <c r="D90" i="4"/>
  <c r="I75" i="4"/>
  <c r="J75" i="4" s="1"/>
  <c r="K75" i="4" s="1"/>
  <c r="L75" i="4" s="1"/>
  <c r="M75" i="4" s="1"/>
  <c r="N75" i="4" s="1"/>
  <c r="H98" i="4"/>
  <c r="J58" i="4"/>
  <c r="AA66" i="4"/>
  <c r="B99" i="4"/>
  <c r="Q106" i="4" l="1"/>
  <c r="R106" i="4" s="1"/>
  <c r="S106" i="4" s="1"/>
  <c r="T106" i="4" s="1"/>
  <c r="U106" i="4" s="1"/>
  <c r="V106" i="4" s="1"/>
  <c r="W106" i="4" s="1"/>
  <c r="Q107" i="4"/>
  <c r="R107" i="4" s="1"/>
  <c r="S107" i="4" s="1"/>
  <c r="T107" i="4" s="1"/>
  <c r="U107" i="4" s="1"/>
  <c r="V107" i="4" s="1"/>
  <c r="W107" i="4" s="1"/>
  <c r="K83" i="4"/>
  <c r="L83" i="4" s="1"/>
  <c r="M83" i="4" s="1"/>
  <c r="N83" i="4" s="1"/>
  <c r="O83" i="4" s="1"/>
  <c r="P83" i="4" s="1"/>
  <c r="Q83" i="4" s="1"/>
  <c r="R83" i="4" s="1"/>
  <c r="S83" i="4" s="1"/>
  <c r="Q11" i="4"/>
  <c r="R11" i="4" s="1"/>
  <c r="S11" i="4" s="1"/>
  <c r="O35" i="4"/>
  <c r="M19" i="4"/>
  <c r="E90" i="4"/>
  <c r="O75" i="4"/>
  <c r="P75" i="4" s="1"/>
  <c r="Q75" i="4" s="1"/>
  <c r="R75" i="4" s="1"/>
  <c r="S75" i="4" s="1"/>
  <c r="AB59" i="4"/>
  <c r="AC59" i="4" s="1"/>
  <c r="AD59" i="4" s="1"/>
  <c r="AE59" i="4" s="1"/>
  <c r="AF59" i="4" s="1"/>
  <c r="I50" i="4"/>
  <c r="J50" i="4" s="1"/>
  <c r="W51" i="4"/>
  <c r="X51" i="4" s="1"/>
  <c r="Y51" i="4" s="1"/>
  <c r="Z51" i="4" s="1"/>
  <c r="AA51" i="4" s="1"/>
  <c r="AB51" i="4" s="1"/>
  <c r="AC51" i="4" s="1"/>
  <c r="T82" i="4"/>
  <c r="U82" i="4" s="1"/>
  <c r="Y67" i="4"/>
  <c r="Z67" i="4" s="1"/>
  <c r="AA67" i="4" s="1"/>
  <c r="AB67" i="4" s="1"/>
  <c r="AC67" i="4" s="1"/>
  <c r="AD67" i="4" s="1"/>
  <c r="AE67" i="4" s="1"/>
  <c r="I98" i="4"/>
  <c r="J98" i="4" s="1"/>
  <c r="K98" i="4" s="1"/>
  <c r="L98" i="4" s="1"/>
  <c r="M98" i="4" s="1"/>
  <c r="N98" i="4" s="1"/>
  <c r="AB66" i="4"/>
  <c r="K58" i="4"/>
  <c r="L58" i="4" s="1"/>
  <c r="M58" i="4" s="1"/>
  <c r="J91" i="4"/>
  <c r="C99" i="4"/>
  <c r="X107" i="4" l="1"/>
  <c r="Y107" i="4" s="1"/>
  <c r="Z107" i="4" s="1"/>
  <c r="AA107" i="4" s="1"/>
  <c r="AB107" i="4" s="1"/>
  <c r="AC107" i="4" s="1"/>
  <c r="AD107" i="4" s="1"/>
  <c r="AE107" i="4" s="1"/>
  <c r="AF107" i="4" s="1"/>
  <c r="X106" i="4"/>
  <c r="Y106" i="4" s="1"/>
  <c r="Z106" i="4" s="1"/>
  <c r="AA106" i="4" s="1"/>
  <c r="AB106" i="4" s="1"/>
  <c r="AC106" i="4" s="1"/>
  <c r="AD106" i="4" s="1"/>
  <c r="AE106" i="4" s="1"/>
  <c r="AF106" i="4" s="1"/>
  <c r="T75" i="4"/>
  <c r="U75" i="4" s="1"/>
  <c r="V75" i="4" s="1"/>
  <c r="W75" i="4" s="1"/>
  <c r="X75" i="4" s="1"/>
  <c r="Y75" i="4" s="1"/>
  <c r="Z75" i="4" s="1"/>
  <c r="N19" i="4"/>
  <c r="O19" i="4" s="1"/>
  <c r="P19" i="4" s="1"/>
  <c r="D99" i="4"/>
  <c r="P35" i="4"/>
  <c r="F90" i="4"/>
  <c r="AD51" i="4"/>
  <c r="AE51" i="4" s="1"/>
  <c r="O98" i="4"/>
  <c r="P98" i="4" s="1"/>
  <c r="T83" i="4"/>
  <c r="U83" i="4" s="1"/>
  <c r="V83" i="4" s="1"/>
  <c r="W83" i="4" s="1"/>
  <c r="X83" i="4" s="1"/>
  <c r="AF67" i="4"/>
  <c r="K91" i="4"/>
  <c r="L91" i="4" s="1"/>
  <c r="M91" i="4" s="1"/>
  <c r="N91" i="4" s="1"/>
  <c r="O91" i="4" s="1"/>
  <c r="P91" i="4" s="1"/>
  <c r="AC66" i="4"/>
  <c r="AD66" i="4" s="1"/>
  <c r="AE66" i="4" s="1"/>
  <c r="V82" i="4"/>
  <c r="AA75" i="4" l="1"/>
  <c r="AB75" i="4" s="1"/>
  <c r="AC75" i="4" s="1"/>
  <c r="AD75" i="4" s="1"/>
  <c r="AE75" i="4" s="1"/>
  <c r="Y83" i="4"/>
  <c r="Z83" i="4" s="1"/>
  <c r="AA83" i="4" s="1"/>
  <c r="AB83" i="4" s="1"/>
  <c r="AC83" i="4" s="1"/>
  <c r="AD83" i="4" s="1"/>
  <c r="AE83" i="4" s="1"/>
  <c r="AF83" i="4" s="1"/>
  <c r="Q35" i="4"/>
  <c r="E99" i="4"/>
  <c r="F99" i="4" s="1"/>
  <c r="G99" i="4" s="1"/>
  <c r="G90" i="4"/>
  <c r="H90" i="4" s="1"/>
  <c r="I90" i="4" s="1"/>
  <c r="Q91" i="4"/>
  <c r="R91" i="4" s="1"/>
  <c r="S91" i="4" s="1"/>
  <c r="T91" i="4" s="1"/>
  <c r="U91" i="4" s="1"/>
  <c r="V91" i="4" s="1"/>
  <c r="W91" i="4" s="1"/>
  <c r="H74" i="4"/>
  <c r="I74" i="4" s="1"/>
  <c r="W82" i="4"/>
  <c r="K50" i="4"/>
  <c r="T11" i="4" l="1"/>
  <c r="R35" i="4"/>
  <c r="S35" i="4" s="1"/>
  <c r="T35" i="4" s="1"/>
  <c r="N58" i="4"/>
  <c r="O58" i="4" s="1"/>
  <c r="Q98" i="4"/>
  <c r="X82" i="4"/>
  <c r="Y82" i="4" s="1"/>
  <c r="Z82" i="4" s="1"/>
  <c r="AF66" i="4"/>
  <c r="L50" i="4"/>
  <c r="Q19" i="4" l="1"/>
  <c r="U11" i="4"/>
  <c r="J74" i="4"/>
  <c r="M50" i="4"/>
  <c r="N50" i="4" s="1"/>
  <c r="O50" i="4" s="1"/>
  <c r="R98" i="4"/>
  <c r="X91" i="4"/>
  <c r="H99" i="4" l="1"/>
  <c r="V11" i="4"/>
  <c r="R19" i="4"/>
  <c r="J90" i="4"/>
  <c r="Y91" i="4"/>
  <c r="Z91" i="4" s="1"/>
  <c r="AA91" i="4" s="1"/>
  <c r="AB91" i="4" s="1"/>
  <c r="P58" i="4"/>
  <c r="K74" i="4"/>
  <c r="S98" i="4"/>
  <c r="T98" i="4" s="1"/>
  <c r="U98" i="4" s="1"/>
  <c r="AC91" i="4" l="1"/>
  <c r="AD91" i="4" s="1"/>
  <c r="AE91" i="4" s="1"/>
  <c r="W11" i="4"/>
  <c r="I99" i="4"/>
  <c r="S19" i="4"/>
  <c r="U35" i="4"/>
  <c r="K90" i="4"/>
  <c r="AA82" i="4"/>
  <c r="AB82" i="4" s="1"/>
  <c r="L74" i="4"/>
  <c r="M74" i="4" s="1"/>
  <c r="N74" i="4" s="1"/>
  <c r="Q58" i="4"/>
  <c r="P50" i="4"/>
  <c r="T19" i="4" l="1"/>
  <c r="J99" i="4"/>
  <c r="V35" i="4"/>
  <c r="X11" i="4"/>
  <c r="Y11" i="4" s="1"/>
  <c r="Z11" i="4" s="1"/>
  <c r="L90" i="4"/>
  <c r="Q50" i="4"/>
  <c r="R58" i="4"/>
  <c r="S58" i="4" s="1"/>
  <c r="T58" i="4" s="1"/>
  <c r="W35" i="4" l="1"/>
  <c r="K99" i="4"/>
  <c r="U19" i="4"/>
  <c r="V19" i="4" s="1"/>
  <c r="W19" i="4" s="1"/>
  <c r="M90" i="4"/>
  <c r="V98" i="4"/>
  <c r="W98" i="4" s="1"/>
  <c r="AC82" i="4"/>
  <c r="L99" i="4" l="1"/>
  <c r="M99" i="4" s="1"/>
  <c r="N99" i="4" s="1"/>
  <c r="X35" i="4"/>
  <c r="N90" i="4"/>
  <c r="O90" i="4" s="1"/>
  <c r="P90" i="4" s="1"/>
  <c r="O74" i="4"/>
  <c r="P74" i="4" s="1"/>
  <c r="AD82" i="4"/>
  <c r="R50" i="4"/>
  <c r="Y35" i="4" l="1"/>
  <c r="Z35" i="4" s="1"/>
  <c r="AA35" i="4" s="1"/>
  <c r="AA11" i="4"/>
  <c r="U58" i="4"/>
  <c r="AE82" i="4"/>
  <c r="AF82" i="4" s="1"/>
  <c r="S50" i="4"/>
  <c r="X98" i="4"/>
  <c r="V58" i="4" l="1"/>
  <c r="AB11" i="4"/>
  <c r="X19" i="4"/>
  <c r="T50" i="4"/>
  <c r="U50" i="4" s="1"/>
  <c r="V50" i="4" s="1"/>
  <c r="Y98" i="4"/>
  <c r="Q74" i="4"/>
  <c r="Y19" i="4" l="1"/>
  <c r="AC11" i="4"/>
  <c r="O99" i="4"/>
  <c r="Q90" i="4"/>
  <c r="Z98" i="4"/>
  <c r="AA98" i="4" s="1"/>
  <c r="AB98" i="4" s="1"/>
  <c r="W58" i="4"/>
  <c r="R74" i="4"/>
  <c r="P99" i="4" l="1"/>
  <c r="AD11" i="4"/>
  <c r="AB35" i="4"/>
  <c r="Z19" i="4"/>
  <c r="R90" i="4"/>
  <c r="X58" i="4"/>
  <c r="S74" i="4"/>
  <c r="T74" i="4" s="1"/>
  <c r="U74" i="4" s="1"/>
  <c r="AC35" i="4" l="1"/>
  <c r="AE11" i="4"/>
  <c r="AF11" i="4" s="1"/>
  <c r="AA19" i="4"/>
  <c r="Q99" i="4"/>
  <c r="S90" i="4"/>
  <c r="W50" i="4"/>
  <c r="X50" i="4" s="1"/>
  <c r="Y58" i="4"/>
  <c r="Z58" i="4" s="1"/>
  <c r="AA58" i="4" s="1"/>
  <c r="AB19" i="4" l="1"/>
  <c r="AC19" i="4" s="1"/>
  <c r="R99" i="4"/>
  <c r="AD35" i="4"/>
  <c r="T90" i="4"/>
  <c r="AC98" i="4"/>
  <c r="AD98" i="4" s="1"/>
  <c r="AI129" i="4"/>
  <c r="AI127" i="4"/>
  <c r="BK139" i="4"/>
  <c r="AI139" i="4"/>
  <c r="AI126" i="4"/>
  <c r="BK130" i="4"/>
  <c r="BK141" i="4"/>
  <c r="AI141" i="4"/>
  <c r="AI131" i="4"/>
  <c r="BK138" i="4"/>
  <c r="AI135" i="4"/>
  <c r="BK137" i="4"/>
  <c r="AI138" i="4"/>
  <c r="AI133" i="4"/>
  <c r="BK136" i="4"/>
  <c r="BK132" i="4"/>
  <c r="BK131" i="4"/>
  <c r="BK127" i="4"/>
  <c r="BK133" i="4"/>
  <c r="AI140" i="4"/>
  <c r="AI128" i="4"/>
  <c r="AI132" i="4"/>
  <c r="AI124" i="4"/>
  <c r="BK135" i="4"/>
  <c r="AI137" i="4"/>
  <c r="BK125" i="4"/>
  <c r="BK128" i="4"/>
  <c r="AI136" i="4"/>
  <c r="BK124" i="4"/>
  <c r="BK126" i="4"/>
  <c r="AI130" i="4"/>
  <c r="AI134" i="4"/>
  <c r="AI125" i="4"/>
  <c r="BK140" i="4"/>
  <c r="BK129" i="4"/>
  <c r="BK134" i="4"/>
  <c r="S99" i="4" l="1"/>
  <c r="T99" i="4" s="1"/>
  <c r="U99" i="4" s="1"/>
  <c r="AE35" i="4"/>
  <c r="U90" i="4"/>
  <c r="V90" i="4" s="1"/>
  <c r="W90" i="4" s="1"/>
  <c r="V74" i="4"/>
  <c r="Y50" i="4"/>
  <c r="BQ128" i="4"/>
  <c r="BQ130" i="4"/>
  <c r="AO137" i="4"/>
  <c r="BQ138" i="4"/>
  <c r="AO125" i="4"/>
  <c r="AO127" i="4"/>
  <c r="BQ125" i="4"/>
  <c r="AO141" i="4"/>
  <c r="BQ135" i="4"/>
  <c r="BQ141" i="4"/>
  <c r="AO133" i="4"/>
  <c r="BQ140" i="4"/>
  <c r="BQ134" i="4"/>
  <c r="AO134" i="4"/>
  <c r="BQ139" i="4"/>
  <c r="BQ129" i="4"/>
  <c r="AO136" i="4"/>
  <c r="AO124" i="4"/>
  <c r="AO139" i="4"/>
  <c r="BQ137" i="4"/>
  <c r="AO130" i="4"/>
  <c r="BQ133" i="4"/>
  <c r="AO128" i="4"/>
  <c r="AO126" i="4"/>
  <c r="AO135" i="4"/>
  <c r="AO129" i="4"/>
  <c r="BQ132" i="4"/>
  <c r="AO138" i="4"/>
  <c r="BQ127" i="4"/>
  <c r="BQ136" i="4"/>
  <c r="AO131" i="4"/>
  <c r="BQ131" i="4"/>
  <c r="BQ124" i="4"/>
  <c r="BQ126" i="4"/>
  <c r="AO132" i="4"/>
  <c r="AO140" i="4"/>
  <c r="W74" i="4" l="1"/>
  <c r="AF27" i="4"/>
  <c r="AB58" i="4"/>
  <c r="Z50" i="4"/>
  <c r="AE98" i="4"/>
  <c r="AF98" i="4" s="1"/>
  <c r="BO128" i="4"/>
  <c r="AK124" i="4"/>
  <c r="BO124" i="4"/>
  <c r="BM131" i="4"/>
  <c r="BO139" i="4"/>
  <c r="AM134" i="4"/>
  <c r="BM137" i="4"/>
  <c r="BM135" i="4"/>
  <c r="BO127" i="4"/>
  <c r="BM124" i="4"/>
  <c r="BM133" i="4"/>
  <c r="BO136" i="4"/>
  <c r="AK135" i="4"/>
  <c r="AM141" i="4"/>
  <c r="AM137" i="4"/>
  <c r="AM140" i="4"/>
  <c r="BM132" i="4"/>
  <c r="BM138" i="4"/>
  <c r="BM139" i="4"/>
  <c r="AM131" i="4"/>
  <c r="AM138" i="4"/>
  <c r="AK125" i="4"/>
  <c r="AK126" i="4"/>
  <c r="BO130" i="4"/>
  <c r="BO126" i="4"/>
  <c r="AK134" i="4"/>
  <c r="BM140" i="4"/>
  <c r="BM129" i="4"/>
  <c r="BO140" i="4"/>
  <c r="AM139" i="4"/>
  <c r="AK137" i="4"/>
  <c r="AM128" i="4"/>
  <c r="AK136" i="4"/>
  <c r="AK140" i="4"/>
  <c r="BM128" i="4"/>
  <c r="AM136" i="4"/>
  <c r="AM133" i="4"/>
  <c r="AK138" i="4"/>
  <c r="BO141" i="4"/>
  <c r="AK130" i="4"/>
  <c r="BO134" i="4"/>
  <c r="BM125" i="4"/>
  <c r="AM124" i="4"/>
  <c r="BM130" i="4"/>
  <c r="AK128" i="4"/>
  <c r="AK139" i="4"/>
  <c r="AM129" i="4"/>
  <c r="BM134" i="4"/>
  <c r="AK132" i="4"/>
  <c r="AK129" i="4"/>
  <c r="BO138" i="4"/>
  <c r="BO125" i="4"/>
  <c r="AM135" i="4"/>
  <c r="AM125" i="4"/>
  <c r="BM136" i="4"/>
  <c r="AK131" i="4"/>
  <c r="BO131" i="4"/>
  <c r="AM132" i="4"/>
  <c r="BM127" i="4"/>
  <c r="AM130" i="4"/>
  <c r="BO137" i="4"/>
  <c r="BO129" i="4"/>
  <c r="BM141" i="4"/>
  <c r="AM127" i="4"/>
  <c r="AK133" i="4"/>
  <c r="BM126" i="4"/>
  <c r="BO133" i="4"/>
  <c r="BO135" i="4"/>
  <c r="AM126" i="4"/>
  <c r="BO132" i="4"/>
  <c r="AK127" i="4"/>
  <c r="AK141" i="4"/>
  <c r="AC58" i="4" l="1"/>
  <c r="AA50" i="4"/>
  <c r="AB50" i="4" s="1"/>
  <c r="AC50" i="4" s="1"/>
  <c r="X74" i="4"/>
  <c r="V99" i="4" l="1"/>
  <c r="X90" i="4"/>
  <c r="Y74" i="4"/>
  <c r="AD58" i="4"/>
  <c r="W99" i="4" l="1"/>
  <c r="Y90" i="4"/>
  <c r="AE58" i="4"/>
  <c r="Z74" i="4"/>
  <c r="AA74" i="4" s="1"/>
  <c r="AB74" i="4" s="1"/>
  <c r="AF58" i="4" l="1"/>
  <c r="X99" i="4"/>
  <c r="Z90" i="4"/>
  <c r="AD50" i="4"/>
  <c r="AE50" i="4" s="1"/>
  <c r="BW140" i="4"/>
  <c r="AU128" i="4"/>
  <c r="AU125" i="4"/>
  <c r="BW128" i="4"/>
  <c r="AU126" i="4"/>
  <c r="BW137" i="4"/>
  <c r="AS137" i="4"/>
  <c r="AS125" i="4"/>
  <c r="BU136" i="4"/>
  <c r="AU131" i="4"/>
  <c r="BU138" i="4"/>
  <c r="AS128" i="4"/>
  <c r="AU136" i="4"/>
  <c r="AU134" i="4"/>
  <c r="AU129" i="4"/>
  <c r="BW129" i="4"/>
  <c r="AU139" i="4"/>
  <c r="BU126" i="4"/>
  <c r="AS130" i="4"/>
  <c r="AU138" i="4"/>
  <c r="BW126" i="4"/>
  <c r="BU140" i="4"/>
  <c r="BW131" i="4"/>
  <c r="BU132" i="4"/>
  <c r="AS140" i="4"/>
  <c r="BW125" i="4"/>
  <c r="AU132" i="4"/>
  <c r="BW130" i="4"/>
  <c r="BU128" i="4"/>
  <c r="BU129" i="4"/>
  <c r="AS129" i="4"/>
  <c r="AS135" i="4"/>
  <c r="AU137" i="4"/>
  <c r="BU135" i="4"/>
  <c r="BW134" i="4"/>
  <c r="BW127" i="4"/>
  <c r="BW141" i="4"/>
  <c r="AU133" i="4"/>
  <c r="AS139" i="4"/>
  <c r="BU133" i="4"/>
  <c r="BU137" i="4"/>
  <c r="AU135" i="4"/>
  <c r="AU140" i="4"/>
  <c r="AU130" i="4"/>
  <c r="AS133" i="4"/>
  <c r="AS127" i="4"/>
  <c r="AU127" i="4"/>
  <c r="BW136" i="4"/>
  <c r="BW135" i="4"/>
  <c r="BU141" i="4"/>
  <c r="BW138" i="4"/>
  <c r="BW139" i="4"/>
  <c r="BU127" i="4"/>
  <c r="BU130" i="4"/>
  <c r="BW132" i="4"/>
  <c r="BW124" i="4"/>
  <c r="AS134" i="4"/>
  <c r="AS141" i="4"/>
  <c r="AU141" i="4"/>
  <c r="AS138" i="4"/>
  <c r="BU139" i="4"/>
  <c r="BU125" i="4"/>
  <c r="BU131" i="4"/>
  <c r="BW133" i="4"/>
  <c r="BU124" i="4"/>
  <c r="Y99" i="4" l="1"/>
  <c r="AA90" i="4"/>
  <c r="BS127" i="4"/>
  <c r="AS131" i="4"/>
  <c r="BS135" i="4"/>
  <c r="BS138" i="4"/>
  <c r="BS129" i="4"/>
  <c r="BS140" i="4"/>
  <c r="BS131" i="4"/>
  <c r="AQ139" i="4"/>
  <c r="AQ138" i="4"/>
  <c r="AQ132" i="4"/>
  <c r="AS126" i="4"/>
  <c r="AS124" i="4"/>
  <c r="AQ128" i="4"/>
  <c r="BS141" i="4"/>
  <c r="BS128" i="4"/>
  <c r="AQ126" i="4"/>
  <c r="BS133" i="4"/>
  <c r="AQ134" i="4"/>
  <c r="BS134" i="4"/>
  <c r="AS132" i="4"/>
  <c r="AQ136" i="4"/>
  <c r="AQ141" i="4"/>
  <c r="AQ124" i="4"/>
  <c r="AQ137" i="4"/>
  <c r="BS137" i="4"/>
  <c r="BS130" i="4"/>
  <c r="AQ131" i="4"/>
  <c r="AQ127" i="4"/>
  <c r="AQ135" i="4"/>
  <c r="BS139" i="4"/>
  <c r="AQ125" i="4"/>
  <c r="BS126" i="4"/>
  <c r="BS136" i="4"/>
  <c r="BS132" i="4"/>
  <c r="BS125" i="4"/>
  <c r="AQ130" i="4"/>
  <c r="AU124" i="4"/>
  <c r="AQ133" i="4"/>
  <c r="AS136" i="4"/>
  <c r="AQ140" i="4"/>
  <c r="BU134" i="4"/>
  <c r="AQ129" i="4"/>
  <c r="BS124" i="4"/>
  <c r="Z99" i="4" l="1"/>
  <c r="AA99" i="4" s="1"/>
  <c r="AB99" i="4" s="1"/>
  <c r="AB90" i="4"/>
  <c r="AC90" i="4" s="1"/>
  <c r="AD90" i="4" s="1"/>
  <c r="AC74" i="4"/>
  <c r="BY129" i="4"/>
  <c r="BY138" i="4"/>
  <c r="AW127" i="4"/>
  <c r="BY132" i="4"/>
  <c r="BY127" i="4"/>
  <c r="AW140" i="4"/>
  <c r="BY140" i="4"/>
  <c r="AW131" i="4"/>
  <c r="AW130" i="4"/>
  <c r="BY137" i="4"/>
  <c r="BY126" i="4"/>
  <c r="BY128" i="4"/>
  <c r="BY133" i="4"/>
  <c r="BY139" i="4"/>
  <c r="BY125" i="4"/>
  <c r="AW124" i="4"/>
  <c r="AW126" i="4"/>
  <c r="BY134" i="4"/>
  <c r="AW136" i="4"/>
  <c r="AW125" i="4"/>
  <c r="BY124" i="4"/>
  <c r="BY135" i="4"/>
  <c r="AW135" i="4"/>
  <c r="BY131" i="4"/>
  <c r="AW134" i="4"/>
  <c r="AW129" i="4"/>
  <c r="AW133" i="4"/>
  <c r="AW138" i="4"/>
  <c r="BY136" i="4"/>
  <c r="BY141" i="4"/>
  <c r="BY130" i="4"/>
  <c r="AW141" i="4"/>
  <c r="AW132" i="4"/>
  <c r="AW128" i="4"/>
  <c r="AW137" i="4"/>
  <c r="AW139" i="4"/>
  <c r="AD74" i="4" l="1"/>
  <c r="AE74" i="4" l="1"/>
  <c r="CA134" i="4"/>
  <c r="CA128" i="4"/>
  <c r="AY133" i="4"/>
  <c r="AY136" i="4"/>
  <c r="AY125" i="4"/>
  <c r="CA137" i="4"/>
  <c r="CA124" i="4"/>
  <c r="CA129" i="4"/>
  <c r="AY138" i="4"/>
  <c r="CA133" i="4"/>
  <c r="AY135" i="4"/>
  <c r="AY134" i="4"/>
  <c r="AY127" i="4"/>
  <c r="AY137" i="4"/>
  <c r="CA141" i="4"/>
  <c r="AY132" i="4"/>
  <c r="AY130" i="4"/>
  <c r="AY124" i="4"/>
  <c r="CA138" i="4"/>
  <c r="CA140" i="4"/>
  <c r="AY128" i="4"/>
  <c r="CA139" i="4"/>
  <c r="CA130" i="4"/>
  <c r="AY129" i="4"/>
  <c r="AY139" i="4"/>
  <c r="AY131" i="4"/>
  <c r="CA136" i="4"/>
  <c r="CA132" i="4"/>
  <c r="AY141" i="4"/>
  <c r="CA127" i="4"/>
  <c r="CA125" i="4"/>
  <c r="AY126" i="4"/>
  <c r="AY140" i="4"/>
  <c r="CA135" i="4"/>
  <c r="AC99" i="4" l="1"/>
  <c r="AE90" i="4"/>
  <c r="BC132" i="4"/>
  <c r="CA131" i="4"/>
  <c r="CA126" i="4"/>
  <c r="AD99" i="4" l="1"/>
  <c r="CC140" i="4"/>
  <c r="BC140" i="4"/>
  <c r="CC138" i="4"/>
  <c r="BA125" i="4"/>
  <c r="CC131" i="4"/>
  <c r="AE99" i="4" l="1"/>
  <c r="BC129" i="4"/>
  <c r="CE128" i="4"/>
  <c r="AF99" i="4" l="1"/>
  <c r="BC130" i="4"/>
  <c r="CE137" i="4"/>
  <c r="BE140" i="4"/>
  <c r="CE130" i="4"/>
  <c r="BE127" i="4"/>
  <c r="CC124" i="4"/>
  <c r="CE135" i="4"/>
  <c r="CC141" i="4"/>
  <c r="BA126" i="4"/>
  <c r="CC129" i="4"/>
  <c r="BE141" i="4"/>
  <c r="BA141" i="4"/>
  <c r="CC134" i="4"/>
  <c r="CE140" i="4"/>
  <c r="CE136" i="4"/>
  <c r="CE139" i="4"/>
  <c r="BC128" i="4"/>
  <c r="CC132" i="4"/>
  <c r="BE124" i="4"/>
  <c r="BA124" i="4"/>
  <c r="BC125" i="4"/>
  <c r="BA139" i="4"/>
  <c r="BC134" i="4"/>
  <c r="CC136" i="4"/>
  <c r="BA128" i="4"/>
  <c r="CG135" i="4"/>
  <c r="BA135" i="4"/>
  <c r="BC127" i="4"/>
  <c r="BA129" i="4"/>
  <c r="BE128" i="4"/>
  <c r="CC137" i="4"/>
  <c r="CE131" i="4"/>
  <c r="CC133" i="4"/>
  <c r="CE125" i="4"/>
  <c r="BC126" i="4"/>
  <c r="BE138" i="4"/>
  <c r="CE133" i="4"/>
  <c r="S128" i="4" l="1"/>
  <c r="S3" i="4"/>
  <c r="S4" i="4"/>
  <c r="S7" i="4"/>
  <c r="S5" i="4"/>
  <c r="BC139" i="4"/>
  <c r="BA130" i="4"/>
  <c r="BA138" i="4"/>
  <c r="CC127" i="4"/>
  <c r="BC141" i="4"/>
  <c r="BC137" i="4"/>
  <c r="CC126" i="4"/>
  <c r="CE134" i="4"/>
  <c r="CG125" i="4"/>
  <c r="BA132" i="4"/>
  <c r="BC136" i="4"/>
  <c r="BC131" i="4"/>
  <c r="BE125" i="4"/>
  <c r="CG126" i="4"/>
  <c r="CC130" i="4"/>
  <c r="CE141" i="4"/>
  <c r="CE126" i="4"/>
  <c r="CG129" i="4"/>
  <c r="CE132" i="4"/>
  <c r="BC138" i="4"/>
  <c r="CC125" i="4"/>
  <c r="BA140" i="4"/>
  <c r="CG140" i="4"/>
  <c r="BA131" i="4"/>
  <c r="BE130" i="4"/>
  <c r="BA134" i="4"/>
  <c r="BC124" i="4"/>
  <c r="CE127" i="4"/>
  <c r="BA137" i="4"/>
  <c r="BA133" i="4"/>
  <c r="BC133" i="4"/>
  <c r="CG133" i="4"/>
  <c r="CC139" i="4"/>
  <c r="BE135" i="4"/>
  <c r="CC128" i="4"/>
  <c r="CG141" i="4"/>
  <c r="CG137" i="4"/>
  <c r="BA127" i="4"/>
  <c r="CG132" i="4"/>
  <c r="CG138" i="4"/>
  <c r="BA136" i="4"/>
  <c r="CC135" i="4"/>
  <c r="BC135" i="4"/>
  <c r="CE124" i="4"/>
  <c r="CE129" i="4"/>
  <c r="BE126" i="4"/>
  <c r="CE138" i="4"/>
  <c r="S124" i="4" l="1"/>
  <c r="S138" i="4"/>
  <c r="T135" i="4"/>
  <c r="N135" i="4" s="1"/>
  <c r="S135" i="4"/>
  <c r="T140" i="4"/>
  <c r="T125" i="4"/>
  <c r="S125" i="4"/>
  <c r="S141" i="4"/>
  <c r="N141" i="4" s="1"/>
  <c r="T138" i="4"/>
  <c r="T132" i="4"/>
  <c r="S126" i="4"/>
  <c r="S130" i="4"/>
  <c r="T137" i="4"/>
  <c r="T126" i="4"/>
  <c r="T129" i="4"/>
  <c r="T141" i="4"/>
  <c r="S127" i="4"/>
  <c r="T133" i="4"/>
  <c r="S140" i="4"/>
  <c r="N140" i="4"/>
  <c r="N125" i="4"/>
  <c r="AE123" i="4"/>
  <c r="U7" i="4" s="1"/>
  <c r="BE133" i="4"/>
  <c r="CG134" i="4"/>
  <c r="BE139" i="4"/>
  <c r="BE137" i="4"/>
  <c r="CG136" i="4"/>
  <c r="BE134" i="4"/>
  <c r="CG139" i="4"/>
  <c r="CG130" i="4"/>
  <c r="CG124" i="4"/>
  <c r="CG127" i="4"/>
  <c r="BE129" i="4"/>
  <c r="CG128" i="4"/>
  <c r="BE131" i="4"/>
  <c r="BE132" i="4"/>
  <c r="N138" i="4" l="1"/>
  <c r="N126" i="4"/>
  <c r="T139" i="4"/>
  <c r="T136" i="4"/>
  <c r="T128" i="4"/>
  <c r="N128" i="4" s="1"/>
  <c r="S131" i="4"/>
  <c r="S129" i="4"/>
  <c r="N129" i="4" s="1"/>
  <c r="T127" i="4"/>
  <c r="N127" i="4" s="1"/>
  <c r="T124" i="4"/>
  <c r="N124" i="4" s="1"/>
  <c r="S132" i="4"/>
  <c r="N132" i="4" s="1"/>
  <c r="T130" i="4"/>
  <c r="N130" i="4" s="1"/>
  <c r="S137" i="4"/>
  <c r="N137" i="4" s="1"/>
  <c r="S133" i="4"/>
  <c r="N133" i="4" s="1"/>
  <c r="T134" i="4"/>
  <c r="S134" i="4"/>
  <c r="S139" i="4"/>
  <c r="CG131" i="4"/>
  <c r="BE136" i="4"/>
  <c r="S136" i="4" l="1"/>
  <c r="T131" i="4"/>
  <c r="N131" i="4" s="1"/>
  <c r="N139" i="4"/>
  <c r="N134" i="4"/>
  <c r="N136" i="4"/>
  <c r="S123" i="4"/>
</calcChain>
</file>

<file path=xl/sharedStrings.xml><?xml version="1.0" encoding="utf-8"?>
<sst xmlns="http://schemas.openxmlformats.org/spreadsheetml/2006/main" count="225" uniqueCount="88">
  <si>
    <t>Turma</t>
  </si>
  <si>
    <t>Modalidade</t>
  </si>
  <si>
    <t>Horário das aulas</t>
  </si>
  <si>
    <t>Aula</t>
  </si>
  <si>
    <t>Início / Término</t>
  </si>
  <si>
    <t>Hora Aula</t>
  </si>
  <si>
    <t>min</t>
  </si>
  <si>
    <t>Local</t>
  </si>
  <si>
    <t>Aulas por dia</t>
  </si>
  <si>
    <t>Curso</t>
  </si>
  <si>
    <t>Técnico em Desenvolvimento de Sistemas</t>
  </si>
  <si>
    <t>Módulo</t>
  </si>
  <si>
    <t>I</t>
  </si>
  <si>
    <t>Sábado</t>
  </si>
  <si>
    <t>Turno</t>
  </si>
  <si>
    <t>Noturno (Técnico)</t>
  </si>
  <si>
    <t>Data Início</t>
  </si>
  <si>
    <t>Domingo</t>
  </si>
  <si>
    <t>Coordenador</t>
  </si>
  <si>
    <t>Silas Pereira</t>
  </si>
  <si>
    <t>Data Término</t>
  </si>
  <si>
    <t>Sem aula</t>
  </si>
  <si>
    <t>E-mail</t>
  </si>
  <si>
    <t>CH Prevista</t>
  </si>
  <si>
    <t>Feriado</t>
  </si>
  <si>
    <t>DISC.</t>
  </si>
  <si>
    <t>Instrutor</t>
  </si>
  <si>
    <t>Sala/Lab.</t>
  </si>
  <si>
    <t>CONF. UNIVERSAL</t>
  </si>
  <si>
    <t>RECESSO CARNAVAL</t>
  </si>
  <si>
    <t>SEXTA-FEIRA SANTA</t>
  </si>
  <si>
    <t>TIRADENTES</t>
  </si>
  <si>
    <t>DIA DO TRABALHO</t>
  </si>
  <si>
    <t>CORPUS CHRISTI</t>
  </si>
  <si>
    <t>SÃO JOÃO</t>
  </si>
  <si>
    <t>IND. BAHIA</t>
  </si>
  <si>
    <t>PADROEIRA FEIRA</t>
  </si>
  <si>
    <t>AMB</t>
  </si>
  <si>
    <t>LOG</t>
  </si>
  <si>
    <t>ELE</t>
  </si>
  <si>
    <t>CIP</t>
  </si>
  <si>
    <t>INDEPENDENCIA</t>
  </si>
  <si>
    <t xml:space="preserve">PADROEIRA </t>
  </si>
  <si>
    <t>2h</t>
  </si>
  <si>
    <t>FINADOS</t>
  </si>
  <si>
    <t>SIAC</t>
  </si>
  <si>
    <t>PROCLAMAÇÃO</t>
  </si>
  <si>
    <t/>
  </si>
  <si>
    <t>CONSCIÊNCIA NEGRA</t>
  </si>
  <si>
    <t>2H</t>
  </si>
  <si>
    <t>NATAL</t>
  </si>
  <si>
    <t>UNIDADE CURRICULAR</t>
  </si>
  <si>
    <t>SIGLA</t>
  </si>
  <si>
    <t>CH</t>
  </si>
  <si>
    <t>STATUS</t>
  </si>
  <si>
    <t>Encontros</t>
  </si>
  <si>
    <t>Aulas</t>
  </si>
  <si>
    <t>Limite Faltas</t>
  </si>
  <si>
    <t>DATAS</t>
  </si>
  <si>
    <t>DOCENTE</t>
  </si>
  <si>
    <t>ALOCAÇÃO</t>
  </si>
  <si>
    <t>ENCONTROS</t>
  </si>
  <si>
    <t>Início</t>
  </si>
  <si>
    <t>Fim</t>
  </si>
  <si>
    <t>Recup.</t>
  </si>
  <si>
    <t>Alocado</t>
  </si>
  <si>
    <t>Faltam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</si>
  <si>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</si>
  <si>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</si>
  <si>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</si>
  <si>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</si>
  <si>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</si>
  <si>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</si>
  <si>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</si>
  <si>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</si>
  <si>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</si>
  <si>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</si>
  <si>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</si>
  <si>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</si>
  <si>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Ambientação Escolar</t>
  </si>
  <si>
    <t>Introdução à Tecnologia da Informação e Comunicação</t>
  </si>
  <si>
    <t>ITIC</t>
  </si>
  <si>
    <t>Criatividade e Ideação em Projetos</t>
  </si>
  <si>
    <t>Leonardo Lins</t>
  </si>
  <si>
    <t>Lógica de Programação</t>
  </si>
  <si>
    <t>Gizelle</t>
  </si>
  <si>
    <t>Fundamentos da Eletroeletrônica Aplicada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</si>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</sst>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m"/>
    <numFmt numFmtId="165" formatCode="ddd"/>
    <numFmt numFmtId="166" formatCode="dd"/>
    <numFmt numFmtId="167" formatCode="h:mm;@"/>
    <numFmt numFmtId="168" formatCode="[$-F400]h:mm:ss\ AM/PM"/>
    <numFmt numFmtId="169" formatCode="d/mmm;@"/>
    <numFmt numFmtId="170" formatCode="0.0"/>
    <numFmt numFmtId="171" formatCode="0.00000"/>
    <numFmt numFmtId="172" formatCode="##\°"/>
    <numFmt numFmtId="173" formatCode="[$-416]d/mmm;@"/>
  </numFmts>
  <fonts count="44"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i/>
      <sz val="2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8"/>
      <name val="Arial"/>
      <family val="2"/>
    </font>
    <font>
      <sz val="20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16"/>
      <color theme="0"/>
      <name val="Arial"/>
      <family val="2"/>
    </font>
    <font>
      <sz val="14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28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1"/>
      <color theme="7"/>
      <name val="Arial"/>
      <family val="2"/>
    </font>
    <font>
      <b/>
      <sz val="11"/>
      <color theme="2" tint="-0.499984740745262"/>
      <name val="Arial"/>
      <family val="2"/>
    </font>
    <font>
      <b/>
      <sz val="11"/>
      <color theme="4"/>
      <name val="Arial"/>
      <family val="2"/>
    </font>
    <font>
      <b/>
      <sz val="11"/>
      <color rgb="FFFF00FF"/>
      <name val="Arial"/>
      <family val="2"/>
    </font>
    <font>
      <b/>
      <sz val="11"/>
      <color theme="9"/>
      <name val="Arial"/>
      <family val="2"/>
    </font>
    <font>
      <b/>
      <sz val="11"/>
      <color rgb="FFE26B0A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lightUp"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0" fontId="11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6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9" fontId="21" fillId="0" borderId="0" xfId="0" applyNumberFormat="1" applyFont="1" applyAlignment="1">
      <alignment horizontal="center" vertical="center"/>
    </xf>
    <xf numFmtId="173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17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8" fontId="10" fillId="0" borderId="0" xfId="0" applyNumberFormat="1" applyFont="1" applyAlignment="1">
      <alignment horizontal="center" vertical="center"/>
    </xf>
    <xf numFmtId="0" fontId="10" fillId="0" borderId="16" xfId="0" applyFont="1" applyBorder="1" applyAlignment="1">
      <alignment vertical="center"/>
    </xf>
    <xf numFmtId="14" fontId="9" fillId="0" borderId="16" xfId="0" applyNumberFormat="1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20" fontId="32" fillId="11" borderId="8" xfId="0" applyNumberFormat="1" applyFont="1" applyFill="1" applyBorder="1" applyAlignment="1">
      <alignment horizontal="right" vertical="center"/>
    </xf>
    <xf numFmtId="168" fontId="20" fillId="0" borderId="5" xfId="0" applyNumberFormat="1" applyFont="1" applyBorder="1" applyAlignment="1">
      <alignment horizontal="center" vertical="center"/>
    </xf>
    <xf numFmtId="20" fontId="32" fillId="0" borderId="15" xfId="0" applyNumberFormat="1" applyFont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20" fontId="32" fillId="0" borderId="4" xfId="0" applyNumberFormat="1" applyFont="1" applyBorder="1" applyAlignment="1">
      <alignment horizontal="right" vertical="center"/>
    </xf>
    <xf numFmtId="0" fontId="32" fillId="0" borderId="36" xfId="0" applyFont="1" applyBorder="1" applyAlignment="1">
      <alignment horizontal="center" vertical="center"/>
    </xf>
    <xf numFmtId="20" fontId="32" fillId="0" borderId="30" xfId="0" applyNumberFormat="1" applyFont="1" applyBorder="1" applyAlignment="1">
      <alignment horizontal="left" vertical="center"/>
    </xf>
    <xf numFmtId="0" fontId="20" fillId="0" borderId="41" xfId="0" applyFont="1" applyBorder="1" applyAlignment="1">
      <alignment horizontal="center" vertical="center"/>
    </xf>
    <xf numFmtId="167" fontId="20" fillId="0" borderId="4" xfId="0" applyNumberFormat="1" applyFont="1" applyBorder="1" applyAlignment="1">
      <alignment horizontal="right" vertical="center"/>
    </xf>
    <xf numFmtId="0" fontId="20" fillId="0" borderId="26" xfId="0" applyFont="1" applyBorder="1" applyAlignment="1">
      <alignment horizontal="center" vertical="center"/>
    </xf>
    <xf numFmtId="167" fontId="20" fillId="0" borderId="27" xfId="0" applyNumberFormat="1" applyFont="1" applyBorder="1" applyAlignment="1">
      <alignment horizontal="right" vertical="center"/>
    </xf>
    <xf numFmtId="168" fontId="20" fillId="0" borderId="28" xfId="0" applyNumberFormat="1" applyFont="1" applyBorder="1" applyAlignment="1">
      <alignment horizontal="center" vertical="center"/>
    </xf>
    <xf numFmtId="20" fontId="32" fillId="0" borderId="35" xfId="0" applyNumberFormat="1" applyFont="1" applyBorder="1" applyAlignment="1">
      <alignment horizontal="left" vertical="center"/>
    </xf>
    <xf numFmtId="1" fontId="1" fillId="3" borderId="9" xfId="0" applyNumberFormat="1" applyFont="1" applyFill="1" applyBorder="1" applyAlignment="1">
      <alignment horizontal="right" vertical="center"/>
    </xf>
    <xf numFmtId="0" fontId="20" fillId="3" borderId="22" xfId="0" applyFont="1" applyFill="1" applyBorder="1" applyAlignment="1">
      <alignment horizontal="left" vertical="center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 applyProtection="1">
      <alignment horizontal="center" vertical="center"/>
      <protection locked="0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167" fontId="8" fillId="0" borderId="2" xfId="0" applyNumberFormat="1" applyFont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26" fillId="3" borderId="0" xfId="0" applyFont="1" applyFill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67" fontId="11" fillId="3" borderId="0" xfId="0" applyNumberFormat="1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27" fillId="3" borderId="0" xfId="0" applyFont="1" applyFill="1" applyAlignment="1" applyProtection="1">
      <alignment horizontal="center" vertical="center" wrapText="1"/>
      <protection locked="0"/>
    </xf>
    <xf numFmtId="167" fontId="8" fillId="3" borderId="0" xfId="0" applyNumberFormat="1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8" fillId="3" borderId="0" xfId="0" quotePrefix="1" applyFont="1" applyFill="1" applyAlignment="1" applyProtection="1">
      <alignment horizontal="center" vertical="center"/>
      <protection locked="0"/>
    </xf>
    <xf numFmtId="0" fontId="30" fillId="5" borderId="0" xfId="0" applyFont="1" applyFill="1" applyAlignment="1">
      <alignment vertical="center"/>
    </xf>
    <xf numFmtId="0" fontId="14" fillId="3" borderId="0" xfId="1" applyFont="1" applyFill="1" applyBorder="1" applyAlignment="1" applyProtection="1">
      <alignment vertical="center"/>
      <protection locked="0"/>
    </xf>
    <xf numFmtId="0" fontId="31" fillId="14" borderId="24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165" fontId="5" fillId="16" borderId="2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>
      <alignment horizontal="center" vertical="center"/>
    </xf>
    <xf numFmtId="166" fontId="2" fillId="16" borderId="6" xfId="0" applyNumberFormat="1" applyFont="1" applyFill="1" applyBorder="1" applyAlignment="1">
      <alignment horizontal="center" vertical="center"/>
    </xf>
    <xf numFmtId="0" fontId="8" fillId="14" borderId="3" xfId="0" applyFont="1" applyFill="1" applyBorder="1" applyAlignment="1" applyProtection="1">
      <alignment horizontal="center" vertical="center"/>
      <protection locked="0"/>
    </xf>
    <xf numFmtId="16" fontId="12" fillId="14" borderId="3" xfId="0" applyNumberFormat="1" applyFont="1" applyFill="1" applyBorder="1" applyAlignment="1" applyProtection="1">
      <alignment horizontal="center" vertical="center"/>
      <protection locked="0"/>
    </xf>
    <xf numFmtId="16" fontId="8" fillId="14" borderId="3" xfId="0" applyNumberFormat="1" applyFont="1" applyFill="1" applyBorder="1" applyAlignment="1" applyProtection="1">
      <alignment horizontal="center" vertical="center"/>
      <protection locked="0"/>
    </xf>
    <xf numFmtId="165" fontId="5" fillId="13" borderId="2" xfId="0" applyNumberFormat="1" applyFont="1" applyFill="1" applyBorder="1" applyAlignment="1">
      <alignment horizontal="center" vertical="center"/>
    </xf>
    <xf numFmtId="166" fontId="2" fillId="13" borderId="6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 applyProtection="1">
      <alignment horizontal="center" vertical="center"/>
      <protection locked="0"/>
    </xf>
    <xf numFmtId="0" fontId="8" fillId="16" borderId="7" xfId="0" applyFont="1" applyFill="1" applyBorder="1" applyAlignment="1" applyProtection="1">
      <alignment horizontal="center" vertical="center"/>
      <protection locked="0"/>
    </xf>
    <xf numFmtId="0" fontId="8" fillId="9" borderId="2" xfId="0" applyFont="1" applyFill="1" applyBorder="1" applyAlignment="1" applyProtection="1">
      <alignment horizontal="center" vertical="center"/>
      <protection locked="0"/>
    </xf>
    <xf numFmtId="0" fontId="8" fillId="16" borderId="2" xfId="0" applyFont="1" applyFill="1" applyBorder="1" applyAlignment="1" applyProtection="1">
      <alignment horizontal="center" vertical="center"/>
      <protection locked="0"/>
    </xf>
    <xf numFmtId="0" fontId="8" fillId="13" borderId="7" xfId="0" applyFont="1" applyFill="1" applyBorder="1" applyAlignment="1" applyProtection="1">
      <alignment horizontal="center" vertical="center"/>
      <protection locked="0"/>
    </xf>
    <xf numFmtId="0" fontId="8" fillId="13" borderId="2" xfId="0" applyFont="1" applyFill="1" applyBorder="1" applyAlignment="1" applyProtection="1">
      <alignment horizontal="center" vertical="center"/>
      <protection locked="0"/>
    </xf>
    <xf numFmtId="0" fontId="6" fillId="14" borderId="3" xfId="0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69" fontId="6" fillId="14" borderId="3" xfId="0" applyNumberFormat="1" applyFont="1" applyFill="1" applyBorder="1" applyAlignment="1">
      <alignment horizontal="center" vertical="center"/>
    </xf>
    <xf numFmtId="167" fontId="8" fillId="0" borderId="0" xfId="0" applyNumberFormat="1" applyFont="1" applyAlignment="1" applyProtection="1">
      <alignment horizontal="center" vertical="center"/>
      <protection locked="0"/>
    </xf>
    <xf numFmtId="0" fontId="10" fillId="3" borderId="12" xfId="0" applyFont="1" applyFill="1" applyBorder="1" applyAlignment="1" applyProtection="1">
      <alignment vertical="center"/>
      <protection locked="0"/>
    </xf>
    <xf numFmtId="0" fontId="8" fillId="17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9" borderId="7" xfId="0" applyFont="1" applyFill="1" applyBorder="1" applyAlignment="1" applyProtection="1">
      <alignment horizontal="center" vertical="center"/>
      <protection locked="0"/>
    </xf>
    <xf numFmtId="0" fontId="8" fillId="19" borderId="2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20" borderId="7" xfId="0" applyFont="1" applyFill="1" applyBorder="1" applyAlignment="1" applyProtection="1">
      <alignment horizontal="center" vertical="center"/>
      <protection locked="0"/>
    </xf>
    <xf numFmtId="0" fontId="8" fillId="20" borderId="2" xfId="0" applyFont="1" applyFill="1" applyBorder="1" applyAlignment="1" applyProtection="1">
      <alignment horizontal="center" vertical="center"/>
      <protection locked="0"/>
    </xf>
    <xf numFmtId="0" fontId="42" fillId="20" borderId="0" xfId="0" applyFont="1" applyFill="1" applyAlignment="1" applyProtection="1">
      <alignment horizontal="center" vertical="center" wrapText="1"/>
      <protection locked="0"/>
    </xf>
    <xf numFmtId="0" fontId="43" fillId="3" borderId="0" xfId="0" applyFont="1" applyFill="1" applyAlignment="1" applyProtection="1">
      <alignment horizontal="center" vertical="center" wrapText="1"/>
      <protection locked="0"/>
    </xf>
    <xf numFmtId="0" fontId="42" fillId="3" borderId="0" xfId="0" applyFont="1" applyFill="1" applyAlignment="1" applyProtection="1">
      <alignment horizontal="center" vertical="center" wrapText="1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10" fillId="3" borderId="45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8" borderId="7" xfId="0" applyFont="1" applyFill="1" applyBorder="1" applyAlignment="1" applyProtection="1">
      <alignment horizontal="center" vertical="center"/>
      <protection locked="0"/>
    </xf>
    <xf numFmtId="0" fontId="6" fillId="16" borderId="1" xfId="0" applyFont="1" applyFill="1" applyBorder="1" applyAlignment="1" applyProtection="1">
      <alignment horizontal="center" vertical="center"/>
      <protection locked="0"/>
    </xf>
    <xf numFmtId="0" fontId="6" fillId="16" borderId="7" xfId="0" applyFont="1" applyFill="1" applyBorder="1" applyAlignment="1" applyProtection="1">
      <alignment horizontal="center" vertical="center"/>
      <protection locked="0"/>
    </xf>
    <xf numFmtId="164" fontId="15" fillId="12" borderId="14" xfId="0" applyNumberFormat="1" applyFont="1" applyFill="1" applyBorder="1" applyAlignment="1" applyProtection="1">
      <alignment horizontal="center" vertical="center"/>
      <protection locked="0"/>
    </xf>
    <xf numFmtId="164" fontId="15" fillId="12" borderId="22" xfId="0" applyNumberFormat="1" applyFont="1" applyFill="1" applyBorder="1" applyAlignment="1" applyProtection="1">
      <alignment horizontal="center" vertical="center"/>
      <protection locked="0"/>
    </xf>
    <xf numFmtId="164" fontId="15" fillId="12" borderId="0" xfId="0" applyNumberFormat="1" applyFont="1" applyFill="1" applyAlignment="1" applyProtection="1">
      <alignment horizontal="center" vertical="center"/>
      <protection locked="0"/>
    </xf>
    <xf numFmtId="164" fontId="15" fillId="12" borderId="19" xfId="0" applyNumberFormat="1" applyFont="1" applyFill="1" applyBorder="1" applyAlignment="1" applyProtection="1">
      <alignment horizontal="center" vertical="center"/>
      <protection locked="0"/>
    </xf>
    <xf numFmtId="164" fontId="15" fillId="12" borderId="20" xfId="0" applyNumberFormat="1" applyFont="1" applyFill="1" applyBorder="1" applyAlignment="1" applyProtection="1">
      <alignment horizontal="center" vertical="center"/>
      <protection locked="0"/>
    </xf>
    <xf numFmtId="164" fontId="15" fillId="12" borderId="21" xfId="0" applyNumberFormat="1" applyFont="1" applyFill="1" applyBorder="1" applyAlignment="1" applyProtection="1">
      <alignment horizontal="center" vertical="center"/>
      <protection locked="0"/>
    </xf>
    <xf numFmtId="164" fontId="15" fillId="14" borderId="11" xfId="0" applyNumberFormat="1" applyFont="1" applyFill="1" applyBorder="1" applyAlignment="1">
      <alignment horizontal="center" vertical="center"/>
    </xf>
    <xf numFmtId="164" fontId="15" fillId="14" borderId="12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6" fillId="9" borderId="7" xfId="0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167" fontId="6" fillId="0" borderId="1" xfId="0" applyNumberFormat="1" applyFont="1" applyBorder="1" applyAlignment="1" applyProtection="1">
      <alignment horizontal="center" vertical="center"/>
      <protection locked="0"/>
    </xf>
    <xf numFmtId="167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164" fontId="15" fillId="14" borderId="13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 applyProtection="1">
      <alignment horizontal="center" vertical="center"/>
      <protection locked="0"/>
    </xf>
    <xf numFmtId="0" fontId="35" fillId="3" borderId="7" xfId="0" applyFont="1" applyFill="1" applyBorder="1" applyAlignment="1" applyProtection="1">
      <alignment horizontal="center" vertical="center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7" xfId="0" applyFont="1" applyFill="1" applyBorder="1" applyAlignment="1" applyProtection="1">
      <alignment horizontal="center" vertical="center"/>
      <protection locked="0"/>
    </xf>
    <xf numFmtId="0" fontId="34" fillId="3" borderId="1" xfId="0" applyFont="1" applyFill="1" applyBorder="1" applyAlignment="1" applyProtection="1">
      <alignment horizontal="center" vertical="center"/>
      <protection locked="0"/>
    </xf>
    <xf numFmtId="0" fontId="34" fillId="3" borderId="7" xfId="0" applyFont="1" applyFill="1" applyBorder="1" applyAlignment="1" applyProtection="1">
      <alignment horizontal="center" vertical="center"/>
      <protection locked="0"/>
    </xf>
    <xf numFmtId="0" fontId="34" fillId="8" borderId="1" xfId="0" applyFont="1" applyFill="1" applyBorder="1" applyAlignment="1" applyProtection="1">
      <alignment horizontal="center" vertical="center"/>
      <protection locked="0"/>
    </xf>
    <xf numFmtId="0" fontId="34" fillId="8" borderId="7" xfId="0" applyFont="1" applyFill="1" applyBorder="1" applyAlignment="1" applyProtection="1">
      <alignment horizontal="center" vertical="center"/>
      <protection locked="0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0" fillId="3" borderId="7" xfId="0" applyFont="1" applyFill="1" applyBorder="1" applyAlignment="1" applyProtection="1">
      <alignment horizontal="center" vertical="center"/>
      <protection locked="0"/>
    </xf>
    <xf numFmtId="0" fontId="38" fillId="3" borderId="1" xfId="0" applyFont="1" applyFill="1" applyBorder="1" applyAlignment="1" applyProtection="1">
      <alignment horizontal="center" vertical="center"/>
      <protection locked="0"/>
    </xf>
    <xf numFmtId="0" fontId="38" fillId="3" borderId="7" xfId="0" applyFont="1" applyFill="1" applyBorder="1" applyAlignment="1" applyProtection="1">
      <alignment horizontal="center" vertical="center"/>
      <protection locked="0"/>
    </xf>
    <xf numFmtId="0" fontId="37" fillId="8" borderId="1" xfId="0" applyFont="1" applyFill="1" applyBorder="1" applyAlignment="1" applyProtection="1">
      <alignment horizontal="center" vertical="center"/>
      <protection locked="0"/>
    </xf>
    <xf numFmtId="0" fontId="37" fillId="8" borderId="7" xfId="0" applyFont="1" applyFill="1" applyBorder="1" applyAlignment="1" applyProtection="1">
      <alignment horizontal="center" vertical="center"/>
      <protection locked="0"/>
    </xf>
    <xf numFmtId="0" fontId="35" fillId="19" borderId="1" xfId="0" applyFont="1" applyFill="1" applyBorder="1" applyAlignment="1" applyProtection="1">
      <alignment horizontal="center" vertical="center"/>
      <protection locked="0"/>
    </xf>
    <xf numFmtId="0" fontId="35" fillId="19" borderId="7" xfId="0" applyFont="1" applyFill="1" applyBorder="1" applyAlignment="1" applyProtection="1">
      <alignment horizontal="center" vertical="center"/>
      <protection locked="0"/>
    </xf>
    <xf numFmtId="0" fontId="36" fillId="3" borderId="1" xfId="0" applyFont="1" applyFill="1" applyBorder="1" applyAlignment="1" applyProtection="1">
      <alignment horizontal="center" vertical="center"/>
      <protection locked="0"/>
    </xf>
    <xf numFmtId="0" fontId="36" fillId="3" borderId="7" xfId="0" applyFont="1" applyFill="1" applyBorder="1" applyAlignment="1" applyProtection="1">
      <alignment horizontal="center" vertical="center"/>
      <protection locked="0"/>
    </xf>
    <xf numFmtId="0" fontId="35" fillId="20" borderId="1" xfId="0" applyFont="1" applyFill="1" applyBorder="1" applyAlignment="1" applyProtection="1">
      <alignment horizontal="center" vertical="center"/>
      <protection locked="0"/>
    </xf>
    <xf numFmtId="0" fontId="35" fillId="20" borderId="7" xfId="0" applyFont="1" applyFill="1" applyBorder="1" applyAlignment="1" applyProtection="1">
      <alignment horizontal="center" vertical="center"/>
      <protection locked="0"/>
    </xf>
    <xf numFmtId="0" fontId="39" fillId="8" borderId="1" xfId="0" applyFont="1" applyFill="1" applyBorder="1" applyAlignment="1" applyProtection="1">
      <alignment horizontal="center" vertical="center"/>
      <protection locked="0"/>
    </xf>
    <xf numFmtId="0" fontId="39" fillId="8" borderId="7" xfId="0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0" fontId="6" fillId="13" borderId="7" xfId="0" applyFont="1" applyFill="1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 applyProtection="1">
      <alignment horizontal="center" vertical="center"/>
      <protection locked="0"/>
    </xf>
    <xf numFmtId="0" fontId="10" fillId="6" borderId="2" xfId="0" applyFont="1" applyFill="1" applyBorder="1" applyAlignment="1" applyProtection="1">
      <alignment horizontal="center" vertical="center"/>
      <protection locked="0"/>
    </xf>
    <xf numFmtId="0" fontId="6" fillId="14" borderId="3" xfId="0" applyFont="1" applyFill="1" applyBorder="1" applyAlignment="1" applyProtection="1">
      <alignment horizontal="center" vertical="center" wrapText="1"/>
      <protection locked="0"/>
    </xf>
    <xf numFmtId="0" fontId="29" fillId="14" borderId="10" xfId="0" applyFont="1" applyFill="1" applyBorder="1" applyAlignment="1">
      <alignment horizontal="center" vertical="center"/>
    </xf>
    <xf numFmtId="0" fontId="29" fillId="14" borderId="19" xfId="0" applyFont="1" applyFill="1" applyBorder="1" applyAlignment="1">
      <alignment horizontal="center" vertical="center"/>
    </xf>
    <xf numFmtId="0" fontId="29" fillId="14" borderId="23" xfId="0" applyFont="1" applyFill="1" applyBorder="1" applyAlignment="1">
      <alignment horizontal="center" vertical="center"/>
    </xf>
    <xf numFmtId="0" fontId="29" fillId="14" borderId="21" xfId="0" applyFont="1" applyFill="1" applyBorder="1" applyAlignment="1">
      <alignment horizontal="center" vertical="center"/>
    </xf>
    <xf numFmtId="0" fontId="1" fillId="5" borderId="12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29" fillId="14" borderId="6" xfId="0" applyFont="1" applyFill="1" applyBorder="1" applyAlignment="1">
      <alignment horizontal="center" vertical="center"/>
    </xf>
    <xf numFmtId="0" fontId="30" fillId="15" borderId="6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6" fillId="3" borderId="7" xfId="0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14" fontId="32" fillId="5" borderId="11" xfId="0" applyNumberFormat="1" applyFont="1" applyFill="1" applyBorder="1" applyAlignment="1">
      <alignment horizontal="center" vertical="center"/>
    </xf>
    <xf numFmtId="14" fontId="32" fillId="5" borderId="12" xfId="0" applyNumberFormat="1" applyFont="1" applyFill="1" applyBorder="1" applyAlignment="1">
      <alignment horizontal="center" vertical="center"/>
    </xf>
    <xf numFmtId="14" fontId="32" fillId="5" borderId="13" xfId="0" applyNumberFormat="1" applyFont="1" applyFill="1" applyBorder="1" applyAlignment="1">
      <alignment horizontal="center" vertical="center"/>
    </xf>
    <xf numFmtId="0" fontId="32" fillId="5" borderId="11" xfId="0" applyFont="1" applyFill="1" applyBorder="1" applyAlignment="1">
      <alignment horizontal="center" vertical="center"/>
    </xf>
    <xf numFmtId="0" fontId="32" fillId="5" borderId="12" xfId="0" applyFont="1" applyFill="1" applyBorder="1" applyAlignment="1">
      <alignment horizontal="center" vertical="center"/>
    </xf>
    <xf numFmtId="0" fontId="32" fillId="5" borderId="13" xfId="0" applyFont="1" applyFill="1" applyBorder="1" applyAlignment="1">
      <alignment horizontal="center" vertical="center"/>
    </xf>
    <xf numFmtId="1" fontId="1" fillId="3" borderId="11" xfId="0" applyNumberFormat="1" applyFont="1" applyFill="1" applyBorder="1" applyAlignment="1">
      <alignment horizontal="center" vertical="center"/>
    </xf>
    <xf numFmtId="1" fontId="1" fillId="3" borderId="13" xfId="0" applyNumberFormat="1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9" borderId="29" xfId="0" applyFont="1" applyFill="1" applyBorder="1" applyAlignment="1">
      <alignment horizontal="center" vertical="center"/>
    </xf>
    <xf numFmtId="0" fontId="19" fillId="9" borderId="30" xfId="0" applyFont="1" applyFill="1" applyBorder="1" applyAlignment="1">
      <alignment horizontal="center" vertical="center"/>
    </xf>
    <xf numFmtId="0" fontId="19" fillId="7" borderId="34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/>
    </xf>
    <xf numFmtId="0" fontId="29" fillId="14" borderId="11" xfId="0" applyFont="1" applyFill="1" applyBorder="1" applyAlignment="1">
      <alignment horizontal="center" vertical="center"/>
    </xf>
    <xf numFmtId="0" fontId="29" fillId="14" borderId="13" xfId="0" applyFont="1" applyFill="1" applyBorder="1" applyAlignment="1">
      <alignment horizontal="center" vertical="center"/>
    </xf>
    <xf numFmtId="0" fontId="28" fillId="3" borderId="9" xfId="0" applyFont="1" applyFill="1" applyBorder="1" applyAlignment="1" applyProtection="1">
      <alignment horizontal="center" vertical="center"/>
      <protection locked="0"/>
    </xf>
    <xf numFmtId="0" fontId="28" fillId="3" borderId="14" xfId="0" applyFont="1" applyFill="1" applyBorder="1" applyAlignment="1" applyProtection="1">
      <alignment horizontal="center" vertical="center"/>
      <protection locked="0"/>
    </xf>
    <xf numFmtId="0" fontId="28" fillId="3" borderId="22" xfId="0" applyFont="1" applyFill="1" applyBorder="1" applyAlignment="1" applyProtection="1">
      <alignment horizontal="center" vertical="center"/>
      <protection locked="0"/>
    </xf>
    <xf numFmtId="0" fontId="28" fillId="3" borderId="23" xfId="0" applyFont="1" applyFill="1" applyBorder="1" applyAlignment="1" applyProtection="1">
      <alignment horizontal="center" vertical="center"/>
      <protection locked="0"/>
    </xf>
    <xf numFmtId="0" fontId="28" fillId="3" borderId="20" xfId="0" applyFont="1" applyFill="1" applyBorder="1" applyAlignment="1" applyProtection="1">
      <alignment horizontal="center" vertical="center"/>
      <protection locked="0"/>
    </xf>
    <xf numFmtId="0" fontId="28" fillId="3" borderId="21" xfId="0" applyFont="1" applyFill="1" applyBorder="1" applyAlignment="1" applyProtection="1">
      <alignment horizontal="center" vertical="center"/>
      <protection locked="0"/>
    </xf>
    <xf numFmtId="0" fontId="32" fillId="5" borderId="11" xfId="0" applyFont="1" applyFill="1" applyBorder="1" applyAlignment="1" applyProtection="1">
      <alignment horizontal="center" vertical="center"/>
      <protection locked="0"/>
    </xf>
    <xf numFmtId="0" fontId="32" fillId="5" borderId="12" xfId="0" applyFont="1" applyFill="1" applyBorder="1" applyAlignment="1" applyProtection="1">
      <alignment horizontal="center" vertical="center"/>
      <protection locked="0"/>
    </xf>
    <xf numFmtId="0" fontId="32" fillId="5" borderId="13" xfId="0" applyFont="1" applyFill="1" applyBorder="1" applyAlignment="1" applyProtection="1">
      <alignment horizontal="center" vertical="center"/>
      <protection locked="0"/>
    </xf>
    <xf numFmtId="0" fontId="32" fillId="5" borderId="11" xfId="0" applyFont="1" applyFill="1" applyBorder="1" applyAlignment="1" applyProtection="1">
      <alignment horizontal="center" vertical="center" wrapText="1"/>
      <protection locked="0"/>
    </xf>
    <xf numFmtId="0" fontId="32" fillId="5" borderId="12" xfId="0" applyFont="1" applyFill="1" applyBorder="1" applyAlignment="1" applyProtection="1">
      <alignment horizontal="center" vertical="center" wrapText="1"/>
      <protection locked="0"/>
    </xf>
    <xf numFmtId="0" fontId="32" fillId="5" borderId="13" xfId="0" applyFont="1" applyFill="1" applyBorder="1" applyAlignment="1" applyProtection="1">
      <alignment horizontal="center" vertical="center" wrapText="1"/>
      <protection locked="0"/>
    </xf>
    <xf numFmtId="0" fontId="14" fillId="5" borderId="11" xfId="2" applyFont="1" applyFill="1" applyBorder="1" applyAlignment="1" applyProtection="1">
      <alignment horizontal="center" vertical="center"/>
      <protection locked="0"/>
    </xf>
    <xf numFmtId="0" fontId="14" fillId="5" borderId="12" xfId="2" applyFont="1" applyFill="1" applyBorder="1" applyAlignment="1" applyProtection="1">
      <alignment horizontal="center" vertical="center"/>
      <protection locked="0"/>
    </xf>
    <xf numFmtId="0" fontId="14" fillId="5" borderId="13" xfId="2" applyFont="1" applyFill="1" applyBorder="1" applyAlignment="1" applyProtection="1">
      <alignment horizontal="center" vertical="center"/>
      <protection locked="0"/>
    </xf>
    <xf numFmtId="0" fontId="31" fillId="14" borderId="1" xfId="0" applyFont="1" applyFill="1" applyBorder="1" applyAlignment="1">
      <alignment horizontal="center" vertical="center" textRotation="90" wrapText="1"/>
    </xf>
    <xf numFmtId="0" fontId="31" fillId="14" borderId="7" xfId="0" applyFont="1" applyFill="1" applyBorder="1" applyAlignment="1">
      <alignment horizontal="center" vertical="center" textRotation="90" wrapText="1"/>
    </xf>
    <xf numFmtId="0" fontId="31" fillId="14" borderId="2" xfId="0" applyFont="1" applyFill="1" applyBorder="1" applyAlignment="1">
      <alignment horizontal="center" vertical="center" textRotation="90" wrapText="1"/>
    </xf>
    <xf numFmtId="0" fontId="31" fillId="14" borderId="25" xfId="0" applyFont="1" applyFill="1" applyBorder="1" applyAlignment="1">
      <alignment horizontal="center" vertical="center"/>
    </xf>
    <xf numFmtId="0" fontId="31" fillId="14" borderId="12" xfId="0" applyFont="1" applyFill="1" applyBorder="1" applyAlignment="1">
      <alignment horizontal="center" vertical="center"/>
    </xf>
    <xf numFmtId="0" fontId="6" fillId="14" borderId="4" xfId="0" applyFont="1" applyFill="1" applyBorder="1" applyAlignment="1" applyProtection="1">
      <alignment horizontal="center" vertical="center" wrapText="1"/>
      <protection locked="0"/>
    </xf>
    <xf numFmtId="0" fontId="6" fillId="14" borderId="17" xfId="0" applyFont="1" applyFill="1" applyBorder="1" applyAlignment="1" applyProtection="1">
      <alignment horizontal="center" vertical="center" wrapText="1"/>
      <protection locked="0"/>
    </xf>
    <xf numFmtId="0" fontId="30" fillId="15" borderId="11" xfId="0" applyFont="1" applyFill="1" applyBorder="1" applyAlignment="1">
      <alignment horizontal="center" vertical="center"/>
    </xf>
    <xf numFmtId="0" fontId="30" fillId="15" borderId="13" xfId="0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 applyProtection="1">
      <alignment horizontal="center" vertical="center"/>
      <protection locked="0"/>
    </xf>
    <xf numFmtId="167" fontId="6" fillId="3" borderId="7" xfId="0" applyNumberFormat="1" applyFont="1" applyFill="1" applyBorder="1" applyAlignment="1" applyProtection="1">
      <alignment horizontal="center" vertical="center"/>
      <protection locked="0"/>
    </xf>
    <xf numFmtId="0" fontId="8" fillId="14" borderId="4" xfId="0" applyFont="1" applyFill="1" applyBorder="1" applyAlignment="1" applyProtection="1">
      <alignment horizontal="center" vertical="center"/>
      <protection locked="0"/>
    </xf>
    <xf numFmtId="0" fontId="8" fillId="14" borderId="5" xfId="0" applyFont="1" applyFill="1" applyBorder="1" applyAlignment="1" applyProtection="1">
      <alignment horizontal="center" vertical="center"/>
      <protection locked="0"/>
    </xf>
    <xf numFmtId="0" fontId="8" fillId="14" borderId="17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 wrapText="1"/>
    </xf>
    <xf numFmtId="0" fontId="34" fillId="17" borderId="4" xfId="0" applyFont="1" applyFill="1" applyBorder="1" applyAlignment="1">
      <alignment horizontal="center" vertical="center" wrapText="1"/>
    </xf>
    <xf numFmtId="0" fontId="34" fillId="17" borderId="17" xfId="0" applyFont="1" applyFill="1" applyBorder="1" applyAlignment="1">
      <alignment horizontal="center" vertical="center" wrapText="1"/>
    </xf>
    <xf numFmtId="0" fontId="34" fillId="18" borderId="4" xfId="0" applyFont="1" applyFill="1" applyBorder="1" applyAlignment="1">
      <alignment horizontal="center" vertical="center" wrapText="1"/>
    </xf>
    <xf numFmtId="0" fontId="34" fillId="18" borderId="17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17" xfId="0" applyFont="1" applyFill="1" applyBorder="1" applyAlignment="1">
      <alignment horizontal="center" vertical="center"/>
    </xf>
    <xf numFmtId="0" fontId="39" fillId="17" borderId="4" xfId="0" applyFont="1" applyFill="1" applyBorder="1" applyAlignment="1">
      <alignment horizontal="center" vertical="center" wrapText="1"/>
    </xf>
    <xf numFmtId="0" fontId="39" fillId="17" borderId="17" xfId="0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0" fontId="41" fillId="17" borderId="17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17" xfId="0" applyFont="1" applyFill="1" applyBorder="1" applyAlignment="1">
      <alignment horizontal="center" vertical="center" wrapText="1"/>
    </xf>
    <xf numFmtId="0" fontId="22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2">
    <dxf>
      <font>
        <b/>
        <i val="0"/>
        <color rgb="FF008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00FF"/>
      <color rgb="FF990099"/>
      <color rgb="FF008000"/>
      <color rgb="FFFFFFCC"/>
      <color rgb="FFFFD347"/>
      <color rgb="FFFFFF99"/>
      <color rgb="FF66FFCC"/>
      <color rgb="FFFFCC00"/>
      <color rgb="FF00FF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508000</xdr:colOff>
      <xdr:row>1</xdr:row>
      <xdr:rowOff>47625</xdr:rowOff>
    </xdr:from>
    <xdr:to>
      <xdr:col>31</xdr:col>
      <xdr:colOff>572468</xdr:colOff>
      <xdr:row>5</xdr:row>
      <xdr:rowOff>283076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0E00AE-2300-46B4-C285-271904EF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00" y="365125"/>
          <a:ext cx="5176218" cy="15213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CL141"/>
  <sheetViews>
    <sheetView showGridLines="0" tabSelected="1" topLeftCell="A76" zoomScale="60" zoomScaleNormal="60" zoomScaleSheetLayoutView="40" zoomScalePageLayoutView="40" workbookViewId="0">
      <selection activeCell="V128" sqref="V128:X128"/>
    </sheetView>
  </sheetViews>
  <sheetFormatPr defaultColWidth="9.109375" defaultRowHeight="13.8" outlineLevelRow="1"/>
  <cols>
    <col min="1" max="1" width="11.88671875" style="28" bestFit="1" customWidth="1"/>
    <col min="2" max="32" width="11" style="28" customWidth="1"/>
    <col min="33" max="33" width="0.33203125" style="28" customWidth="1"/>
    <col min="34" max="34" width="9.109375" style="28" customWidth="1"/>
    <col min="35" max="36" width="14.44140625" style="28" hidden="1" customWidth="1"/>
    <col min="37" max="42" width="15" style="28" hidden="1" customWidth="1"/>
    <col min="43" max="44" width="14.6640625" style="28" hidden="1" customWidth="1"/>
    <col min="45" max="46" width="15" style="28" hidden="1" customWidth="1"/>
    <col min="47" max="48" width="14.6640625" style="28" hidden="1" customWidth="1"/>
    <col min="49" max="52" width="15" style="28" hidden="1" customWidth="1"/>
    <col min="53" max="54" width="14.44140625" style="28" hidden="1" customWidth="1"/>
    <col min="55" max="56" width="13.88671875" style="28" hidden="1" customWidth="1"/>
    <col min="57" max="62" width="14.44140625" style="28" hidden="1" customWidth="1"/>
    <col min="63" max="66" width="13.88671875" style="28" hidden="1" customWidth="1"/>
    <col min="67" max="68" width="14.44140625" style="28" hidden="1" customWidth="1"/>
    <col min="69" max="70" width="13.88671875" style="28" hidden="1" customWidth="1"/>
    <col min="71" max="72" width="14.109375" style="28" hidden="1" customWidth="1"/>
    <col min="73" max="74" width="13.88671875" style="28" hidden="1" customWidth="1"/>
    <col min="75" max="76" width="14.109375" style="28" hidden="1" customWidth="1"/>
    <col min="77" max="78" width="14.44140625" style="28" hidden="1" customWidth="1"/>
    <col min="79" max="90" width="13.88671875" style="28" hidden="1" customWidth="1"/>
    <col min="91" max="92" width="9.109375" style="28" customWidth="1"/>
    <col min="93" max="16384" width="9.109375" style="28"/>
  </cols>
  <sheetData>
    <row r="1" spans="1:54" ht="24.75" customHeight="1">
      <c r="A1" s="191" t="s">
        <v>0</v>
      </c>
      <c r="B1" s="192"/>
      <c r="C1" s="230">
        <v>202629</v>
      </c>
      <c r="D1" s="231"/>
      <c r="E1" s="231"/>
      <c r="F1" s="231"/>
      <c r="G1" s="231"/>
      <c r="H1" s="231"/>
      <c r="I1" s="232"/>
      <c r="J1" s="197" t="s">
        <v>1</v>
      </c>
      <c r="K1" s="197"/>
      <c r="L1" s="195"/>
      <c r="M1" s="195"/>
      <c r="N1" s="196"/>
      <c r="P1" s="245" t="s">
        <v>2</v>
      </c>
      <c r="Q1" s="83" t="s">
        <v>3</v>
      </c>
      <c r="R1" s="248" t="s">
        <v>4</v>
      </c>
      <c r="S1" s="249"/>
      <c r="T1" s="249"/>
      <c r="U1" s="228" t="s">
        <v>5</v>
      </c>
      <c r="V1" s="229"/>
      <c r="W1" s="57">
        <f>IF(C4="Matutino NEM",50,60)</f>
        <v>60</v>
      </c>
      <c r="X1" s="58" t="s">
        <v>6</v>
      </c>
      <c r="AB1" s="16"/>
      <c r="AC1" s="17"/>
      <c r="AD1" s="17"/>
      <c r="AE1" s="17"/>
      <c r="AF1" s="17"/>
      <c r="AG1" s="17"/>
    </row>
    <row r="2" spans="1:54" ht="25.5" customHeight="1">
      <c r="A2" s="193"/>
      <c r="B2" s="194"/>
      <c r="C2" s="233"/>
      <c r="D2" s="234"/>
      <c r="E2" s="234"/>
      <c r="F2" s="234"/>
      <c r="G2" s="234"/>
      <c r="H2" s="234"/>
      <c r="I2" s="235"/>
      <c r="J2" s="198" t="s">
        <v>7</v>
      </c>
      <c r="K2" s="198"/>
      <c r="L2" s="195"/>
      <c r="M2" s="195"/>
      <c r="N2" s="196"/>
      <c r="P2" s="246"/>
      <c r="Q2" s="43" t="str">
        <f>IF(C4="","",IF(C4="Diurno","1 - 2","1"))</f>
        <v>1</v>
      </c>
      <c r="R2" s="44" t="str">
        <f>IF(Q2="","",IF($C$4="Matutino","07:30",IF($C$4="Matutino NEM","07:00",IF($C$4="Vespertino NEM","13:20",IF($C$4="Vespertino","13:00",IF($C$4="Diurno","7:30",IF($C$4="Noturno (Comunidade)","18:00","18:40")))))))</f>
        <v>18:40</v>
      </c>
      <c r="S2" s="45" t="str">
        <f t="shared" ref="S2" si="0">IF(Q2="","","às")</f>
        <v>às</v>
      </c>
      <c r="T2" s="46">
        <f>IF(Q2="","",IF(C4="Diurno",R2+TIME(0,$W$1*2,0),R2+TIME(0,$W$1,0)))</f>
        <v>0.81944444444444442</v>
      </c>
      <c r="U2" s="228" t="s">
        <v>8</v>
      </c>
      <c r="V2" s="229"/>
      <c r="W2" s="211">
        <v>4</v>
      </c>
      <c r="X2" s="212"/>
      <c r="AB2" s="18"/>
      <c r="AC2" s="19"/>
      <c r="AD2" s="20"/>
      <c r="AE2" s="21"/>
      <c r="AF2" s="18"/>
    </row>
    <row r="3" spans="1:54" ht="25.5" customHeight="1">
      <c r="A3" s="193" t="s">
        <v>9</v>
      </c>
      <c r="B3" s="194"/>
      <c r="C3" s="236" t="s">
        <v>10</v>
      </c>
      <c r="D3" s="237"/>
      <c r="E3" s="237"/>
      <c r="F3" s="237"/>
      <c r="G3" s="237"/>
      <c r="H3" s="237"/>
      <c r="I3" s="238"/>
      <c r="J3" s="197" t="s">
        <v>11</v>
      </c>
      <c r="K3" s="197"/>
      <c r="L3" s="204" t="s">
        <v>12</v>
      </c>
      <c r="M3" s="195"/>
      <c r="N3" s="196"/>
      <c r="P3" s="246"/>
      <c r="Q3" s="47" t="str">
        <f>IF(Q2="","",IF(C4="Diurno","3 - 4","2"))</f>
        <v>2</v>
      </c>
      <c r="R3" s="48">
        <f>IF(Q3="","",T2)</f>
        <v>0.81944444444444442</v>
      </c>
      <c r="S3" s="45" t="str">
        <f>IF(Q3="","","às")</f>
        <v>às</v>
      </c>
      <c r="T3" s="46">
        <f>IF(Q3="","",IF(C4="Diurno",R3+TIME(0,$W$1*2,0),R3+TIME(0,$W$1,0)))</f>
        <v>0.86111111111111105</v>
      </c>
      <c r="U3" s="199" t="s">
        <v>13</v>
      </c>
      <c r="V3" s="200"/>
      <c r="W3" s="226"/>
      <c r="X3" s="227"/>
      <c r="AB3" s="18"/>
      <c r="AC3" s="19"/>
      <c r="AD3" s="20"/>
      <c r="AE3" s="21"/>
      <c r="AF3" s="18"/>
    </row>
    <row r="4" spans="1:54" ht="24.6">
      <c r="A4" s="228" t="s">
        <v>14</v>
      </c>
      <c r="B4" s="229"/>
      <c r="C4" s="239" t="s">
        <v>15</v>
      </c>
      <c r="D4" s="240"/>
      <c r="E4" s="240"/>
      <c r="F4" s="240"/>
      <c r="G4" s="240"/>
      <c r="H4" s="240"/>
      <c r="I4" s="241"/>
      <c r="J4" s="197" t="s">
        <v>16</v>
      </c>
      <c r="K4" s="197"/>
      <c r="L4" s="205">
        <v>46245</v>
      </c>
      <c r="M4" s="206"/>
      <c r="N4" s="207"/>
      <c r="O4" s="31"/>
      <c r="P4" s="246"/>
      <c r="Q4" s="47" t="str">
        <f>IF(Q3="","",IF(C4="Diurno","5 - 6","3"))</f>
        <v>3</v>
      </c>
      <c r="R4" s="48">
        <f>IF(Q4="","",IF(C4="Diurno","13:00",T3))</f>
        <v>0.86111111111111105</v>
      </c>
      <c r="S4" s="45" t="str">
        <f>IF(Q4="","","às")</f>
        <v>às</v>
      </c>
      <c r="T4" s="46">
        <f>IF(Q4="","",IF(C4="Diurno",R4+TIME(0,$W$1*2,0),R4+TIME(0,$W$1,0)))</f>
        <v>0.90277777777777768</v>
      </c>
      <c r="U4" s="219" t="s">
        <v>17</v>
      </c>
      <c r="V4" s="220"/>
      <c r="W4" s="213"/>
      <c r="X4" s="214"/>
      <c r="AB4" s="18"/>
      <c r="AC4" s="19"/>
      <c r="AD4" s="20"/>
      <c r="AE4" s="21"/>
      <c r="AF4" s="18"/>
    </row>
    <row r="5" spans="1:54" ht="25.5" customHeight="1">
      <c r="A5" s="228" t="s">
        <v>18</v>
      </c>
      <c r="B5" s="229"/>
      <c r="C5" s="236" t="s">
        <v>19</v>
      </c>
      <c r="D5" s="237"/>
      <c r="E5" s="237"/>
      <c r="F5" s="237"/>
      <c r="G5" s="237"/>
      <c r="H5" s="237"/>
      <c r="I5" s="238"/>
      <c r="J5" s="198" t="s">
        <v>20</v>
      </c>
      <c r="K5" s="198"/>
      <c r="L5" s="205">
        <v>46373</v>
      </c>
      <c r="M5" s="206"/>
      <c r="N5" s="207"/>
      <c r="P5" s="246"/>
      <c r="Q5" s="49">
        <v>4</v>
      </c>
      <c r="R5" s="48">
        <f>IF(Q5="","",IF(C4="Matutino NEM","09:50",T4))</f>
        <v>0.90277777777777768</v>
      </c>
      <c r="S5" s="45" t="str">
        <f>IF(Q5="","","às")</f>
        <v>às</v>
      </c>
      <c r="T5" s="50">
        <f>IF(Q5="","",IF(C4="Diurno",R5+TIME(0,$W$1*2,0),R5+TIME(0,$W$1,0)))</f>
        <v>0.94444444444444431</v>
      </c>
      <c r="U5" s="219" t="s">
        <v>21</v>
      </c>
      <c r="V5" s="220"/>
      <c r="W5" s="215"/>
      <c r="X5" s="216"/>
      <c r="AB5" s="18"/>
      <c r="AC5" s="19"/>
      <c r="AD5" s="20"/>
      <c r="AE5" s="21"/>
      <c r="AF5" s="18"/>
    </row>
    <row r="6" spans="1:54" ht="25.5" customHeight="1">
      <c r="A6" s="252" t="s">
        <v>22</v>
      </c>
      <c r="B6" s="253"/>
      <c r="C6" s="242"/>
      <c r="D6" s="243"/>
      <c r="E6" s="243"/>
      <c r="F6" s="243"/>
      <c r="G6" s="243"/>
      <c r="H6" s="243"/>
      <c r="I6" s="244"/>
      <c r="J6" s="197" t="s">
        <v>23</v>
      </c>
      <c r="K6" s="197"/>
      <c r="L6" s="208"/>
      <c r="M6" s="209"/>
      <c r="N6" s="210"/>
      <c r="P6" s="246"/>
      <c r="Q6" s="51" t="str">
        <f>IF(C4="Matutino NEM","5","")</f>
        <v/>
      </c>
      <c r="R6" s="52" t="str">
        <f>IF(Q6="","",T5)</f>
        <v/>
      </c>
      <c r="S6" s="45" t="str">
        <f>IF(Q6="","","às")</f>
        <v/>
      </c>
      <c r="T6" s="50" t="str">
        <f>IF(Q6="","",IF(C5="Diurno",R6+TIME(0,$W$1*2,0),R6+TIME(0,$W$1,0)))</f>
        <v/>
      </c>
      <c r="U6" s="221" t="s">
        <v>24</v>
      </c>
      <c r="V6" s="222"/>
      <c r="W6" s="217"/>
      <c r="X6" s="218"/>
      <c r="AB6" s="18"/>
      <c r="AC6" s="19"/>
      <c r="AD6" s="20"/>
      <c r="AE6" s="21"/>
      <c r="AF6" s="18"/>
    </row>
    <row r="7" spans="1:54" ht="25.5" customHeight="1">
      <c r="A7" s="81"/>
      <c r="B7" s="81"/>
      <c r="C7" s="82"/>
      <c r="D7" s="82"/>
      <c r="E7" s="81"/>
      <c r="F7" s="81"/>
      <c r="G7" s="81"/>
      <c r="H7" s="82"/>
      <c r="I7" s="82"/>
      <c r="J7" s="81"/>
      <c r="K7" s="81"/>
      <c r="L7" s="81"/>
      <c r="M7" s="82"/>
      <c r="N7" s="82"/>
      <c r="P7" s="247"/>
      <c r="Q7" s="53" t="str">
        <f>IF(C4="Matutino NEM","6","")</f>
        <v/>
      </c>
      <c r="R7" s="54" t="str">
        <f>IF(Q7="","",T6)</f>
        <v/>
      </c>
      <c r="S7" s="55" t="str">
        <f>IF(Q7="","","às")</f>
        <v/>
      </c>
      <c r="T7" s="56" t="str">
        <f>IF(Q7="","",IF(C6="Diurno",R7+TIME(0,$W$1*2,0),R7+TIME(0,$W$1,0)))</f>
        <v/>
      </c>
      <c r="U7" s="223" t="str">
        <f>IF(AE123=0,"Calendário OK", "Aviso: Aulas pendentes de lançamento")</f>
        <v>Aviso: Aulas pendentes de lançamento</v>
      </c>
      <c r="V7" s="224"/>
      <c r="W7" s="224"/>
      <c r="X7" s="225"/>
      <c r="AB7" s="18"/>
      <c r="AC7" s="19"/>
      <c r="AD7" s="20"/>
      <c r="AE7" s="21"/>
      <c r="AF7" s="18"/>
    </row>
    <row r="8" spans="1:54" ht="9" customHeight="1">
      <c r="A8" s="1"/>
      <c r="B8" s="1"/>
      <c r="C8" s="2"/>
      <c r="D8" s="3"/>
      <c r="E8" s="4"/>
      <c r="F8" s="203"/>
      <c r="G8" s="203"/>
      <c r="H8" s="203"/>
      <c r="I8" s="203"/>
      <c r="J8" s="5"/>
      <c r="K8" s="5"/>
      <c r="L8" s="5"/>
      <c r="M8" s="5"/>
      <c r="N8" s="5"/>
      <c r="AA8" s="22"/>
      <c r="AB8" s="23"/>
      <c r="AC8" s="24"/>
      <c r="AD8" s="25"/>
      <c r="AE8" s="26"/>
      <c r="AF8" s="23"/>
      <c r="AY8" s="27"/>
      <c r="AZ8" s="27"/>
      <c r="BA8" s="27"/>
      <c r="BB8" s="27"/>
    </row>
    <row r="9" spans="1:54" ht="27.75" hidden="1" customHeight="1" outlineLevel="1">
      <c r="A9" s="131">
        <v>46023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61"/>
      <c r="AG9" s="40"/>
    </row>
    <row r="10" spans="1:54" ht="15.75" hidden="1" customHeight="1" outlineLevel="1">
      <c r="A10" s="201"/>
      <c r="B10" s="84">
        <f>A9</f>
        <v>46023</v>
      </c>
      <c r="C10" s="84">
        <f t="shared" ref="C10:C11" si="1">B10+1</f>
        <v>46024</v>
      </c>
      <c r="D10" s="86">
        <f t="shared" ref="D10:D11" si="2">C10+1</f>
        <v>46025</v>
      </c>
      <c r="E10" s="87">
        <f t="shared" ref="E10:U11" si="3">D10+1</f>
        <v>46026</v>
      </c>
      <c r="F10" s="84">
        <f t="shared" si="3"/>
        <v>46027</v>
      </c>
      <c r="G10" s="84">
        <f t="shared" si="3"/>
        <v>46028</v>
      </c>
      <c r="H10" s="84">
        <f t="shared" si="3"/>
        <v>46029</v>
      </c>
      <c r="I10" s="84">
        <f t="shared" si="3"/>
        <v>46030</v>
      </c>
      <c r="J10" s="84">
        <f t="shared" ref="J10:J11" si="4">I10+1</f>
        <v>46031</v>
      </c>
      <c r="K10" s="86">
        <f t="shared" ref="K10:K11" si="5">J10+1</f>
        <v>46032</v>
      </c>
      <c r="L10" s="87">
        <f t="shared" ref="L10:L11" si="6">K10+1</f>
        <v>46033</v>
      </c>
      <c r="M10" s="84">
        <f t="shared" si="3"/>
        <v>46034</v>
      </c>
      <c r="N10" s="84">
        <f t="shared" si="3"/>
        <v>46035</v>
      </c>
      <c r="O10" s="84">
        <f t="shared" ref="O10:O11" si="7">N10+1</f>
        <v>46036</v>
      </c>
      <c r="P10" s="84">
        <f t="shared" si="3"/>
        <v>46037</v>
      </c>
      <c r="Q10" s="84">
        <f t="shared" ref="Q10:Q11" si="8">P10+1</f>
        <v>46038</v>
      </c>
      <c r="R10" s="86">
        <f t="shared" ref="R10:R11" si="9">Q10+1</f>
        <v>46039</v>
      </c>
      <c r="S10" s="87">
        <f t="shared" ref="S10:S11" si="10">R10+1</f>
        <v>46040</v>
      </c>
      <c r="T10" s="84">
        <f t="shared" ref="T10:AD11" si="11">S10+1</f>
        <v>46041</v>
      </c>
      <c r="U10" s="84">
        <f t="shared" si="3"/>
        <v>46042</v>
      </c>
      <c r="V10" s="84">
        <f t="shared" ref="V10:V11" si="12">U10+1</f>
        <v>46043</v>
      </c>
      <c r="W10" s="84">
        <f t="shared" si="11"/>
        <v>46044</v>
      </c>
      <c r="X10" s="84">
        <f t="shared" ref="X10:X11" si="13">W10+1</f>
        <v>46045</v>
      </c>
      <c r="Y10" s="86">
        <f t="shared" ref="Y10:Y11" si="14">X10+1</f>
        <v>46046</v>
      </c>
      <c r="Z10" s="87">
        <f t="shared" ref="Z10:Z11" si="15">Y10+1</f>
        <v>46047</v>
      </c>
      <c r="AA10" s="84">
        <f t="shared" si="11"/>
        <v>46048</v>
      </c>
      <c r="AB10" s="84">
        <f t="shared" si="11"/>
        <v>46049</v>
      </c>
      <c r="AC10" s="84">
        <f t="shared" ref="AC10:AC11" si="16">AB10+1</f>
        <v>46050</v>
      </c>
      <c r="AD10" s="84">
        <f t="shared" si="11"/>
        <v>46051</v>
      </c>
      <c r="AE10" s="84">
        <f t="shared" ref="AE10:AF11" si="17">AD10+1</f>
        <v>46052</v>
      </c>
      <c r="AF10" s="86">
        <f t="shared" si="17"/>
        <v>46053</v>
      </c>
      <c r="AG10" s="41"/>
    </row>
    <row r="11" spans="1:54" ht="15.75" hidden="1" customHeight="1" outlineLevel="1">
      <c r="A11" s="202"/>
      <c r="B11" s="85">
        <f>A9</f>
        <v>46023</v>
      </c>
      <c r="C11" s="85">
        <f t="shared" si="1"/>
        <v>46024</v>
      </c>
      <c r="D11" s="88">
        <f t="shared" si="2"/>
        <v>46025</v>
      </c>
      <c r="E11" s="89">
        <f t="shared" si="3"/>
        <v>46026</v>
      </c>
      <c r="F11" s="85">
        <f t="shared" si="3"/>
        <v>46027</v>
      </c>
      <c r="G11" s="85">
        <f t="shared" si="3"/>
        <v>46028</v>
      </c>
      <c r="H11" s="85">
        <f t="shared" si="3"/>
        <v>46029</v>
      </c>
      <c r="I11" s="85">
        <f t="shared" si="3"/>
        <v>46030</v>
      </c>
      <c r="J11" s="85">
        <f t="shared" si="4"/>
        <v>46031</v>
      </c>
      <c r="K11" s="88">
        <f t="shared" si="5"/>
        <v>46032</v>
      </c>
      <c r="L11" s="89">
        <f t="shared" si="6"/>
        <v>46033</v>
      </c>
      <c r="M11" s="85">
        <f t="shared" si="3"/>
        <v>46034</v>
      </c>
      <c r="N11" s="85">
        <f t="shared" si="3"/>
        <v>46035</v>
      </c>
      <c r="O11" s="85">
        <f t="shared" si="7"/>
        <v>46036</v>
      </c>
      <c r="P11" s="85">
        <f t="shared" si="3"/>
        <v>46037</v>
      </c>
      <c r="Q11" s="85">
        <f t="shared" si="8"/>
        <v>46038</v>
      </c>
      <c r="R11" s="88">
        <f t="shared" si="9"/>
        <v>46039</v>
      </c>
      <c r="S11" s="89">
        <f t="shared" si="10"/>
        <v>46040</v>
      </c>
      <c r="T11" s="85">
        <f t="shared" si="11"/>
        <v>46041</v>
      </c>
      <c r="U11" s="85">
        <f t="shared" si="3"/>
        <v>46042</v>
      </c>
      <c r="V11" s="85">
        <f t="shared" si="12"/>
        <v>46043</v>
      </c>
      <c r="W11" s="85">
        <f t="shared" si="11"/>
        <v>46044</v>
      </c>
      <c r="X11" s="85">
        <f t="shared" si="13"/>
        <v>46045</v>
      </c>
      <c r="Y11" s="88">
        <f t="shared" si="14"/>
        <v>46046</v>
      </c>
      <c r="Z11" s="89">
        <f t="shared" si="15"/>
        <v>46047</v>
      </c>
      <c r="AA11" s="85">
        <f t="shared" si="11"/>
        <v>46048</v>
      </c>
      <c r="AB11" s="85">
        <f t="shared" si="11"/>
        <v>46049</v>
      </c>
      <c r="AC11" s="85">
        <f t="shared" si="16"/>
        <v>46050</v>
      </c>
      <c r="AD11" s="85">
        <f t="shared" si="11"/>
        <v>46051</v>
      </c>
      <c r="AE11" s="85">
        <f t="shared" si="17"/>
        <v>46052</v>
      </c>
      <c r="AF11" s="88">
        <f t="shared" si="17"/>
        <v>46053</v>
      </c>
      <c r="AG11" s="41"/>
      <c r="AO11" s="34"/>
      <c r="AP11" s="34"/>
    </row>
    <row r="12" spans="1:54" ht="18.75" hidden="1" customHeight="1" outlineLevel="1">
      <c r="A12" s="254" t="s">
        <v>25</v>
      </c>
      <c r="B12" s="133"/>
      <c r="C12" s="119"/>
      <c r="D12" s="121"/>
      <c r="E12" s="123"/>
      <c r="F12" s="119"/>
      <c r="G12" s="119"/>
      <c r="H12" s="119"/>
      <c r="I12" s="119"/>
      <c r="J12" s="119"/>
      <c r="K12" s="121"/>
      <c r="L12" s="123"/>
      <c r="M12" s="119"/>
      <c r="N12" s="119"/>
      <c r="O12" s="119"/>
      <c r="P12" s="119"/>
      <c r="Q12" s="119"/>
      <c r="R12" s="121"/>
      <c r="S12" s="123"/>
      <c r="T12" s="119"/>
      <c r="U12" s="119"/>
      <c r="V12" s="119"/>
      <c r="W12" s="119"/>
      <c r="X12" s="119"/>
      <c r="Y12" s="121"/>
      <c r="Z12" s="123"/>
      <c r="AA12" s="119"/>
      <c r="AB12" s="119"/>
      <c r="AC12" s="119"/>
      <c r="AD12" s="119"/>
      <c r="AE12" s="119"/>
      <c r="AF12" s="121"/>
      <c r="AG12" s="41"/>
    </row>
    <row r="13" spans="1:54" ht="18.75" hidden="1" customHeight="1" outlineLevel="1">
      <c r="A13" s="255"/>
      <c r="B13" s="134"/>
      <c r="C13" s="120"/>
      <c r="D13" s="122"/>
      <c r="E13" s="124"/>
      <c r="F13" s="120"/>
      <c r="G13" s="120"/>
      <c r="H13" s="120"/>
      <c r="I13" s="120"/>
      <c r="J13" s="120"/>
      <c r="K13" s="122"/>
      <c r="L13" s="124"/>
      <c r="M13" s="120"/>
      <c r="N13" s="120"/>
      <c r="O13" s="120"/>
      <c r="P13" s="120"/>
      <c r="Q13" s="120"/>
      <c r="R13" s="122"/>
      <c r="S13" s="124"/>
      <c r="T13" s="120"/>
      <c r="U13" s="120"/>
      <c r="V13" s="120"/>
      <c r="W13" s="120"/>
      <c r="X13" s="120"/>
      <c r="Y13" s="122"/>
      <c r="Z13" s="124"/>
      <c r="AA13" s="120"/>
      <c r="AB13" s="120"/>
      <c r="AC13" s="120"/>
      <c r="AD13" s="120"/>
      <c r="AE13" s="120"/>
      <c r="AF13" s="122"/>
      <c r="AG13" s="41"/>
    </row>
    <row r="14" spans="1:54" ht="15.75" hidden="1" customHeight="1" outlineLevel="1">
      <c r="A14" s="59" t="s">
        <v>26</v>
      </c>
      <c r="B14" s="95"/>
      <c r="C14" s="60" t="str">
        <f>IF(ISERROR(VLOOKUP(C12,$K$124:$AC$141,12,FALSE)),"",VLOOKUP(C12,$K$124:$AC$141,12,FALSE))</f>
        <v/>
      </c>
      <c r="D14" s="61" t="str">
        <f>IF(ISERROR(VLOOKUP(D12,$K$124:$AC$141,12,FALSE)),"",VLOOKUP(D12,$K$124:$AC$141,12,FALSE))</f>
        <v/>
      </c>
      <c r="E14" s="96"/>
      <c r="F14" s="60" t="str">
        <f t="shared" ref="F14:K14" si="18">IF(ISERROR(VLOOKUP(F12,$K$124:$AC$141,12,FALSE)),"",VLOOKUP(F12,$K$124:$AC$141,12,FALSE))</f>
        <v/>
      </c>
      <c r="G14" s="60" t="str">
        <f t="shared" si="18"/>
        <v/>
      </c>
      <c r="H14" s="60" t="str">
        <f t="shared" si="18"/>
        <v/>
      </c>
      <c r="I14" s="60" t="str">
        <f t="shared" si="18"/>
        <v/>
      </c>
      <c r="J14" s="60" t="str">
        <f t="shared" si="18"/>
        <v/>
      </c>
      <c r="K14" s="61" t="str">
        <f t="shared" si="18"/>
        <v/>
      </c>
      <c r="L14" s="96"/>
      <c r="M14" s="60" t="str">
        <f t="shared" ref="M14:R14" si="19">IF(ISERROR(VLOOKUP(M12,$K$124:$AC$141,12,FALSE)),"",VLOOKUP(M12,$K$124:$AC$141,12,FALSE))</f>
        <v/>
      </c>
      <c r="N14" s="60" t="str">
        <f t="shared" si="19"/>
        <v/>
      </c>
      <c r="O14" s="60" t="str">
        <f t="shared" si="19"/>
        <v/>
      </c>
      <c r="P14" s="60" t="str">
        <f t="shared" si="19"/>
        <v/>
      </c>
      <c r="Q14" s="60" t="str">
        <f t="shared" si="19"/>
        <v/>
      </c>
      <c r="R14" s="61" t="str">
        <f t="shared" si="19"/>
        <v/>
      </c>
      <c r="S14" s="96"/>
      <c r="T14" s="60" t="str">
        <f t="shared" ref="T14:Y14" si="20">IF(ISERROR(VLOOKUP(T12,$K$124:$AC$141,12,FALSE)),"",VLOOKUP(T12,$K$124:$AC$141,12,FALSE))</f>
        <v/>
      </c>
      <c r="U14" s="60" t="str">
        <f t="shared" si="20"/>
        <v/>
      </c>
      <c r="V14" s="60" t="str">
        <f t="shared" si="20"/>
        <v/>
      </c>
      <c r="W14" s="60" t="str">
        <f t="shared" si="20"/>
        <v/>
      </c>
      <c r="X14" s="60" t="str">
        <f t="shared" si="20"/>
        <v/>
      </c>
      <c r="Y14" s="61" t="str">
        <f t="shared" si="20"/>
        <v/>
      </c>
      <c r="Z14" s="96"/>
      <c r="AA14" s="60" t="str">
        <f t="shared" ref="AA14:AF14" si="21">IF(ISERROR(VLOOKUP(AA12,$K$124:$AC$141,12,FALSE)),"",VLOOKUP(AA12,$K$124:$AC$141,12,FALSE))</f>
        <v/>
      </c>
      <c r="AB14" s="60" t="str">
        <f t="shared" si="21"/>
        <v/>
      </c>
      <c r="AC14" s="60" t="str">
        <f t="shared" si="21"/>
        <v/>
      </c>
      <c r="AD14" s="60" t="str">
        <f t="shared" si="21"/>
        <v/>
      </c>
      <c r="AE14" s="60" t="str">
        <f t="shared" si="21"/>
        <v/>
      </c>
      <c r="AF14" s="61" t="str">
        <f t="shared" si="21"/>
        <v/>
      </c>
      <c r="AG14" s="41"/>
    </row>
    <row r="15" spans="1:54" ht="15.75" hidden="1" customHeight="1" outlineLevel="1">
      <c r="A15" s="62" t="s">
        <v>27</v>
      </c>
      <c r="B15" s="97"/>
      <c r="C15" s="63" t="str">
        <f>IF(ISERROR(VLOOKUP(C12,$K$124:$AC$141,15,FALSE)),"",VLOOKUP(C12,$K$124:$AC$141,15,FALSE))</f>
        <v/>
      </c>
      <c r="D15" s="64" t="str">
        <f>IF(ISERROR(VLOOKUP(D12,$K$124:$AC$141,15,FALSE)),"",VLOOKUP(D12,$K$124:$AC$141,15,FALSE))</f>
        <v/>
      </c>
      <c r="E15" s="98"/>
      <c r="F15" s="63" t="str">
        <f t="shared" ref="F15:K15" si="22">IF(ISERROR(VLOOKUP(F12,$K$124:$AC$141,15,FALSE)),"",VLOOKUP(F12,$K$124:$AC$141,15,FALSE))</f>
        <v/>
      </c>
      <c r="G15" s="63" t="str">
        <f t="shared" si="22"/>
        <v/>
      </c>
      <c r="H15" s="63" t="str">
        <f t="shared" si="22"/>
        <v/>
      </c>
      <c r="I15" s="63" t="str">
        <f t="shared" si="22"/>
        <v/>
      </c>
      <c r="J15" s="63" t="str">
        <f t="shared" si="22"/>
        <v/>
      </c>
      <c r="K15" s="64" t="str">
        <f t="shared" si="22"/>
        <v/>
      </c>
      <c r="L15" s="98"/>
      <c r="M15" s="63" t="str">
        <f t="shared" ref="M15:R15" si="23">IF(ISERROR(VLOOKUP(M12,$K$124:$AC$141,15,FALSE)),"",VLOOKUP(M12,$K$124:$AC$141,15,FALSE))</f>
        <v/>
      </c>
      <c r="N15" s="63" t="str">
        <f t="shared" si="23"/>
        <v/>
      </c>
      <c r="O15" s="63" t="str">
        <f t="shared" si="23"/>
        <v/>
      </c>
      <c r="P15" s="63" t="str">
        <f t="shared" si="23"/>
        <v/>
      </c>
      <c r="Q15" s="63" t="str">
        <f t="shared" si="23"/>
        <v/>
      </c>
      <c r="R15" s="64" t="str">
        <f t="shared" si="23"/>
        <v/>
      </c>
      <c r="S15" s="98"/>
      <c r="T15" s="63" t="str">
        <f t="shared" ref="T15:Y15" si="24">IF(ISERROR(VLOOKUP(T12,$K$124:$AC$141,15,FALSE)),"",VLOOKUP(T12,$K$124:$AC$141,15,FALSE))</f>
        <v/>
      </c>
      <c r="U15" s="63" t="str">
        <f t="shared" si="24"/>
        <v/>
      </c>
      <c r="V15" s="63" t="str">
        <f t="shared" si="24"/>
        <v/>
      </c>
      <c r="W15" s="63" t="str">
        <f t="shared" si="24"/>
        <v/>
      </c>
      <c r="X15" s="63" t="str">
        <f t="shared" si="24"/>
        <v/>
      </c>
      <c r="Y15" s="64" t="str">
        <f t="shared" si="24"/>
        <v/>
      </c>
      <c r="Z15" s="98"/>
      <c r="AA15" s="63" t="str">
        <f t="shared" ref="AA15:AF15" si="25">IF(ISERROR(VLOOKUP(AA12,$K$124:$AC$141,15,FALSE)),"",VLOOKUP(AA12,$K$124:$AC$141,15,FALSE))</f>
        <v/>
      </c>
      <c r="AB15" s="63" t="str">
        <f t="shared" si="25"/>
        <v/>
      </c>
      <c r="AC15" s="63" t="str">
        <f t="shared" si="25"/>
        <v/>
      </c>
      <c r="AD15" s="63" t="str">
        <f t="shared" si="25"/>
        <v/>
      </c>
      <c r="AE15" s="63" t="str">
        <f t="shared" si="25"/>
        <v/>
      </c>
      <c r="AF15" s="64" t="str">
        <f t="shared" si="25"/>
        <v/>
      </c>
      <c r="AG15" s="42"/>
    </row>
    <row r="16" spans="1:54" ht="18" hidden="1" customHeight="1" collapsed="1">
      <c r="A16" s="65"/>
      <c r="B16" s="65" t="s">
        <v>28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6"/>
      <c r="AD16" s="65"/>
      <c r="AE16" s="65"/>
      <c r="AF16" s="65"/>
    </row>
    <row r="17" spans="1:33" ht="24.6" hidden="1" outlineLevel="1">
      <c r="A17" s="131">
        <f>A9+31</f>
        <v>46054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25"/>
      <c r="AE17" s="125"/>
      <c r="AF17" s="126"/>
      <c r="AG17" s="40"/>
    </row>
    <row r="18" spans="1:33" ht="15" hidden="1" outlineLevel="1">
      <c r="A18" s="135"/>
      <c r="B18" s="87">
        <f>A17</f>
        <v>46054</v>
      </c>
      <c r="C18" s="84">
        <f>B18+1</f>
        <v>46055</v>
      </c>
      <c r="D18" s="84">
        <f t="shared" ref="D18:D19" si="26">C18+1</f>
        <v>46056</v>
      </c>
      <c r="E18" s="84">
        <f t="shared" ref="E18:E19" si="27">D18+1</f>
        <v>46057</v>
      </c>
      <c r="F18" s="84">
        <f t="shared" ref="F18:F19" si="28">E18+1</f>
        <v>46058</v>
      </c>
      <c r="G18" s="84">
        <f t="shared" ref="G18:G19" si="29">F18+1</f>
        <v>46059</v>
      </c>
      <c r="H18" s="86">
        <f t="shared" ref="H18:H19" si="30">G18+1</f>
        <v>46060</v>
      </c>
      <c r="I18" s="87">
        <f t="shared" ref="I18:I19" si="31">H18+1</f>
        <v>46061</v>
      </c>
      <c r="J18" s="84">
        <f t="shared" ref="J18:J19" si="32">I18+1</f>
        <v>46062</v>
      </c>
      <c r="K18" s="84">
        <f t="shared" ref="K18:K19" si="33">J18+1</f>
        <v>46063</v>
      </c>
      <c r="L18" s="84">
        <f t="shared" ref="L18:L19" si="34">K18+1</f>
        <v>46064</v>
      </c>
      <c r="M18" s="84">
        <f t="shared" ref="M18:M19" si="35">L18+1</f>
        <v>46065</v>
      </c>
      <c r="N18" s="84">
        <f t="shared" ref="N18:N19" si="36">M18+1</f>
        <v>46066</v>
      </c>
      <c r="O18" s="86">
        <f t="shared" ref="O18:O19" si="37">N18+1</f>
        <v>46067</v>
      </c>
      <c r="P18" s="87">
        <f t="shared" ref="P18:P19" si="38">O18+1</f>
        <v>46068</v>
      </c>
      <c r="Q18" s="84">
        <f t="shared" ref="Q18:R19" si="39">P18+1</f>
        <v>46069</v>
      </c>
      <c r="R18" s="84">
        <f t="shared" si="39"/>
        <v>46070</v>
      </c>
      <c r="S18" s="84">
        <f t="shared" ref="S18:S19" si="40">R18+1</f>
        <v>46071</v>
      </c>
      <c r="T18" s="84">
        <f t="shared" ref="T18:T19" si="41">S18+1</f>
        <v>46072</v>
      </c>
      <c r="U18" s="84">
        <f t="shared" ref="U18:U19" si="42">T18+1</f>
        <v>46073</v>
      </c>
      <c r="V18" s="86">
        <f t="shared" ref="V18:V19" si="43">U18+1</f>
        <v>46074</v>
      </c>
      <c r="W18" s="87">
        <f t="shared" ref="W18:W19" si="44">V18+1</f>
        <v>46075</v>
      </c>
      <c r="X18" s="84">
        <f t="shared" ref="X18:Y19" si="45">W18+1</f>
        <v>46076</v>
      </c>
      <c r="Y18" s="84">
        <f t="shared" si="45"/>
        <v>46077</v>
      </c>
      <c r="Z18" s="84">
        <f t="shared" ref="Z18:Z19" si="46">Y18+1</f>
        <v>46078</v>
      </c>
      <c r="AA18" s="84">
        <f t="shared" ref="AA18:AC19" si="47">Z18+1</f>
        <v>46079</v>
      </c>
      <c r="AB18" s="84">
        <f t="shared" si="47"/>
        <v>46080</v>
      </c>
      <c r="AC18" s="86">
        <f t="shared" si="47"/>
        <v>46081</v>
      </c>
      <c r="AD18" s="127"/>
      <c r="AE18" s="127"/>
      <c r="AF18" s="128"/>
      <c r="AG18" s="41"/>
    </row>
    <row r="19" spans="1:33" ht="15.6" hidden="1" outlineLevel="1">
      <c r="A19" s="136"/>
      <c r="B19" s="89">
        <f>A17</f>
        <v>46054</v>
      </c>
      <c r="C19" s="85">
        <f>B19+1</f>
        <v>46055</v>
      </c>
      <c r="D19" s="85">
        <f t="shared" si="26"/>
        <v>46056</v>
      </c>
      <c r="E19" s="85">
        <f t="shared" si="27"/>
        <v>46057</v>
      </c>
      <c r="F19" s="85">
        <f t="shared" si="28"/>
        <v>46058</v>
      </c>
      <c r="G19" s="85">
        <f t="shared" si="29"/>
        <v>46059</v>
      </c>
      <c r="H19" s="88">
        <f t="shared" si="30"/>
        <v>46060</v>
      </c>
      <c r="I19" s="89">
        <f t="shared" si="31"/>
        <v>46061</v>
      </c>
      <c r="J19" s="85">
        <f t="shared" si="32"/>
        <v>46062</v>
      </c>
      <c r="K19" s="85">
        <f t="shared" si="33"/>
        <v>46063</v>
      </c>
      <c r="L19" s="85">
        <f t="shared" si="34"/>
        <v>46064</v>
      </c>
      <c r="M19" s="85">
        <f t="shared" si="35"/>
        <v>46065</v>
      </c>
      <c r="N19" s="85">
        <f t="shared" si="36"/>
        <v>46066</v>
      </c>
      <c r="O19" s="88">
        <f t="shared" si="37"/>
        <v>46067</v>
      </c>
      <c r="P19" s="89">
        <f t="shared" si="38"/>
        <v>46068</v>
      </c>
      <c r="Q19" s="85">
        <f t="shared" si="39"/>
        <v>46069</v>
      </c>
      <c r="R19" s="85">
        <f t="shared" si="39"/>
        <v>46070</v>
      </c>
      <c r="S19" s="85">
        <f t="shared" si="40"/>
        <v>46071</v>
      </c>
      <c r="T19" s="85">
        <f t="shared" si="41"/>
        <v>46072</v>
      </c>
      <c r="U19" s="85">
        <f t="shared" si="42"/>
        <v>46073</v>
      </c>
      <c r="V19" s="88">
        <f t="shared" si="43"/>
        <v>46074</v>
      </c>
      <c r="W19" s="89">
        <f t="shared" si="44"/>
        <v>46075</v>
      </c>
      <c r="X19" s="85">
        <f t="shared" si="45"/>
        <v>46076</v>
      </c>
      <c r="Y19" s="85">
        <f t="shared" si="45"/>
        <v>46077</v>
      </c>
      <c r="Z19" s="85">
        <f t="shared" si="46"/>
        <v>46078</v>
      </c>
      <c r="AA19" s="85">
        <f t="shared" si="47"/>
        <v>46079</v>
      </c>
      <c r="AB19" s="85">
        <f t="shared" si="47"/>
        <v>46080</v>
      </c>
      <c r="AC19" s="88">
        <f t="shared" si="47"/>
        <v>46081</v>
      </c>
      <c r="AD19" s="127"/>
      <c r="AE19" s="127"/>
      <c r="AF19" s="128"/>
      <c r="AG19" s="41"/>
    </row>
    <row r="20" spans="1:33" ht="18.75" hidden="1" customHeight="1" outlineLevel="1">
      <c r="A20" s="137" t="s">
        <v>25</v>
      </c>
      <c r="B20" s="123"/>
      <c r="C20" s="119"/>
      <c r="D20" s="119"/>
      <c r="E20" s="119"/>
      <c r="F20" s="119"/>
      <c r="G20" s="119"/>
      <c r="H20" s="121"/>
      <c r="I20" s="123"/>
      <c r="J20" s="119"/>
      <c r="K20" s="119"/>
      <c r="L20" s="119"/>
      <c r="M20" s="119"/>
      <c r="N20" s="133"/>
      <c r="O20" s="121"/>
      <c r="P20" s="123"/>
      <c r="Q20" s="133"/>
      <c r="R20" s="133"/>
      <c r="S20" s="133"/>
      <c r="T20" s="119"/>
      <c r="U20" s="119"/>
      <c r="V20" s="121"/>
      <c r="W20" s="123"/>
      <c r="X20" s="119"/>
      <c r="Y20" s="119"/>
      <c r="Z20" s="119"/>
      <c r="AA20" s="119"/>
      <c r="AB20" s="119"/>
      <c r="AC20" s="121"/>
      <c r="AD20" s="127"/>
      <c r="AE20" s="127"/>
      <c r="AF20" s="128"/>
      <c r="AG20" s="41"/>
    </row>
    <row r="21" spans="1:33" ht="18.75" hidden="1" customHeight="1" outlineLevel="1">
      <c r="A21" s="138"/>
      <c r="B21" s="124"/>
      <c r="C21" s="120"/>
      <c r="D21" s="120"/>
      <c r="E21" s="120"/>
      <c r="F21" s="120"/>
      <c r="G21" s="120"/>
      <c r="H21" s="122"/>
      <c r="I21" s="124"/>
      <c r="J21" s="120"/>
      <c r="K21" s="120"/>
      <c r="L21" s="120"/>
      <c r="M21" s="120"/>
      <c r="N21" s="134"/>
      <c r="O21" s="122"/>
      <c r="P21" s="124"/>
      <c r="Q21" s="134"/>
      <c r="R21" s="134"/>
      <c r="S21" s="134"/>
      <c r="T21" s="120"/>
      <c r="U21" s="120"/>
      <c r="V21" s="122"/>
      <c r="W21" s="124"/>
      <c r="X21" s="120"/>
      <c r="Y21" s="120"/>
      <c r="Z21" s="120"/>
      <c r="AA21" s="120"/>
      <c r="AB21" s="120"/>
      <c r="AC21" s="122"/>
      <c r="AD21" s="127"/>
      <c r="AE21" s="127"/>
      <c r="AF21" s="128"/>
      <c r="AG21" s="41"/>
    </row>
    <row r="22" spans="1:33" ht="16.5" hidden="1" customHeight="1" outlineLevel="1">
      <c r="A22" s="59" t="s">
        <v>26</v>
      </c>
      <c r="B22" s="96"/>
      <c r="C22" s="60" t="str">
        <f t="shared" ref="C22:H22" si="48">IF(ISERROR(VLOOKUP(C20,$K$124:$AC$141,12,FALSE)),"",VLOOKUP(C20,$K$124:$AC$141,12,FALSE))</f>
        <v/>
      </c>
      <c r="D22" s="60" t="str">
        <f t="shared" si="48"/>
        <v/>
      </c>
      <c r="E22" s="60" t="str">
        <f t="shared" si="48"/>
        <v/>
      </c>
      <c r="F22" s="60" t="str">
        <f t="shared" si="48"/>
        <v/>
      </c>
      <c r="G22" s="60" t="str">
        <f t="shared" si="48"/>
        <v/>
      </c>
      <c r="H22" s="61" t="str">
        <f t="shared" si="48"/>
        <v/>
      </c>
      <c r="I22" s="96"/>
      <c r="J22" s="60" t="str">
        <f>IF(ISERROR(VLOOKUP(J20,$K$124:$AC$141,12,FALSE)),"",VLOOKUP(J20,$K$124:$AC$141,12,FALSE))</f>
        <v/>
      </c>
      <c r="K22" s="60" t="str">
        <f>IF(ISERROR(VLOOKUP(K20,$K$124:$AC$141,12,FALSE)),"",VLOOKUP(K20,$K$124:$AC$141,12,FALSE))</f>
        <v/>
      </c>
      <c r="L22" s="60" t="str">
        <f>IF(ISERROR(VLOOKUP(L20,$K$124:$AC$141,12,FALSE)),"",VLOOKUP(L20,$K$124:$AC$141,12,FALSE))</f>
        <v/>
      </c>
      <c r="M22" s="60" t="str">
        <f>IF(ISERROR(VLOOKUP(M20,$K$124:$AC$141,12,FALSE)),"",VLOOKUP(M20,$K$124:$AC$141,12,FALSE))</f>
        <v/>
      </c>
      <c r="N22" s="95"/>
      <c r="O22" s="61" t="str">
        <f>IF(ISERROR(VLOOKUP(O20,$K$124:$AC$141,12,FALSE)),"",VLOOKUP(O20,$K$124:$AC$141,12,FALSE))</f>
        <v/>
      </c>
      <c r="P22" s="96"/>
      <c r="Q22" s="95"/>
      <c r="R22" s="95"/>
      <c r="S22" s="95"/>
      <c r="T22" s="60" t="str">
        <f>IF(ISERROR(VLOOKUP(T20,$K$124:$AC$141,12,FALSE)),"",VLOOKUP(T20,$K$124:$AC$141,12,FALSE))</f>
        <v/>
      </c>
      <c r="U22" s="60" t="str">
        <f>IF(ISERROR(VLOOKUP(U20,$K$124:$AC$141,12,FALSE)),"",VLOOKUP(U20,$K$124:$AC$141,12,FALSE))</f>
        <v/>
      </c>
      <c r="V22" s="61" t="str">
        <f>IF(ISERROR(VLOOKUP(V20,$K$124:$AC$141,12,FALSE)),"",VLOOKUP(V20,$K$124:$AC$141,12,FALSE))</f>
        <v/>
      </c>
      <c r="W22" s="96"/>
      <c r="X22" s="60" t="str">
        <f t="shared" ref="X22:AC22" si="49">IF(ISERROR(VLOOKUP(X20,$K$124:$AC$141,12,FALSE)),"",VLOOKUP(X20,$K$124:$AC$141,12,FALSE))</f>
        <v/>
      </c>
      <c r="Y22" s="60" t="str">
        <f t="shared" si="49"/>
        <v/>
      </c>
      <c r="Z22" s="60" t="str">
        <f t="shared" si="49"/>
        <v/>
      </c>
      <c r="AA22" s="60" t="str">
        <f t="shared" si="49"/>
        <v/>
      </c>
      <c r="AB22" s="60" t="str">
        <f t="shared" si="49"/>
        <v/>
      </c>
      <c r="AC22" s="61" t="str">
        <f t="shared" si="49"/>
        <v/>
      </c>
      <c r="AD22" s="127"/>
      <c r="AE22" s="127"/>
      <c r="AF22" s="128"/>
      <c r="AG22" s="41"/>
    </row>
    <row r="23" spans="1:33" ht="15.75" hidden="1" customHeight="1" outlineLevel="1">
      <c r="A23" s="67" t="s">
        <v>27</v>
      </c>
      <c r="B23" s="98"/>
      <c r="C23" s="63" t="str">
        <f t="shared" ref="C23:H23" si="50">IF(ISERROR(VLOOKUP(C20,$K$124:$AC$141,15,FALSE)),"",VLOOKUP(C20,$K$124:$AC$141,15,FALSE))</f>
        <v/>
      </c>
      <c r="D23" s="63" t="str">
        <f t="shared" si="50"/>
        <v/>
      </c>
      <c r="E23" s="63" t="str">
        <f t="shared" si="50"/>
        <v/>
      </c>
      <c r="F23" s="63" t="str">
        <f t="shared" si="50"/>
        <v/>
      </c>
      <c r="G23" s="63" t="str">
        <f t="shared" si="50"/>
        <v/>
      </c>
      <c r="H23" s="64" t="str">
        <f t="shared" si="50"/>
        <v/>
      </c>
      <c r="I23" s="98"/>
      <c r="J23" s="63" t="str">
        <f>IF(ISERROR(VLOOKUP(J20,$K$124:$AC$141,15,FALSE)),"",VLOOKUP(J20,$K$124:$AC$141,15,FALSE))</f>
        <v/>
      </c>
      <c r="K23" s="63" t="str">
        <f>IF(ISERROR(VLOOKUP(K20,$K$124:$AC$141,15,FALSE)),"",VLOOKUP(K20,$K$124:$AC$141,15,FALSE))</f>
        <v/>
      </c>
      <c r="L23" s="63" t="str">
        <f>IF(ISERROR(VLOOKUP(L20,$K$124:$AC$141,15,FALSE)),"",VLOOKUP(L20,$K$124:$AC$141,15,FALSE))</f>
        <v/>
      </c>
      <c r="M23" s="63" t="str">
        <f>IF(ISERROR(VLOOKUP(M20,$K$124:$AC$141,15,FALSE)),"",VLOOKUP(M20,$K$124:$AC$141,15,FALSE))</f>
        <v/>
      </c>
      <c r="N23" s="97"/>
      <c r="O23" s="64" t="str">
        <f>IF(ISERROR(VLOOKUP(O20,$K$124:$AC$141,15,FALSE)),"",VLOOKUP(O20,$K$124:$AC$141,15,FALSE))</f>
        <v/>
      </c>
      <c r="P23" s="98"/>
      <c r="Q23" s="97"/>
      <c r="R23" s="97"/>
      <c r="S23" s="97"/>
      <c r="T23" s="63" t="str">
        <f>IF(ISERROR(VLOOKUP(T20,$K$124:$AC$141,15,FALSE)),"",VLOOKUP(T20,$K$124:$AC$141,15,FALSE))</f>
        <v/>
      </c>
      <c r="U23" s="63" t="str">
        <f>IF(ISERROR(VLOOKUP(U20,$K$124:$AC$141,15,FALSE)),"",VLOOKUP(U20,$K$124:$AC$141,15,FALSE))</f>
        <v/>
      </c>
      <c r="V23" s="64" t="str">
        <f>IF(ISERROR(VLOOKUP(V20,$K$124:$AC$141,15,FALSE)),"",VLOOKUP(V20,$K$124:$AC$141,15,FALSE))</f>
        <v/>
      </c>
      <c r="W23" s="98"/>
      <c r="X23" s="63" t="str">
        <f t="shared" ref="X23:AC23" si="51">IF(ISERROR(VLOOKUP(X20,$K$124:$AC$141,15,FALSE)),"",VLOOKUP(X20,$K$124:$AC$141,15,FALSE))</f>
        <v/>
      </c>
      <c r="Y23" s="63" t="str">
        <f t="shared" si="51"/>
        <v/>
      </c>
      <c r="Z23" s="63" t="str">
        <f t="shared" si="51"/>
        <v/>
      </c>
      <c r="AA23" s="63" t="str">
        <f t="shared" si="51"/>
        <v/>
      </c>
      <c r="AB23" s="63" t="str">
        <f t="shared" si="51"/>
        <v/>
      </c>
      <c r="AC23" s="64" t="str">
        <f t="shared" si="51"/>
        <v/>
      </c>
      <c r="AD23" s="129"/>
      <c r="AE23" s="129"/>
      <c r="AF23" s="130"/>
      <c r="AG23" s="42"/>
    </row>
    <row r="24" spans="1:33" s="30" customFormat="1" ht="18" hidden="1" customHeight="1" collapsed="1">
      <c r="A24" s="68"/>
      <c r="B24" s="68"/>
      <c r="C24" s="68"/>
      <c r="D24" s="68"/>
      <c r="E24" s="68"/>
      <c r="F24" s="68"/>
      <c r="G24" s="68"/>
      <c r="H24" s="68"/>
      <c r="I24" s="68"/>
      <c r="J24" s="69"/>
      <c r="K24" s="69"/>
      <c r="L24" s="69"/>
      <c r="M24" s="69"/>
      <c r="N24" s="186" t="s">
        <v>29</v>
      </c>
      <c r="O24" s="186"/>
      <c r="P24" s="186"/>
      <c r="Q24" s="186"/>
      <c r="R24" s="186"/>
      <c r="S24" s="186"/>
      <c r="T24" s="68"/>
      <c r="U24" s="68"/>
      <c r="V24" s="68"/>
      <c r="W24" s="68"/>
      <c r="X24" s="70"/>
      <c r="Y24" s="70"/>
      <c r="Z24" s="68"/>
      <c r="AA24" s="68"/>
      <c r="AB24" s="68"/>
      <c r="AC24" s="70"/>
      <c r="AD24" s="68"/>
      <c r="AE24" s="68"/>
      <c r="AF24" s="68"/>
      <c r="AG24" s="11"/>
    </row>
    <row r="25" spans="1:33" ht="24.6" hidden="1" outlineLevel="1">
      <c r="A25" s="131">
        <f>A17+28</f>
        <v>46082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61"/>
      <c r="AG25" s="40"/>
    </row>
    <row r="26" spans="1:33" ht="15" hidden="1" outlineLevel="1">
      <c r="A26" s="135"/>
      <c r="B26" s="87">
        <f>A25</f>
        <v>46082</v>
      </c>
      <c r="C26" s="84">
        <f t="shared" ref="C26:C27" si="52">B26+1</f>
        <v>46083</v>
      </c>
      <c r="D26" s="84">
        <f t="shared" ref="D26:D27" si="53">C26+1</f>
        <v>46084</v>
      </c>
      <c r="E26" s="84">
        <f t="shared" ref="E26:E27" si="54">D26+1</f>
        <v>46085</v>
      </c>
      <c r="F26" s="84">
        <f t="shared" ref="F26:F27" si="55">E26+1</f>
        <v>46086</v>
      </c>
      <c r="G26" s="84">
        <f t="shared" ref="G26:G27" si="56">F26+1</f>
        <v>46087</v>
      </c>
      <c r="H26" s="86">
        <f t="shared" ref="H26:H27" si="57">G26+1</f>
        <v>46088</v>
      </c>
      <c r="I26" s="87">
        <f t="shared" ref="I26:I27" si="58">H26+1</f>
        <v>46089</v>
      </c>
      <c r="J26" s="84">
        <f t="shared" ref="J26:J27" si="59">I26+1</f>
        <v>46090</v>
      </c>
      <c r="K26" s="84">
        <f t="shared" ref="K26:K27" si="60">J26+1</f>
        <v>46091</v>
      </c>
      <c r="L26" s="84">
        <f t="shared" ref="L26:L27" si="61">K26+1</f>
        <v>46092</v>
      </c>
      <c r="M26" s="84">
        <f t="shared" ref="M26:M27" si="62">L26+1</f>
        <v>46093</v>
      </c>
      <c r="N26" s="84">
        <f t="shared" ref="N26:N27" si="63">M26+1</f>
        <v>46094</v>
      </c>
      <c r="O26" s="86">
        <f t="shared" ref="O26:O27" si="64">N26+1</f>
        <v>46095</v>
      </c>
      <c r="P26" s="87">
        <f t="shared" ref="P26:P27" si="65">O26+1</f>
        <v>46096</v>
      </c>
      <c r="Q26" s="84">
        <f t="shared" ref="Q26:Q27" si="66">P26+1</f>
        <v>46097</v>
      </c>
      <c r="R26" s="84">
        <f t="shared" ref="R26:R27" si="67">Q26+1</f>
        <v>46098</v>
      </c>
      <c r="S26" s="84">
        <f t="shared" ref="S26:S27" si="68">R26+1</f>
        <v>46099</v>
      </c>
      <c r="T26" s="84">
        <f t="shared" ref="T26:T27" si="69">S26+1</f>
        <v>46100</v>
      </c>
      <c r="U26" s="84">
        <f t="shared" ref="U26:U27" si="70">T26+1</f>
        <v>46101</v>
      </c>
      <c r="V26" s="86">
        <f t="shared" ref="V26:V27" si="71">U26+1</f>
        <v>46102</v>
      </c>
      <c r="W26" s="87">
        <f t="shared" ref="W26:W27" si="72">V26+1</f>
        <v>46103</v>
      </c>
      <c r="X26" s="84">
        <f t="shared" ref="X26:X27" si="73">W26+1</f>
        <v>46104</v>
      </c>
      <c r="Y26" s="84">
        <f t="shared" ref="Y26:Y27" si="74">X26+1</f>
        <v>46105</v>
      </c>
      <c r="Z26" s="84">
        <f t="shared" ref="Z26:Z27" si="75">Y26+1</f>
        <v>46106</v>
      </c>
      <c r="AA26" s="84">
        <f t="shared" ref="AA26:AA27" si="76">Z26+1</f>
        <v>46107</v>
      </c>
      <c r="AB26" s="84">
        <f t="shared" ref="AB26:AB27" si="77">AA26+1</f>
        <v>46108</v>
      </c>
      <c r="AC26" s="86">
        <f t="shared" ref="AC26:AC27" si="78">AB26+1</f>
        <v>46109</v>
      </c>
      <c r="AD26" s="87">
        <f t="shared" ref="AD26:AD27" si="79">AC26+1</f>
        <v>46110</v>
      </c>
      <c r="AE26" s="84">
        <f t="shared" ref="AE26:AE27" si="80">AD26+1</f>
        <v>46111</v>
      </c>
      <c r="AF26" s="84">
        <f t="shared" ref="AF26:AF27" si="81">AE26+1</f>
        <v>46112</v>
      </c>
      <c r="AG26" s="41"/>
    </row>
    <row r="27" spans="1:33" ht="15.6" hidden="1" outlineLevel="1">
      <c r="A27" s="136"/>
      <c r="B27" s="89">
        <f>A25</f>
        <v>46082</v>
      </c>
      <c r="C27" s="85">
        <f t="shared" si="52"/>
        <v>46083</v>
      </c>
      <c r="D27" s="85">
        <f t="shared" si="53"/>
        <v>46084</v>
      </c>
      <c r="E27" s="85">
        <f t="shared" si="54"/>
        <v>46085</v>
      </c>
      <c r="F27" s="85">
        <f t="shared" si="55"/>
        <v>46086</v>
      </c>
      <c r="G27" s="85">
        <f t="shared" si="56"/>
        <v>46087</v>
      </c>
      <c r="H27" s="88">
        <f t="shared" si="57"/>
        <v>46088</v>
      </c>
      <c r="I27" s="89">
        <f t="shared" si="58"/>
        <v>46089</v>
      </c>
      <c r="J27" s="85">
        <f t="shared" si="59"/>
        <v>46090</v>
      </c>
      <c r="K27" s="85">
        <f t="shared" si="60"/>
        <v>46091</v>
      </c>
      <c r="L27" s="85">
        <f t="shared" si="61"/>
        <v>46092</v>
      </c>
      <c r="M27" s="85">
        <f t="shared" si="62"/>
        <v>46093</v>
      </c>
      <c r="N27" s="85">
        <f t="shared" si="63"/>
        <v>46094</v>
      </c>
      <c r="O27" s="88">
        <f t="shared" si="64"/>
        <v>46095</v>
      </c>
      <c r="P27" s="89">
        <f t="shared" si="65"/>
        <v>46096</v>
      </c>
      <c r="Q27" s="85">
        <f t="shared" si="66"/>
        <v>46097</v>
      </c>
      <c r="R27" s="85">
        <f t="shared" si="67"/>
        <v>46098</v>
      </c>
      <c r="S27" s="85">
        <f t="shared" si="68"/>
        <v>46099</v>
      </c>
      <c r="T27" s="85">
        <f t="shared" si="69"/>
        <v>46100</v>
      </c>
      <c r="U27" s="85">
        <f t="shared" si="70"/>
        <v>46101</v>
      </c>
      <c r="V27" s="88">
        <f t="shared" si="71"/>
        <v>46102</v>
      </c>
      <c r="W27" s="89">
        <f t="shared" si="72"/>
        <v>46103</v>
      </c>
      <c r="X27" s="85">
        <f t="shared" si="73"/>
        <v>46104</v>
      </c>
      <c r="Y27" s="85">
        <f t="shared" si="74"/>
        <v>46105</v>
      </c>
      <c r="Z27" s="85">
        <f t="shared" si="75"/>
        <v>46106</v>
      </c>
      <c r="AA27" s="85">
        <f t="shared" si="76"/>
        <v>46107</v>
      </c>
      <c r="AB27" s="85">
        <f t="shared" si="77"/>
        <v>46108</v>
      </c>
      <c r="AC27" s="88">
        <f t="shared" si="78"/>
        <v>46109</v>
      </c>
      <c r="AD27" s="89">
        <f t="shared" si="79"/>
        <v>46110</v>
      </c>
      <c r="AE27" s="85">
        <f t="shared" si="80"/>
        <v>46111</v>
      </c>
      <c r="AF27" s="85">
        <f t="shared" si="81"/>
        <v>46112</v>
      </c>
      <c r="AG27" s="41"/>
    </row>
    <row r="28" spans="1:33" ht="18.75" hidden="1" customHeight="1" outlineLevel="1">
      <c r="A28" s="137" t="s">
        <v>25</v>
      </c>
      <c r="B28" s="123"/>
      <c r="C28" s="119"/>
      <c r="D28" s="119"/>
      <c r="E28" s="119"/>
      <c r="F28" s="119"/>
      <c r="G28" s="119"/>
      <c r="H28" s="121"/>
      <c r="I28" s="123"/>
      <c r="J28" s="119"/>
      <c r="K28" s="119"/>
      <c r="L28" s="119"/>
      <c r="M28" s="119"/>
      <c r="N28" s="119"/>
      <c r="O28" s="121"/>
      <c r="P28" s="123"/>
      <c r="Q28" s="119"/>
      <c r="R28" s="119"/>
      <c r="S28" s="119"/>
      <c r="T28" s="119"/>
      <c r="U28" s="119"/>
      <c r="V28" s="121"/>
      <c r="W28" s="123"/>
      <c r="X28" s="119"/>
      <c r="Y28" s="119"/>
      <c r="Z28" s="133"/>
      <c r="AA28" s="119"/>
      <c r="AB28" s="119"/>
      <c r="AC28" s="121"/>
      <c r="AD28" s="123"/>
      <c r="AE28" s="119"/>
      <c r="AF28" s="119"/>
      <c r="AG28" s="41"/>
    </row>
    <row r="29" spans="1:33" ht="18.75" hidden="1" customHeight="1" outlineLevel="1">
      <c r="A29" s="138"/>
      <c r="B29" s="124"/>
      <c r="C29" s="120"/>
      <c r="D29" s="120"/>
      <c r="E29" s="120"/>
      <c r="F29" s="120"/>
      <c r="G29" s="120"/>
      <c r="H29" s="122"/>
      <c r="I29" s="124"/>
      <c r="J29" s="120"/>
      <c r="K29" s="120"/>
      <c r="L29" s="120"/>
      <c r="M29" s="120"/>
      <c r="N29" s="120"/>
      <c r="O29" s="122"/>
      <c r="P29" s="124"/>
      <c r="Q29" s="120"/>
      <c r="R29" s="120"/>
      <c r="S29" s="120"/>
      <c r="T29" s="120"/>
      <c r="U29" s="120"/>
      <c r="V29" s="122"/>
      <c r="W29" s="124"/>
      <c r="X29" s="120"/>
      <c r="Y29" s="120"/>
      <c r="Z29" s="134"/>
      <c r="AA29" s="120"/>
      <c r="AB29" s="120"/>
      <c r="AC29" s="122"/>
      <c r="AD29" s="124"/>
      <c r="AE29" s="120"/>
      <c r="AF29" s="120"/>
      <c r="AG29" s="41"/>
    </row>
    <row r="30" spans="1:33" ht="16.5" hidden="1" customHeight="1" outlineLevel="1">
      <c r="A30" s="59" t="s">
        <v>26</v>
      </c>
      <c r="B30" s="96"/>
      <c r="C30" s="60" t="str">
        <f t="shared" ref="C30:H30" si="82">IF(ISERROR(VLOOKUP(C28,$K$124:$AC$141,12,FALSE)),"",VLOOKUP(C28,$K$124:$AC$141,12,FALSE))</f>
        <v/>
      </c>
      <c r="D30" s="60" t="str">
        <f t="shared" si="82"/>
        <v/>
      </c>
      <c r="E30" s="60" t="str">
        <f t="shared" si="82"/>
        <v/>
      </c>
      <c r="F30" s="60" t="str">
        <f t="shared" si="82"/>
        <v/>
      </c>
      <c r="G30" s="60" t="str">
        <f t="shared" si="82"/>
        <v/>
      </c>
      <c r="H30" s="61" t="str">
        <f t="shared" si="82"/>
        <v/>
      </c>
      <c r="I30" s="96"/>
      <c r="J30" s="60" t="str">
        <f t="shared" ref="J30:O30" si="83">IF(ISERROR(VLOOKUP(J28,$K$124:$AC$141,12,FALSE)),"",VLOOKUP(J28,$K$124:$AC$141,12,FALSE))</f>
        <v/>
      </c>
      <c r="K30" s="60" t="str">
        <f t="shared" si="83"/>
        <v/>
      </c>
      <c r="L30" s="60" t="str">
        <f t="shared" si="83"/>
        <v/>
      </c>
      <c r="M30" s="60" t="str">
        <f t="shared" si="83"/>
        <v/>
      </c>
      <c r="N30" s="60" t="str">
        <f t="shared" si="83"/>
        <v/>
      </c>
      <c r="O30" s="61" t="str">
        <f t="shared" si="83"/>
        <v/>
      </c>
      <c r="P30" s="96"/>
      <c r="Q30" s="60" t="str">
        <f t="shared" ref="Q30:V30" si="84">IF(ISERROR(VLOOKUP(Q28,$K$124:$AC$141,12,FALSE)),"",VLOOKUP(Q28,$K$124:$AC$141,12,FALSE))</f>
        <v/>
      </c>
      <c r="R30" s="60" t="str">
        <f t="shared" si="84"/>
        <v/>
      </c>
      <c r="S30" s="60" t="str">
        <f t="shared" si="84"/>
        <v/>
      </c>
      <c r="T30" s="60" t="str">
        <f t="shared" si="84"/>
        <v/>
      </c>
      <c r="U30" s="60" t="str">
        <f t="shared" si="84"/>
        <v/>
      </c>
      <c r="V30" s="61" t="str">
        <f t="shared" si="84"/>
        <v/>
      </c>
      <c r="W30" s="96"/>
      <c r="X30" s="60" t="str">
        <f>IF(ISERROR(VLOOKUP(X28,$K$124:$AC$141,12,FALSE)),"",VLOOKUP(X28,$K$124:$AC$141,12,FALSE))</f>
        <v/>
      </c>
      <c r="Y30" s="60" t="str">
        <f>IF(ISERROR(VLOOKUP(Y28,$K$124:$AC$141,12,FALSE)),"",VLOOKUP(Y28,$K$124:$AC$141,12,FALSE))</f>
        <v/>
      </c>
      <c r="Z30" s="95"/>
      <c r="AA30" s="60" t="str">
        <f>IF(ISERROR(VLOOKUP(AA28,$K$124:$AC$141,12,FALSE)),"",VLOOKUP(AA28,$K$124:$AC$141,12,FALSE))</f>
        <v/>
      </c>
      <c r="AB30" s="60" t="str">
        <f>IF(ISERROR(VLOOKUP(AB28,$K$124:$AC$141,12,FALSE)),"",VLOOKUP(AB28,$K$124:$AC$141,12,FALSE))</f>
        <v/>
      </c>
      <c r="AC30" s="61" t="str">
        <f>IF(ISERROR(VLOOKUP(AC28,$K$124:$AC$141,12,FALSE)),"",VLOOKUP(AC28,$K$124:$AC$141,12,FALSE))</f>
        <v/>
      </c>
      <c r="AD30" s="96"/>
      <c r="AE30" s="60" t="str">
        <f>IF(ISERROR(VLOOKUP(AE28,$K$124:$AC$141,12,FALSE)),"",VLOOKUP(AE28,$K$124:$AC$141,12,FALSE))</f>
        <v/>
      </c>
      <c r="AF30" s="60" t="str">
        <f>IF(ISERROR(VLOOKUP(AF28,$K$124:$AC$141,12,FALSE)),"",VLOOKUP(AF28,$K$124:$AC$141,12,FALSE))</f>
        <v/>
      </c>
      <c r="AG30" s="41"/>
    </row>
    <row r="31" spans="1:33" ht="15.75" hidden="1" customHeight="1" outlineLevel="1">
      <c r="A31" s="67" t="s">
        <v>27</v>
      </c>
      <c r="B31" s="98"/>
      <c r="C31" s="63" t="str">
        <f t="shared" ref="C31:H31" si="85">IF(ISERROR(VLOOKUP(C28,$K$124:$AC$141,15,FALSE)),"",VLOOKUP(C28,$K$124:$AC$141,15,FALSE))</f>
        <v/>
      </c>
      <c r="D31" s="63" t="str">
        <f t="shared" si="85"/>
        <v/>
      </c>
      <c r="E31" s="63" t="str">
        <f t="shared" si="85"/>
        <v/>
      </c>
      <c r="F31" s="63" t="str">
        <f t="shared" si="85"/>
        <v/>
      </c>
      <c r="G31" s="63" t="str">
        <f t="shared" si="85"/>
        <v/>
      </c>
      <c r="H31" s="64" t="str">
        <f t="shared" si="85"/>
        <v/>
      </c>
      <c r="I31" s="98"/>
      <c r="J31" s="63" t="str">
        <f t="shared" ref="J31:O31" si="86">IF(ISERROR(VLOOKUP(J28,$K$124:$AC$141,15,FALSE)),"",VLOOKUP(J28,$K$124:$AC$141,15,FALSE))</f>
        <v/>
      </c>
      <c r="K31" s="63" t="str">
        <f t="shared" si="86"/>
        <v/>
      </c>
      <c r="L31" s="63" t="str">
        <f t="shared" si="86"/>
        <v/>
      </c>
      <c r="M31" s="63" t="str">
        <f t="shared" si="86"/>
        <v/>
      </c>
      <c r="N31" s="63" t="str">
        <f t="shared" si="86"/>
        <v/>
      </c>
      <c r="O31" s="64" t="str">
        <f t="shared" si="86"/>
        <v/>
      </c>
      <c r="P31" s="98"/>
      <c r="Q31" s="63" t="str">
        <f t="shared" ref="Q31:V31" si="87">IF(ISERROR(VLOOKUP(Q28,$K$124:$AC$141,15,FALSE)),"",VLOOKUP(Q28,$K$124:$AC$141,15,FALSE))</f>
        <v/>
      </c>
      <c r="R31" s="63" t="str">
        <f t="shared" si="87"/>
        <v/>
      </c>
      <c r="S31" s="63" t="str">
        <f t="shared" si="87"/>
        <v/>
      </c>
      <c r="T31" s="63" t="str">
        <f t="shared" si="87"/>
        <v/>
      </c>
      <c r="U31" s="63" t="str">
        <f t="shared" si="87"/>
        <v/>
      </c>
      <c r="V31" s="64" t="str">
        <f t="shared" si="87"/>
        <v/>
      </c>
      <c r="W31" s="98"/>
      <c r="X31" s="63" t="str">
        <f>IF(ISERROR(VLOOKUP(X28,$K$124:$AC$141,15,FALSE)),"",VLOOKUP(X28,$K$124:$AC$141,15,FALSE))</f>
        <v/>
      </c>
      <c r="Y31" s="63" t="str">
        <f>IF(ISERROR(VLOOKUP(Y28,$K$124:$AC$141,15,FALSE)),"",VLOOKUP(Y28,$K$124:$AC$141,15,FALSE))</f>
        <v/>
      </c>
      <c r="Z31" s="97"/>
      <c r="AA31" s="63" t="str">
        <f>IF(ISERROR(VLOOKUP(AA28,$K$124:$AC$141,15,FALSE)),"",VLOOKUP(AA28,$K$124:$AC$141,15,FALSE))</f>
        <v/>
      </c>
      <c r="AB31" s="63" t="str">
        <f>IF(ISERROR(VLOOKUP(AB28,$K$124:$AC$141,15,FALSE)),"",VLOOKUP(AB28,$K$124:$AC$141,15,FALSE))</f>
        <v/>
      </c>
      <c r="AC31" s="64" t="str">
        <f>IF(ISERROR(VLOOKUP(AC28,$K$124:$AC$141,15,FALSE)),"",VLOOKUP(AC28,$K$124:$AC$141,15,FALSE))</f>
        <v/>
      </c>
      <c r="AD31" s="98"/>
      <c r="AE31" s="63" t="str">
        <f>IF(ISERROR(VLOOKUP(AE28,$K$124:$AC$141,15,FALSE)),"",VLOOKUP(AE28,$K$124:$AC$141,15,FALSE))</f>
        <v/>
      </c>
      <c r="AF31" s="63" t="str">
        <f>IF(ISERROR(VLOOKUP(AF28,$K$124:$AC$141,15,FALSE)),"",VLOOKUP(AF28,$K$124:$AC$141,15,FALSE))</f>
        <v/>
      </c>
      <c r="AG31" s="42"/>
    </row>
    <row r="32" spans="1:33" s="30" customFormat="1" ht="18" hidden="1" customHeight="1" collapsed="1">
      <c r="A32" s="68"/>
      <c r="B32" s="105"/>
      <c r="C32" s="105"/>
      <c r="D32" s="105"/>
      <c r="E32" s="105"/>
      <c r="F32" s="105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5"/>
      <c r="AE32" s="68"/>
      <c r="AF32" s="68"/>
    </row>
    <row r="33" spans="1:33" ht="24.6" hidden="1" outlineLevel="1">
      <c r="A33" s="131">
        <f>A25+31</f>
        <v>46113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61"/>
      <c r="AF33" s="187"/>
      <c r="AG33" s="40"/>
    </row>
    <row r="34" spans="1:33" ht="15" hidden="1" outlineLevel="1">
      <c r="A34" s="135"/>
      <c r="B34" s="84">
        <f>A33</f>
        <v>46113</v>
      </c>
      <c r="C34" s="84">
        <f t="shared" ref="C34:C35" si="88">B34+1</f>
        <v>46114</v>
      </c>
      <c r="D34" s="84">
        <f t="shared" ref="D34:D35" si="89">C34+1</f>
        <v>46115</v>
      </c>
      <c r="E34" s="86">
        <f t="shared" ref="E34:E35" si="90">D34+1</f>
        <v>46116</v>
      </c>
      <c r="F34" s="87">
        <f t="shared" ref="F34:F35" si="91">E34+1</f>
        <v>46117</v>
      </c>
      <c r="G34" s="84">
        <f t="shared" ref="G34:G35" si="92">F34+1</f>
        <v>46118</v>
      </c>
      <c r="H34" s="84">
        <f t="shared" ref="H34:H35" si="93">G34+1</f>
        <v>46119</v>
      </c>
      <c r="I34" s="84">
        <f t="shared" ref="I34:I35" si="94">H34+1</f>
        <v>46120</v>
      </c>
      <c r="J34" s="84">
        <f t="shared" ref="J34:J35" si="95">I34+1</f>
        <v>46121</v>
      </c>
      <c r="K34" s="84">
        <f t="shared" ref="K34:K35" si="96">J34+1</f>
        <v>46122</v>
      </c>
      <c r="L34" s="86">
        <f t="shared" ref="L34:L35" si="97">K34+1</f>
        <v>46123</v>
      </c>
      <c r="M34" s="87">
        <f t="shared" ref="M34:M35" si="98">L34+1</f>
        <v>46124</v>
      </c>
      <c r="N34" s="84">
        <f t="shared" ref="N34:N35" si="99">M34+1</f>
        <v>46125</v>
      </c>
      <c r="O34" s="84">
        <f t="shared" ref="O34:O35" si="100">N34+1</f>
        <v>46126</v>
      </c>
      <c r="P34" s="84">
        <f t="shared" ref="P34:P35" si="101">O34+1</f>
        <v>46127</v>
      </c>
      <c r="Q34" s="84">
        <f t="shared" ref="Q34:Q35" si="102">P34+1</f>
        <v>46128</v>
      </c>
      <c r="R34" s="84">
        <f t="shared" ref="R34:R35" si="103">Q34+1</f>
        <v>46129</v>
      </c>
      <c r="S34" s="86">
        <f t="shared" ref="S34:S35" si="104">R34+1</f>
        <v>46130</v>
      </c>
      <c r="T34" s="87">
        <f t="shared" ref="T34:T35" si="105">S34+1</f>
        <v>46131</v>
      </c>
      <c r="U34" s="84">
        <f t="shared" ref="U34:U35" si="106">T34+1</f>
        <v>46132</v>
      </c>
      <c r="V34" s="84">
        <f t="shared" ref="V34:V35" si="107">U34+1</f>
        <v>46133</v>
      </c>
      <c r="W34" s="84">
        <f t="shared" ref="W34:W35" si="108">V34+1</f>
        <v>46134</v>
      </c>
      <c r="X34" s="84">
        <f t="shared" ref="X34:X35" si="109">W34+1</f>
        <v>46135</v>
      </c>
      <c r="Y34" s="84">
        <f t="shared" ref="Y34:Y35" si="110">X34+1</f>
        <v>46136</v>
      </c>
      <c r="Z34" s="86">
        <f t="shared" ref="Z34:Z35" si="111">Y34+1</f>
        <v>46137</v>
      </c>
      <c r="AA34" s="87">
        <f t="shared" ref="AA34:AA35" si="112">Z34+1</f>
        <v>46138</v>
      </c>
      <c r="AB34" s="84">
        <f t="shared" ref="AB34:AB35" si="113">AA34+1</f>
        <v>46139</v>
      </c>
      <c r="AC34" s="84">
        <f t="shared" ref="AC34:AC35" si="114">AB34+1</f>
        <v>46140</v>
      </c>
      <c r="AD34" s="84">
        <f t="shared" ref="AD34:AE35" si="115">AC34+1</f>
        <v>46141</v>
      </c>
      <c r="AE34" s="84">
        <f t="shared" si="115"/>
        <v>46142</v>
      </c>
      <c r="AF34" s="188"/>
      <c r="AG34" s="41"/>
    </row>
    <row r="35" spans="1:33" ht="15.6" hidden="1" outlineLevel="1">
      <c r="A35" s="136"/>
      <c r="B35" s="85">
        <f>A33</f>
        <v>46113</v>
      </c>
      <c r="C35" s="85">
        <f t="shared" si="88"/>
        <v>46114</v>
      </c>
      <c r="D35" s="85">
        <f t="shared" si="89"/>
        <v>46115</v>
      </c>
      <c r="E35" s="88">
        <f t="shared" si="90"/>
        <v>46116</v>
      </c>
      <c r="F35" s="89">
        <f t="shared" si="91"/>
        <v>46117</v>
      </c>
      <c r="G35" s="85">
        <f t="shared" si="92"/>
        <v>46118</v>
      </c>
      <c r="H35" s="85">
        <f t="shared" si="93"/>
        <v>46119</v>
      </c>
      <c r="I35" s="85">
        <f t="shared" si="94"/>
        <v>46120</v>
      </c>
      <c r="J35" s="85">
        <f t="shared" si="95"/>
        <v>46121</v>
      </c>
      <c r="K35" s="85">
        <f t="shared" si="96"/>
        <v>46122</v>
      </c>
      <c r="L35" s="88">
        <f t="shared" si="97"/>
        <v>46123</v>
      </c>
      <c r="M35" s="89">
        <f t="shared" si="98"/>
        <v>46124</v>
      </c>
      <c r="N35" s="85">
        <f t="shared" si="99"/>
        <v>46125</v>
      </c>
      <c r="O35" s="85">
        <f t="shared" si="100"/>
        <v>46126</v>
      </c>
      <c r="P35" s="85">
        <f t="shared" si="101"/>
        <v>46127</v>
      </c>
      <c r="Q35" s="85">
        <f t="shared" si="102"/>
        <v>46128</v>
      </c>
      <c r="R35" s="85">
        <f t="shared" si="103"/>
        <v>46129</v>
      </c>
      <c r="S35" s="88">
        <f t="shared" si="104"/>
        <v>46130</v>
      </c>
      <c r="T35" s="89">
        <f t="shared" si="105"/>
        <v>46131</v>
      </c>
      <c r="U35" s="85">
        <f t="shared" si="106"/>
        <v>46132</v>
      </c>
      <c r="V35" s="85">
        <f t="shared" si="107"/>
        <v>46133</v>
      </c>
      <c r="W35" s="85">
        <f t="shared" si="108"/>
        <v>46134</v>
      </c>
      <c r="X35" s="85">
        <f t="shared" si="109"/>
        <v>46135</v>
      </c>
      <c r="Y35" s="85">
        <f t="shared" si="110"/>
        <v>46136</v>
      </c>
      <c r="Z35" s="88">
        <f t="shared" si="111"/>
        <v>46137</v>
      </c>
      <c r="AA35" s="89">
        <f t="shared" si="112"/>
        <v>46138</v>
      </c>
      <c r="AB35" s="85">
        <f t="shared" si="113"/>
        <v>46139</v>
      </c>
      <c r="AC35" s="85">
        <f t="shared" si="114"/>
        <v>46140</v>
      </c>
      <c r="AD35" s="85">
        <f t="shared" si="115"/>
        <v>46141</v>
      </c>
      <c r="AE35" s="85">
        <f t="shared" si="115"/>
        <v>46142</v>
      </c>
      <c r="AF35" s="188"/>
      <c r="AG35" s="41"/>
    </row>
    <row r="36" spans="1:33" ht="18.75" hidden="1" customHeight="1" outlineLevel="1">
      <c r="A36" s="137" t="s">
        <v>25</v>
      </c>
      <c r="B36" s="119"/>
      <c r="C36" s="133"/>
      <c r="D36" s="133"/>
      <c r="E36" s="121"/>
      <c r="F36" s="123"/>
      <c r="G36" s="119"/>
      <c r="H36" s="119"/>
      <c r="I36" s="119"/>
      <c r="J36" s="119"/>
      <c r="K36" s="119"/>
      <c r="L36" s="121"/>
      <c r="M36" s="123"/>
      <c r="N36" s="119"/>
      <c r="O36" s="119"/>
      <c r="P36" s="119"/>
      <c r="Q36" s="119"/>
      <c r="R36" s="119"/>
      <c r="S36" s="121"/>
      <c r="T36" s="123"/>
      <c r="U36" s="119"/>
      <c r="V36" s="133"/>
      <c r="W36" s="119"/>
      <c r="X36" s="119"/>
      <c r="Y36" s="119"/>
      <c r="Z36" s="121"/>
      <c r="AA36" s="123"/>
      <c r="AB36" s="119"/>
      <c r="AC36" s="119"/>
      <c r="AD36" s="119"/>
      <c r="AE36" s="119"/>
      <c r="AF36" s="188"/>
      <c r="AG36" s="41"/>
    </row>
    <row r="37" spans="1:33" ht="18.75" hidden="1" customHeight="1" outlineLevel="1">
      <c r="A37" s="138"/>
      <c r="B37" s="120"/>
      <c r="C37" s="134"/>
      <c r="D37" s="134"/>
      <c r="E37" s="122"/>
      <c r="F37" s="124"/>
      <c r="G37" s="120"/>
      <c r="H37" s="120"/>
      <c r="I37" s="120"/>
      <c r="J37" s="120"/>
      <c r="K37" s="120"/>
      <c r="L37" s="122"/>
      <c r="M37" s="124"/>
      <c r="N37" s="120"/>
      <c r="O37" s="120"/>
      <c r="P37" s="120"/>
      <c r="Q37" s="120"/>
      <c r="R37" s="120"/>
      <c r="S37" s="122"/>
      <c r="T37" s="124"/>
      <c r="U37" s="120"/>
      <c r="V37" s="134"/>
      <c r="W37" s="120"/>
      <c r="X37" s="120"/>
      <c r="Y37" s="120"/>
      <c r="Z37" s="122"/>
      <c r="AA37" s="124"/>
      <c r="AB37" s="120"/>
      <c r="AC37" s="120"/>
      <c r="AD37" s="120"/>
      <c r="AE37" s="120"/>
      <c r="AF37" s="188"/>
      <c r="AG37" s="41"/>
    </row>
    <row r="38" spans="1:33" ht="16.5" hidden="1" customHeight="1" outlineLevel="1">
      <c r="A38" s="59" t="s">
        <v>26</v>
      </c>
      <c r="B38" s="60" t="str">
        <f>IF(ISERROR(VLOOKUP(B36,$K$124:$AC$141,12,FALSE)),"",VLOOKUP(B36,$K$124:$AC$141,12,FALSE))</f>
        <v/>
      </c>
      <c r="C38" s="95"/>
      <c r="D38" s="95"/>
      <c r="E38" s="61" t="str">
        <f>IF(ISERROR(VLOOKUP(E36,$K$124:$AC$141,12,FALSE)),"",VLOOKUP(E36,$K$124:$AC$141,12,FALSE))</f>
        <v/>
      </c>
      <c r="F38" s="96"/>
      <c r="G38" s="60" t="str">
        <f t="shared" ref="G38:L38" si="116">IF(ISERROR(VLOOKUP(G36,$K$124:$AC$141,12,FALSE)),"",VLOOKUP(G36,$K$124:$AC$141,12,FALSE))</f>
        <v/>
      </c>
      <c r="H38" s="60" t="str">
        <f t="shared" si="116"/>
        <v/>
      </c>
      <c r="I38" s="60" t="str">
        <f t="shared" si="116"/>
        <v/>
      </c>
      <c r="J38" s="60" t="str">
        <f t="shared" si="116"/>
        <v/>
      </c>
      <c r="K38" s="60" t="str">
        <f t="shared" si="116"/>
        <v/>
      </c>
      <c r="L38" s="61" t="str">
        <f t="shared" si="116"/>
        <v/>
      </c>
      <c r="M38" s="96"/>
      <c r="N38" s="60" t="str">
        <f t="shared" ref="N38:S38" si="117">IF(ISERROR(VLOOKUP(N36,$K$124:$AC$141,12,FALSE)),"",VLOOKUP(N36,$K$124:$AC$141,12,FALSE))</f>
        <v/>
      </c>
      <c r="O38" s="60" t="str">
        <f t="shared" si="117"/>
        <v/>
      </c>
      <c r="P38" s="60" t="str">
        <f t="shared" si="117"/>
        <v/>
      </c>
      <c r="Q38" s="60" t="str">
        <f t="shared" si="117"/>
        <v/>
      </c>
      <c r="R38" s="60" t="str">
        <f t="shared" si="117"/>
        <v/>
      </c>
      <c r="S38" s="61" t="str">
        <f t="shared" si="117"/>
        <v/>
      </c>
      <c r="T38" s="96"/>
      <c r="U38" s="60" t="str">
        <f>IF(ISERROR(VLOOKUP(U36,$K$124:$AC$141,12,FALSE)),"",VLOOKUP(U36,$K$124:$AC$141,12,FALSE))</f>
        <v/>
      </c>
      <c r="V38" s="95"/>
      <c r="W38" s="60" t="str">
        <f>IF(ISERROR(VLOOKUP(W36,$K$124:$AC$141,12,FALSE)),"",VLOOKUP(W36,$K$124:$AC$141,12,FALSE))</f>
        <v/>
      </c>
      <c r="X38" s="60" t="str">
        <f>IF(ISERROR(VLOOKUP(X36,$K$124:$AC$141,12,FALSE)),"",VLOOKUP(X36,$K$124:$AC$141,12,FALSE))</f>
        <v/>
      </c>
      <c r="Y38" s="60" t="str">
        <f>IF(ISERROR(VLOOKUP(Y36,$K$124:$AC$141,12,FALSE)),"",VLOOKUP(Y36,$K$124:$AC$141,12,FALSE))</f>
        <v/>
      </c>
      <c r="Z38" s="61" t="str">
        <f>IF(ISERROR(VLOOKUP(Z36,$K$124:$AC$141,12,FALSE)),"",VLOOKUP(Z36,$K$124:$AC$141,12,FALSE))</f>
        <v/>
      </c>
      <c r="AA38" s="96"/>
      <c r="AB38" s="60" t="str">
        <f>IF(ISERROR(VLOOKUP(AB36,$K$124:$AC$141,12,FALSE)),"",VLOOKUP(AB36,$K$124:$AC$141,12,FALSE))</f>
        <v/>
      </c>
      <c r="AC38" s="60" t="str">
        <f>IF(ISERROR(VLOOKUP(AC36,$K$124:$AC$141,12,FALSE)),"",VLOOKUP(AC36,$K$124:$AC$141,12,FALSE))</f>
        <v/>
      </c>
      <c r="AD38" s="60" t="str">
        <f>IF(ISERROR(VLOOKUP(AD36,$K$124:$AC$141,12,FALSE)),"",VLOOKUP(AD36,$K$124:$AC$141,12,FALSE))</f>
        <v/>
      </c>
      <c r="AE38" s="60" t="str">
        <f>IF(ISERROR(VLOOKUP(AE36,$K$124:$AC$141,12,FALSE)),"",VLOOKUP(AE36,$K$124:$AC$141,12,FALSE))</f>
        <v/>
      </c>
      <c r="AF38" s="188"/>
      <c r="AG38" s="41"/>
    </row>
    <row r="39" spans="1:33" ht="15.75" hidden="1" customHeight="1" outlineLevel="1">
      <c r="A39" s="67" t="s">
        <v>27</v>
      </c>
      <c r="B39" s="63" t="str">
        <f>IF(ISERROR(VLOOKUP(B36,$K$124:$AC$141,15,FALSE)),"",VLOOKUP(B36,$K$124:$AC$141,15,FALSE))</f>
        <v/>
      </c>
      <c r="C39" s="97"/>
      <c r="D39" s="97"/>
      <c r="E39" s="64" t="str">
        <f>IF(ISERROR(VLOOKUP(E36,$K$124:$AC$141,15,FALSE)),"",VLOOKUP(E36,$K$124:$AC$141,15,FALSE))</f>
        <v/>
      </c>
      <c r="F39" s="98"/>
      <c r="G39" s="63" t="str">
        <f t="shared" ref="G39:L39" si="118">IF(ISERROR(VLOOKUP(G36,$K$124:$AC$141,15,FALSE)),"",VLOOKUP(G36,$K$124:$AC$141,15,FALSE))</f>
        <v/>
      </c>
      <c r="H39" s="63" t="str">
        <f t="shared" si="118"/>
        <v/>
      </c>
      <c r="I39" s="63" t="str">
        <f t="shared" si="118"/>
        <v/>
      </c>
      <c r="J39" s="63" t="str">
        <f t="shared" si="118"/>
        <v/>
      </c>
      <c r="K39" s="63" t="str">
        <f t="shared" si="118"/>
        <v/>
      </c>
      <c r="L39" s="64" t="str">
        <f t="shared" si="118"/>
        <v/>
      </c>
      <c r="M39" s="98"/>
      <c r="N39" s="63" t="str">
        <f t="shared" ref="N39:S39" si="119">IF(ISERROR(VLOOKUP(N36,$K$124:$AC$141,15,FALSE)),"",VLOOKUP(N36,$K$124:$AC$141,15,FALSE))</f>
        <v/>
      </c>
      <c r="O39" s="63" t="str">
        <f t="shared" si="119"/>
        <v/>
      </c>
      <c r="P39" s="63" t="str">
        <f t="shared" si="119"/>
        <v/>
      </c>
      <c r="Q39" s="63" t="str">
        <f t="shared" si="119"/>
        <v/>
      </c>
      <c r="R39" s="63" t="str">
        <f t="shared" si="119"/>
        <v/>
      </c>
      <c r="S39" s="64" t="str">
        <f t="shared" si="119"/>
        <v/>
      </c>
      <c r="T39" s="98"/>
      <c r="U39" s="63" t="str">
        <f>IF(ISERROR(VLOOKUP(U36,$K$124:$AC$141,15,FALSE)),"",VLOOKUP(U36,$K$124:$AC$141,15,FALSE))</f>
        <v/>
      </c>
      <c r="V39" s="97"/>
      <c r="W39" s="63" t="str">
        <f>IF(ISERROR(VLOOKUP(W36,$K$124:$AC$141,15,FALSE)),"",VLOOKUP(W36,$K$124:$AC$141,15,FALSE))</f>
        <v/>
      </c>
      <c r="X39" s="63" t="str">
        <f>IF(ISERROR(VLOOKUP(X36,$K$124:$AC$141,15,FALSE)),"",VLOOKUP(X36,$K$124:$AC$141,15,FALSE))</f>
        <v/>
      </c>
      <c r="Y39" s="63" t="str">
        <f>IF(ISERROR(VLOOKUP(Y36,$K$124:$AC$141,15,FALSE)),"",VLOOKUP(Y36,$K$124:$AC$141,15,FALSE))</f>
        <v/>
      </c>
      <c r="Z39" s="64" t="str">
        <f>IF(ISERROR(VLOOKUP(Z36,$K$124:$AC$141,15,FALSE)),"",VLOOKUP(Z36,$K$124:$AC$141,15,FALSE))</f>
        <v/>
      </c>
      <c r="AA39" s="98"/>
      <c r="AB39" s="63" t="str">
        <f>IF(ISERROR(VLOOKUP(AB36,$K$124:$AC$141,15,FALSE)),"",VLOOKUP(AB36,$K$124:$AC$141,15,FALSE))</f>
        <v/>
      </c>
      <c r="AC39" s="63" t="str">
        <f>IF(ISERROR(VLOOKUP(AC36,$K$124:$AC$141,15,FALSE)),"",VLOOKUP(AC36,$K$124:$AC$141,15,FALSE))</f>
        <v/>
      </c>
      <c r="AD39" s="63" t="str">
        <f>IF(ISERROR(VLOOKUP(AD36,$K$124:$AC$141,15,FALSE)),"",VLOOKUP(AD36,$K$124:$AC$141,15,FALSE))</f>
        <v/>
      </c>
      <c r="AE39" s="63" t="str">
        <f>IF(ISERROR(VLOOKUP(AE36,$K$124:$AC$141,15,FALSE)),"",VLOOKUP(AE36,$K$124:$AC$141,15,FALSE))</f>
        <v/>
      </c>
      <c r="AF39" s="189"/>
      <c r="AG39" s="42"/>
    </row>
    <row r="40" spans="1:33" ht="18" hidden="1" customHeight="1" collapsed="1">
      <c r="A40" s="65"/>
      <c r="B40" s="65"/>
      <c r="C40" s="65"/>
      <c r="D40" s="65" t="s">
        <v>30</v>
      </c>
      <c r="E40" s="68"/>
      <c r="F40" s="65"/>
      <c r="G40" s="65"/>
      <c r="H40" s="65"/>
      <c r="I40" s="65"/>
      <c r="J40" s="65"/>
      <c r="K40" s="65"/>
      <c r="L40" s="65"/>
      <c r="M40" s="65"/>
      <c r="N40" s="65"/>
      <c r="O40" s="71"/>
      <c r="P40" s="65"/>
      <c r="Q40" s="65"/>
      <c r="R40" s="65"/>
      <c r="S40" s="65"/>
      <c r="T40" s="71"/>
      <c r="U40" s="65"/>
      <c r="V40" s="65" t="s">
        <v>31</v>
      </c>
      <c r="W40" s="65"/>
      <c r="X40" s="65"/>
      <c r="Y40" s="65"/>
      <c r="Z40" s="65"/>
      <c r="AA40" s="71"/>
      <c r="AB40" s="65"/>
      <c r="AC40" s="65"/>
      <c r="AD40" s="65"/>
      <c r="AE40" s="65"/>
      <c r="AF40" s="65"/>
    </row>
    <row r="41" spans="1:33" ht="24.6" hidden="1" outlineLevel="1">
      <c r="A41" s="131">
        <f>A33+30</f>
        <v>46143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61"/>
      <c r="AG41" s="40"/>
    </row>
    <row r="42" spans="1:33" ht="15" hidden="1" outlineLevel="1">
      <c r="A42" s="135"/>
      <c r="B42" s="84">
        <f>A41</f>
        <v>46143</v>
      </c>
      <c r="C42" s="86">
        <f t="shared" ref="C42:C43" si="120">B42+1</f>
        <v>46144</v>
      </c>
      <c r="D42" s="87">
        <f t="shared" ref="D42:D43" si="121">C42+1</f>
        <v>46145</v>
      </c>
      <c r="E42" s="84">
        <f t="shared" ref="E42:E43" si="122">D42+1</f>
        <v>46146</v>
      </c>
      <c r="F42" s="84">
        <f t="shared" ref="F42:F43" si="123">E42+1</f>
        <v>46147</v>
      </c>
      <c r="G42" s="84">
        <f t="shared" ref="G42:G43" si="124">F42+1</f>
        <v>46148</v>
      </c>
      <c r="H42" s="84">
        <f t="shared" ref="H42:H43" si="125">G42+1</f>
        <v>46149</v>
      </c>
      <c r="I42" s="84">
        <f t="shared" ref="I42:I43" si="126">H42+1</f>
        <v>46150</v>
      </c>
      <c r="J42" s="86">
        <f t="shared" ref="J42:J43" si="127">I42+1</f>
        <v>46151</v>
      </c>
      <c r="K42" s="87">
        <f t="shared" ref="K42:K43" si="128">J42+1</f>
        <v>46152</v>
      </c>
      <c r="L42" s="84">
        <f t="shared" ref="L42:L43" si="129">K42+1</f>
        <v>46153</v>
      </c>
      <c r="M42" s="84">
        <f t="shared" ref="M42:M43" si="130">L42+1</f>
        <v>46154</v>
      </c>
      <c r="N42" s="84">
        <f t="shared" ref="N42:N43" si="131">M42+1</f>
        <v>46155</v>
      </c>
      <c r="O42" s="84">
        <f t="shared" ref="O42:O43" si="132">N42+1</f>
        <v>46156</v>
      </c>
      <c r="P42" s="84">
        <f t="shared" ref="P42:P43" si="133">O42+1</f>
        <v>46157</v>
      </c>
      <c r="Q42" s="86">
        <f t="shared" ref="Q42:Q43" si="134">P42+1</f>
        <v>46158</v>
      </c>
      <c r="R42" s="87">
        <f t="shared" ref="R42:R43" si="135">Q42+1</f>
        <v>46159</v>
      </c>
      <c r="S42" s="84">
        <f t="shared" ref="S42:S43" si="136">R42+1</f>
        <v>46160</v>
      </c>
      <c r="T42" s="84">
        <f t="shared" ref="T42:T43" si="137">S42+1</f>
        <v>46161</v>
      </c>
      <c r="U42" s="84">
        <f t="shared" ref="U42:U43" si="138">T42+1</f>
        <v>46162</v>
      </c>
      <c r="V42" s="84">
        <f t="shared" ref="V42:V43" si="139">U42+1</f>
        <v>46163</v>
      </c>
      <c r="W42" s="84">
        <f t="shared" ref="W42:W43" si="140">V42+1</f>
        <v>46164</v>
      </c>
      <c r="X42" s="86">
        <f t="shared" ref="X42:X43" si="141">W42+1</f>
        <v>46165</v>
      </c>
      <c r="Y42" s="87">
        <f t="shared" ref="Y42:Y43" si="142">X42+1</f>
        <v>46166</v>
      </c>
      <c r="Z42" s="84">
        <f t="shared" ref="Z42:Z43" si="143">Y42+1</f>
        <v>46167</v>
      </c>
      <c r="AA42" s="84">
        <f t="shared" ref="AA42:AA43" si="144">Z42+1</f>
        <v>46168</v>
      </c>
      <c r="AB42" s="84">
        <f t="shared" ref="AB42:AB43" si="145">AA42+1</f>
        <v>46169</v>
      </c>
      <c r="AC42" s="84">
        <f t="shared" ref="AC42:AC43" si="146">AB42+1</f>
        <v>46170</v>
      </c>
      <c r="AD42" s="84">
        <f t="shared" ref="AD42:AD43" si="147">AC42+1</f>
        <v>46171</v>
      </c>
      <c r="AE42" s="86">
        <f t="shared" ref="AE42:AE43" si="148">AD42+1</f>
        <v>46172</v>
      </c>
      <c r="AF42" s="87">
        <f t="shared" ref="AF42:AF43" si="149">AE42+1</f>
        <v>46173</v>
      </c>
      <c r="AG42" s="41"/>
    </row>
    <row r="43" spans="1:33" ht="15.6" hidden="1" outlineLevel="1">
      <c r="A43" s="136"/>
      <c r="B43" s="85">
        <f>A41</f>
        <v>46143</v>
      </c>
      <c r="C43" s="88">
        <f t="shared" si="120"/>
        <v>46144</v>
      </c>
      <c r="D43" s="89">
        <f t="shared" si="121"/>
        <v>46145</v>
      </c>
      <c r="E43" s="85">
        <f t="shared" si="122"/>
        <v>46146</v>
      </c>
      <c r="F43" s="85">
        <f t="shared" si="123"/>
        <v>46147</v>
      </c>
      <c r="G43" s="85">
        <f t="shared" si="124"/>
        <v>46148</v>
      </c>
      <c r="H43" s="85">
        <f t="shared" si="125"/>
        <v>46149</v>
      </c>
      <c r="I43" s="85">
        <f t="shared" si="126"/>
        <v>46150</v>
      </c>
      <c r="J43" s="88">
        <f t="shared" si="127"/>
        <v>46151</v>
      </c>
      <c r="K43" s="89">
        <f t="shared" si="128"/>
        <v>46152</v>
      </c>
      <c r="L43" s="85">
        <f t="shared" si="129"/>
        <v>46153</v>
      </c>
      <c r="M43" s="85">
        <f t="shared" si="130"/>
        <v>46154</v>
      </c>
      <c r="N43" s="85">
        <f t="shared" si="131"/>
        <v>46155</v>
      </c>
      <c r="O43" s="85">
        <f t="shared" si="132"/>
        <v>46156</v>
      </c>
      <c r="P43" s="85">
        <f t="shared" si="133"/>
        <v>46157</v>
      </c>
      <c r="Q43" s="88">
        <f t="shared" si="134"/>
        <v>46158</v>
      </c>
      <c r="R43" s="89">
        <f t="shared" si="135"/>
        <v>46159</v>
      </c>
      <c r="S43" s="85">
        <f t="shared" si="136"/>
        <v>46160</v>
      </c>
      <c r="T43" s="85">
        <f t="shared" si="137"/>
        <v>46161</v>
      </c>
      <c r="U43" s="85">
        <f t="shared" si="138"/>
        <v>46162</v>
      </c>
      <c r="V43" s="85">
        <f t="shared" si="139"/>
        <v>46163</v>
      </c>
      <c r="W43" s="85">
        <f t="shared" si="140"/>
        <v>46164</v>
      </c>
      <c r="X43" s="88">
        <f t="shared" si="141"/>
        <v>46165</v>
      </c>
      <c r="Y43" s="89">
        <f t="shared" si="142"/>
        <v>46166</v>
      </c>
      <c r="Z43" s="85">
        <f t="shared" si="143"/>
        <v>46167</v>
      </c>
      <c r="AA43" s="85">
        <f t="shared" si="144"/>
        <v>46168</v>
      </c>
      <c r="AB43" s="85">
        <f t="shared" si="145"/>
        <v>46169</v>
      </c>
      <c r="AC43" s="85">
        <f t="shared" si="146"/>
        <v>46170</v>
      </c>
      <c r="AD43" s="85">
        <f t="shared" si="147"/>
        <v>46171</v>
      </c>
      <c r="AE43" s="88">
        <f t="shared" si="148"/>
        <v>46172</v>
      </c>
      <c r="AF43" s="89">
        <f t="shared" si="149"/>
        <v>46173</v>
      </c>
      <c r="AG43" s="41"/>
    </row>
    <row r="44" spans="1:33" ht="18.75" hidden="1" customHeight="1" outlineLevel="1">
      <c r="A44" s="137" t="s">
        <v>25</v>
      </c>
      <c r="B44" s="133"/>
      <c r="C44" s="121"/>
      <c r="D44" s="123"/>
      <c r="E44" s="119"/>
      <c r="F44" s="119"/>
      <c r="G44" s="119"/>
      <c r="H44" s="119"/>
      <c r="I44" s="119"/>
      <c r="J44" s="121"/>
      <c r="K44" s="123"/>
      <c r="L44" s="133"/>
      <c r="M44" s="119"/>
      <c r="N44" s="119"/>
      <c r="O44" s="119"/>
      <c r="P44" s="119"/>
      <c r="Q44" s="121"/>
      <c r="R44" s="123"/>
      <c r="S44" s="119"/>
      <c r="T44" s="119"/>
      <c r="U44" s="119"/>
      <c r="V44" s="119"/>
      <c r="W44" s="119"/>
      <c r="X44" s="121"/>
      <c r="Y44" s="123"/>
      <c r="Z44" s="119"/>
      <c r="AA44" s="119"/>
      <c r="AB44" s="119"/>
      <c r="AC44" s="119"/>
      <c r="AD44" s="119"/>
      <c r="AE44" s="121"/>
      <c r="AF44" s="123"/>
      <c r="AG44" s="41"/>
    </row>
    <row r="45" spans="1:33" ht="18.75" hidden="1" customHeight="1" outlineLevel="1">
      <c r="A45" s="138"/>
      <c r="B45" s="134"/>
      <c r="C45" s="122"/>
      <c r="D45" s="124"/>
      <c r="E45" s="120"/>
      <c r="F45" s="120"/>
      <c r="G45" s="120"/>
      <c r="H45" s="120"/>
      <c r="I45" s="120"/>
      <c r="J45" s="122"/>
      <c r="K45" s="124"/>
      <c r="L45" s="134"/>
      <c r="M45" s="120"/>
      <c r="N45" s="120"/>
      <c r="O45" s="120"/>
      <c r="P45" s="120"/>
      <c r="Q45" s="122"/>
      <c r="R45" s="124"/>
      <c r="S45" s="120"/>
      <c r="T45" s="120"/>
      <c r="U45" s="120"/>
      <c r="V45" s="120"/>
      <c r="W45" s="120"/>
      <c r="X45" s="122"/>
      <c r="Y45" s="124"/>
      <c r="Z45" s="120"/>
      <c r="AA45" s="120"/>
      <c r="AB45" s="120"/>
      <c r="AC45" s="120"/>
      <c r="AD45" s="120"/>
      <c r="AE45" s="122"/>
      <c r="AF45" s="124"/>
      <c r="AG45" s="41"/>
    </row>
    <row r="46" spans="1:33" ht="16.5" hidden="1" customHeight="1" outlineLevel="1">
      <c r="A46" s="59" t="s">
        <v>26</v>
      </c>
      <c r="B46" s="95"/>
      <c r="C46" s="61" t="str">
        <f>IF(ISERROR(VLOOKUP(C44,$K$124:$AC$141,12,FALSE)),"",VLOOKUP(C44,$K$124:$AC$141,12,FALSE))</f>
        <v/>
      </c>
      <c r="D46" s="96"/>
      <c r="E46" s="60" t="str">
        <f t="shared" ref="E46:J46" si="150">IF(ISERROR(VLOOKUP(E44,$K$124:$AC$141,12,FALSE)),"",VLOOKUP(E44,$K$124:$AC$141,12,FALSE))</f>
        <v/>
      </c>
      <c r="F46" s="60" t="str">
        <f t="shared" si="150"/>
        <v/>
      </c>
      <c r="G46" s="60" t="str">
        <f t="shared" si="150"/>
        <v/>
      </c>
      <c r="H46" s="60" t="str">
        <f t="shared" si="150"/>
        <v/>
      </c>
      <c r="I46" s="60" t="str">
        <f t="shared" si="150"/>
        <v/>
      </c>
      <c r="J46" s="61" t="str">
        <f t="shared" si="150"/>
        <v/>
      </c>
      <c r="K46" s="96"/>
      <c r="L46" s="95"/>
      <c r="M46" s="60" t="str">
        <f>IF(ISERROR(VLOOKUP(M44,$K$124:$AC$141,12,FALSE)),"",VLOOKUP(M44,$K$124:$AC$141,12,FALSE))</f>
        <v/>
      </c>
      <c r="N46" s="60" t="str">
        <f>IF(ISERROR(VLOOKUP(N44,$K$124:$AC$141,12,FALSE)),"",VLOOKUP(N44,$K$124:$AC$141,12,FALSE))</f>
        <v/>
      </c>
      <c r="O46" s="60" t="str">
        <f>IF(ISERROR(VLOOKUP(O44,$K$124:$AC$141,12,FALSE)),"",VLOOKUP(O44,$K$124:$AC$141,12,FALSE))</f>
        <v/>
      </c>
      <c r="P46" s="60" t="str">
        <f>IF(ISERROR(VLOOKUP(P44,$K$124:$AC$141,12,FALSE)),"",VLOOKUP(P44,$K$124:$AC$141,12,FALSE))</f>
        <v/>
      </c>
      <c r="Q46" s="61" t="str">
        <f>IF(ISERROR(VLOOKUP(Q44,$K$124:$AC$141,12,FALSE)),"",VLOOKUP(Q44,$K$124:$AC$141,12,FALSE))</f>
        <v/>
      </c>
      <c r="R46" s="96"/>
      <c r="S46" s="60" t="str">
        <f t="shared" ref="S46:X46" si="151">IF(ISERROR(VLOOKUP(S44,$K$124:$AC$141,12,FALSE)),"",VLOOKUP(S44,$K$124:$AC$141,12,FALSE))</f>
        <v/>
      </c>
      <c r="T46" s="60" t="str">
        <f t="shared" si="151"/>
        <v/>
      </c>
      <c r="U46" s="60" t="str">
        <f t="shared" si="151"/>
        <v/>
      </c>
      <c r="V46" s="60" t="str">
        <f t="shared" si="151"/>
        <v/>
      </c>
      <c r="W46" s="60" t="str">
        <f t="shared" si="151"/>
        <v/>
      </c>
      <c r="X46" s="61" t="str">
        <f t="shared" si="151"/>
        <v/>
      </c>
      <c r="Y46" s="96"/>
      <c r="Z46" s="60" t="str">
        <f t="shared" ref="Z46:AE46" si="152">IF(ISERROR(VLOOKUP(Z44,$K$124:$AC$141,12,FALSE)),"",VLOOKUP(Z44,$K$124:$AC$141,12,FALSE))</f>
        <v/>
      </c>
      <c r="AA46" s="60" t="str">
        <f t="shared" si="152"/>
        <v/>
      </c>
      <c r="AB46" s="60" t="str">
        <f t="shared" si="152"/>
        <v/>
      </c>
      <c r="AC46" s="60" t="str">
        <f t="shared" si="152"/>
        <v/>
      </c>
      <c r="AD46" s="60" t="str">
        <f t="shared" si="152"/>
        <v/>
      </c>
      <c r="AE46" s="61" t="str">
        <f t="shared" si="152"/>
        <v/>
      </c>
      <c r="AF46" s="96"/>
      <c r="AG46" s="41"/>
    </row>
    <row r="47" spans="1:33" ht="15.75" hidden="1" customHeight="1" outlineLevel="1">
      <c r="A47" s="67" t="s">
        <v>27</v>
      </c>
      <c r="B47" s="97"/>
      <c r="C47" s="64" t="str">
        <f>IF(ISERROR(VLOOKUP(C44,$K$124:$AC$141,15,FALSE)),"",VLOOKUP(C44,$K$124:$AC$141,15,FALSE))</f>
        <v/>
      </c>
      <c r="D47" s="98"/>
      <c r="E47" s="63" t="str">
        <f t="shared" ref="E47:J47" si="153">IF(ISERROR(VLOOKUP(E44,$K$124:$AC$141,15,FALSE)),"",VLOOKUP(E44,$K$124:$AC$141,15,FALSE))</f>
        <v/>
      </c>
      <c r="F47" s="63" t="str">
        <f t="shared" si="153"/>
        <v/>
      </c>
      <c r="G47" s="63" t="str">
        <f t="shared" si="153"/>
        <v/>
      </c>
      <c r="H47" s="63" t="str">
        <f t="shared" si="153"/>
        <v/>
      </c>
      <c r="I47" s="63" t="str">
        <f t="shared" si="153"/>
        <v/>
      </c>
      <c r="J47" s="64" t="str">
        <f t="shared" si="153"/>
        <v/>
      </c>
      <c r="K47" s="98"/>
      <c r="L47" s="97"/>
      <c r="M47" s="63" t="str">
        <f>IF(ISERROR(VLOOKUP(M44,$K$124:$AC$141,15,FALSE)),"",VLOOKUP(M44,$K$124:$AC$141,15,FALSE))</f>
        <v/>
      </c>
      <c r="N47" s="63" t="str">
        <f>IF(ISERROR(VLOOKUP(N44,$K$124:$AC$141,15,FALSE)),"",VLOOKUP(N44,$K$124:$AC$141,15,FALSE))</f>
        <v/>
      </c>
      <c r="O47" s="63" t="str">
        <f>IF(ISERROR(VLOOKUP(O44,$K$124:$AC$141,15,FALSE)),"",VLOOKUP(O44,$K$124:$AC$141,15,FALSE))</f>
        <v/>
      </c>
      <c r="P47" s="63" t="str">
        <f>IF(ISERROR(VLOOKUP(P44,$K$124:$AC$141,15,FALSE)),"",VLOOKUP(P44,$K$124:$AC$141,15,FALSE))</f>
        <v/>
      </c>
      <c r="Q47" s="64" t="str">
        <f>IF(ISERROR(VLOOKUP(Q44,$K$124:$AC$141,15,FALSE)),"",VLOOKUP(Q44,$K$124:$AC$141,15,FALSE))</f>
        <v/>
      </c>
      <c r="R47" s="98"/>
      <c r="S47" s="63" t="str">
        <f t="shared" ref="S47:X47" si="154">IF(ISERROR(VLOOKUP(S44,$K$124:$AC$141,15,FALSE)),"",VLOOKUP(S44,$K$124:$AC$141,15,FALSE))</f>
        <v/>
      </c>
      <c r="T47" s="63" t="str">
        <f t="shared" si="154"/>
        <v/>
      </c>
      <c r="U47" s="63" t="str">
        <f t="shared" si="154"/>
        <v/>
      </c>
      <c r="V47" s="63" t="str">
        <f t="shared" si="154"/>
        <v/>
      </c>
      <c r="W47" s="63" t="str">
        <f t="shared" si="154"/>
        <v/>
      </c>
      <c r="X47" s="64" t="str">
        <f t="shared" si="154"/>
        <v/>
      </c>
      <c r="Y47" s="98"/>
      <c r="Z47" s="63" t="str">
        <f t="shared" ref="Z47:AE47" si="155">IF(ISERROR(VLOOKUP(Z44,$K$124:$AC$141,15,FALSE)),"",VLOOKUP(Z44,$K$124:$AC$141,15,FALSE))</f>
        <v/>
      </c>
      <c r="AA47" s="63" t="str">
        <f t="shared" si="155"/>
        <v/>
      </c>
      <c r="AB47" s="63" t="str">
        <f t="shared" si="155"/>
        <v/>
      </c>
      <c r="AC47" s="63" t="str">
        <f t="shared" si="155"/>
        <v/>
      </c>
      <c r="AD47" s="63" t="str">
        <f t="shared" si="155"/>
        <v/>
      </c>
      <c r="AE47" s="64" t="str">
        <f t="shared" si="155"/>
        <v/>
      </c>
      <c r="AF47" s="98"/>
      <c r="AG47" s="42"/>
    </row>
    <row r="48" spans="1:33" s="30" customFormat="1" ht="18" hidden="1" customHeight="1" collapsed="1">
      <c r="A48" s="68"/>
      <c r="B48" s="68" t="s">
        <v>32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70"/>
      <c r="T48" s="70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72"/>
      <c r="AF48" s="68"/>
      <c r="AG48" s="28"/>
    </row>
    <row r="49" spans="1:90" ht="24.6" hidden="1" outlineLevel="1">
      <c r="A49" s="131">
        <f>A41+31</f>
        <v>46174</v>
      </c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87"/>
      <c r="AG49" s="40"/>
    </row>
    <row r="50" spans="1:90" ht="15" hidden="1" outlineLevel="1">
      <c r="A50" s="135"/>
      <c r="B50" s="84">
        <f>A49</f>
        <v>46174</v>
      </c>
      <c r="C50" s="84">
        <f t="shared" ref="C50:C51" si="156">B50+1</f>
        <v>46175</v>
      </c>
      <c r="D50" s="84">
        <f t="shared" ref="D50:D51" si="157">C50+1</f>
        <v>46176</v>
      </c>
      <c r="E50" s="84">
        <f t="shared" ref="E50:E51" si="158">D50+1</f>
        <v>46177</v>
      </c>
      <c r="F50" s="84">
        <f t="shared" ref="F50:F51" si="159">E50+1</f>
        <v>46178</v>
      </c>
      <c r="G50" s="86">
        <f t="shared" ref="G50:G51" si="160">F50+1</f>
        <v>46179</v>
      </c>
      <c r="H50" s="87">
        <f t="shared" ref="H50:H51" si="161">G50+1</f>
        <v>46180</v>
      </c>
      <c r="I50" s="84">
        <f t="shared" ref="I50:I51" si="162">H50+1</f>
        <v>46181</v>
      </c>
      <c r="J50" s="84">
        <f t="shared" ref="J50:J51" si="163">I50+1</f>
        <v>46182</v>
      </c>
      <c r="K50" s="84">
        <f t="shared" ref="K50:K51" si="164">J50+1</f>
        <v>46183</v>
      </c>
      <c r="L50" s="84">
        <f t="shared" ref="L50:L51" si="165">K50+1</f>
        <v>46184</v>
      </c>
      <c r="M50" s="84">
        <f t="shared" ref="M50:M51" si="166">L50+1</f>
        <v>46185</v>
      </c>
      <c r="N50" s="86">
        <f t="shared" ref="N50:N51" si="167">M50+1</f>
        <v>46186</v>
      </c>
      <c r="O50" s="87">
        <f t="shared" ref="O50:O51" si="168">N50+1</f>
        <v>46187</v>
      </c>
      <c r="P50" s="84">
        <f t="shared" ref="P50:P51" si="169">O50+1</f>
        <v>46188</v>
      </c>
      <c r="Q50" s="84">
        <f t="shared" ref="Q50:Q51" si="170">P50+1</f>
        <v>46189</v>
      </c>
      <c r="R50" s="84">
        <f t="shared" ref="R50:R51" si="171">Q50+1</f>
        <v>46190</v>
      </c>
      <c r="S50" s="84">
        <f t="shared" ref="S50:T51" si="172">R50+1</f>
        <v>46191</v>
      </c>
      <c r="T50" s="84">
        <f t="shared" si="172"/>
        <v>46192</v>
      </c>
      <c r="U50" s="86">
        <f t="shared" ref="U50:U51" si="173">T50+1</f>
        <v>46193</v>
      </c>
      <c r="V50" s="87">
        <f t="shared" ref="V50:V51" si="174">U50+1</f>
        <v>46194</v>
      </c>
      <c r="W50" s="84">
        <f t="shared" ref="W50:W51" si="175">V50+1</f>
        <v>46195</v>
      </c>
      <c r="X50" s="84">
        <f t="shared" ref="X50:X51" si="176">W50+1</f>
        <v>46196</v>
      </c>
      <c r="Y50" s="84">
        <f t="shared" ref="Y50:Y51" si="177">X50+1</f>
        <v>46197</v>
      </c>
      <c r="Z50" s="84">
        <f t="shared" ref="Z50:Z51" si="178">Y50+1</f>
        <v>46198</v>
      </c>
      <c r="AA50" s="84">
        <f t="shared" ref="AA50:AA51" si="179">Z50+1</f>
        <v>46199</v>
      </c>
      <c r="AB50" s="86">
        <f t="shared" ref="AB50:AB51" si="180">AA50+1</f>
        <v>46200</v>
      </c>
      <c r="AC50" s="87">
        <f t="shared" ref="AC50:AC51" si="181">AB50+1</f>
        <v>46201</v>
      </c>
      <c r="AD50" s="84">
        <f t="shared" ref="AD50:AD51" si="182">AC50+1</f>
        <v>46202</v>
      </c>
      <c r="AE50" s="84">
        <f t="shared" ref="AE50:AE51" si="183">AD50+1</f>
        <v>46203</v>
      </c>
      <c r="AF50" s="188"/>
      <c r="AG50" s="41"/>
    </row>
    <row r="51" spans="1:90" ht="15.6" hidden="1" outlineLevel="1">
      <c r="A51" s="136"/>
      <c r="B51" s="85">
        <f>A49</f>
        <v>46174</v>
      </c>
      <c r="C51" s="85">
        <f t="shared" si="156"/>
        <v>46175</v>
      </c>
      <c r="D51" s="85">
        <f t="shared" si="157"/>
        <v>46176</v>
      </c>
      <c r="E51" s="85">
        <f t="shared" si="158"/>
        <v>46177</v>
      </c>
      <c r="F51" s="85">
        <f t="shared" si="159"/>
        <v>46178</v>
      </c>
      <c r="G51" s="88">
        <f t="shared" si="160"/>
        <v>46179</v>
      </c>
      <c r="H51" s="89">
        <f t="shared" si="161"/>
        <v>46180</v>
      </c>
      <c r="I51" s="85">
        <f t="shared" si="162"/>
        <v>46181</v>
      </c>
      <c r="J51" s="85">
        <f t="shared" si="163"/>
        <v>46182</v>
      </c>
      <c r="K51" s="85">
        <f t="shared" si="164"/>
        <v>46183</v>
      </c>
      <c r="L51" s="85">
        <f t="shared" si="165"/>
        <v>46184</v>
      </c>
      <c r="M51" s="85">
        <f t="shared" si="166"/>
        <v>46185</v>
      </c>
      <c r="N51" s="88">
        <f t="shared" si="167"/>
        <v>46186</v>
      </c>
      <c r="O51" s="89">
        <f t="shared" si="168"/>
        <v>46187</v>
      </c>
      <c r="P51" s="85">
        <f t="shared" si="169"/>
        <v>46188</v>
      </c>
      <c r="Q51" s="85">
        <f t="shared" si="170"/>
        <v>46189</v>
      </c>
      <c r="R51" s="85">
        <f t="shared" si="171"/>
        <v>46190</v>
      </c>
      <c r="S51" s="85">
        <f t="shared" si="172"/>
        <v>46191</v>
      </c>
      <c r="T51" s="85">
        <f t="shared" si="172"/>
        <v>46192</v>
      </c>
      <c r="U51" s="88">
        <f t="shared" si="173"/>
        <v>46193</v>
      </c>
      <c r="V51" s="89">
        <f t="shared" si="174"/>
        <v>46194</v>
      </c>
      <c r="W51" s="85">
        <f t="shared" si="175"/>
        <v>46195</v>
      </c>
      <c r="X51" s="85">
        <f t="shared" si="176"/>
        <v>46196</v>
      </c>
      <c r="Y51" s="85">
        <f t="shared" si="177"/>
        <v>46197</v>
      </c>
      <c r="Z51" s="85">
        <f t="shared" si="178"/>
        <v>46198</v>
      </c>
      <c r="AA51" s="85">
        <f t="shared" si="179"/>
        <v>46199</v>
      </c>
      <c r="AB51" s="88">
        <f t="shared" si="180"/>
        <v>46200</v>
      </c>
      <c r="AC51" s="89">
        <f t="shared" si="181"/>
        <v>46201</v>
      </c>
      <c r="AD51" s="85">
        <f t="shared" si="182"/>
        <v>46202</v>
      </c>
      <c r="AE51" s="85">
        <f t="shared" si="183"/>
        <v>46203</v>
      </c>
      <c r="AF51" s="188"/>
      <c r="AG51" s="41"/>
    </row>
    <row r="52" spans="1:90" ht="18.75" hidden="1" customHeight="1" outlineLevel="1">
      <c r="A52" s="137" t="s">
        <v>25</v>
      </c>
      <c r="B52" s="119"/>
      <c r="C52" s="119"/>
      <c r="D52" s="119"/>
      <c r="E52" s="133"/>
      <c r="F52" s="119"/>
      <c r="G52" s="121"/>
      <c r="H52" s="123"/>
      <c r="I52" s="119"/>
      <c r="J52" s="119"/>
      <c r="K52" s="119"/>
      <c r="L52" s="119"/>
      <c r="M52" s="119"/>
      <c r="N52" s="133"/>
      <c r="O52" s="123"/>
      <c r="P52" s="119"/>
      <c r="Q52" s="119"/>
      <c r="R52" s="119"/>
      <c r="S52" s="119"/>
      <c r="T52" s="119"/>
      <c r="U52" s="121"/>
      <c r="V52" s="123"/>
      <c r="W52" s="133"/>
      <c r="X52" s="133"/>
      <c r="Y52" s="133"/>
      <c r="Z52" s="119"/>
      <c r="AA52" s="119"/>
      <c r="AB52" s="121"/>
      <c r="AC52" s="123"/>
      <c r="AD52" s="119"/>
      <c r="AE52" s="119"/>
      <c r="AF52" s="188"/>
      <c r="AG52" s="41"/>
    </row>
    <row r="53" spans="1:90" ht="18.75" hidden="1" customHeight="1" outlineLevel="1">
      <c r="A53" s="138"/>
      <c r="B53" s="120"/>
      <c r="C53" s="120"/>
      <c r="D53" s="120"/>
      <c r="E53" s="134"/>
      <c r="F53" s="120"/>
      <c r="G53" s="122"/>
      <c r="H53" s="124"/>
      <c r="I53" s="120"/>
      <c r="J53" s="120"/>
      <c r="K53" s="120"/>
      <c r="L53" s="120"/>
      <c r="M53" s="120"/>
      <c r="N53" s="134"/>
      <c r="O53" s="124"/>
      <c r="P53" s="120"/>
      <c r="Q53" s="120"/>
      <c r="R53" s="120"/>
      <c r="S53" s="120"/>
      <c r="T53" s="120"/>
      <c r="U53" s="122"/>
      <c r="V53" s="124"/>
      <c r="W53" s="134"/>
      <c r="X53" s="134"/>
      <c r="Y53" s="134"/>
      <c r="Z53" s="120"/>
      <c r="AA53" s="120"/>
      <c r="AB53" s="122"/>
      <c r="AC53" s="124"/>
      <c r="AD53" s="120"/>
      <c r="AE53" s="120"/>
      <c r="AF53" s="188"/>
      <c r="AG53" s="41"/>
    </row>
    <row r="54" spans="1:90" ht="16.5" hidden="1" customHeight="1" outlineLevel="1">
      <c r="A54" s="59" t="s">
        <v>26</v>
      </c>
      <c r="B54" s="60" t="str">
        <f>IF(ISERROR(VLOOKUP(B52,$K$124:$AC$141,12,FALSE)),"",VLOOKUP(B52,$K$124:$AC$141,12,FALSE))</f>
        <v/>
      </c>
      <c r="C54" s="60" t="str">
        <f>IF(ISERROR(VLOOKUP(C52,$K$124:$AC$141,12,FALSE)),"",VLOOKUP(C52,$K$124:$AC$141,12,FALSE))</f>
        <v/>
      </c>
      <c r="D54" s="60" t="str">
        <f>IF(ISERROR(VLOOKUP(D52,$K$124:$AC$141,12,FALSE)),"",VLOOKUP(D52,$K$124:$AC$141,12,FALSE))</f>
        <v/>
      </c>
      <c r="E54" s="95"/>
      <c r="F54" s="60" t="str">
        <f>IF(ISERROR(VLOOKUP(F52,$K$124:$AC$141,12,FALSE)),"",VLOOKUP(F52,$K$124:$AC$141,12,FALSE))</f>
        <v/>
      </c>
      <c r="G54" s="61" t="str">
        <f>IF(ISERROR(VLOOKUP(G52,$K$124:$AC$141,12,FALSE)),"",VLOOKUP(G52,$K$124:$AC$141,12,FALSE))</f>
        <v/>
      </c>
      <c r="H54" s="96"/>
      <c r="I54" s="60" t="str">
        <f>IF(ISERROR(VLOOKUP(I52,$K$124:$AC$141,12,FALSE)),"",VLOOKUP(I52,$K$124:$AC$141,12,FALSE))</f>
        <v/>
      </c>
      <c r="J54" s="60" t="str">
        <f>IF(ISERROR(VLOOKUP(J52,$K$124:$AC$141,12,FALSE)),"",VLOOKUP(J52,$K$124:$AC$141,12,FALSE))</f>
        <v/>
      </c>
      <c r="K54" s="60" t="str">
        <f>IF(ISERROR(VLOOKUP(K52,$K$124:$AC$141,12,FALSE)),"",VLOOKUP(K52,$K$124:$AC$141,12,FALSE))</f>
        <v/>
      </c>
      <c r="L54" s="60" t="str">
        <f>IF(ISERROR(VLOOKUP(L52,$K$124:$AC$141,12,FALSE)),"",VLOOKUP(L52,$K$124:$AC$141,12,FALSE))</f>
        <v/>
      </c>
      <c r="M54" s="60" t="str">
        <f>IF(ISERROR(VLOOKUP(M52,$K$124:$AC$141,12,FALSE)),"",VLOOKUP(M52,$K$124:$AC$141,12,FALSE))</f>
        <v/>
      </c>
      <c r="N54" s="95"/>
      <c r="O54" s="96"/>
      <c r="P54" s="60" t="str">
        <f t="shared" ref="P54:U54" si="184">IF(ISERROR(VLOOKUP(P52,$K$124:$AC$141,12,FALSE)),"",VLOOKUP(P52,$K$124:$AC$141,12,FALSE))</f>
        <v/>
      </c>
      <c r="Q54" s="60" t="str">
        <f t="shared" si="184"/>
        <v/>
      </c>
      <c r="R54" s="60" t="str">
        <f t="shared" si="184"/>
        <v/>
      </c>
      <c r="S54" s="60" t="str">
        <f t="shared" si="184"/>
        <v/>
      </c>
      <c r="T54" s="60" t="str">
        <f t="shared" si="184"/>
        <v/>
      </c>
      <c r="U54" s="61" t="str">
        <f t="shared" si="184"/>
        <v/>
      </c>
      <c r="V54" s="96"/>
      <c r="W54" s="95"/>
      <c r="X54" s="95"/>
      <c r="Y54" s="95"/>
      <c r="Z54" s="60" t="str">
        <f>IF(ISERROR(VLOOKUP(Z52,$K$124:$AC$141,12,FALSE)),"",VLOOKUP(Z52,$K$124:$AC$141,12,FALSE))</f>
        <v/>
      </c>
      <c r="AA54" s="60" t="str">
        <f>IF(ISERROR(VLOOKUP(AA52,$K$124:$AC$141,12,FALSE)),"",VLOOKUP(AA52,$K$124:$AC$141,12,FALSE))</f>
        <v/>
      </c>
      <c r="AB54" s="61" t="str">
        <f>IF(ISERROR(VLOOKUP(AB52,$K$124:$AC$141,12,FALSE)),"",VLOOKUP(AB52,$K$124:$AC$141,12,FALSE))</f>
        <v/>
      </c>
      <c r="AC54" s="96"/>
      <c r="AD54" s="60" t="str">
        <f>IF(ISERROR(VLOOKUP(AD52,$K$124:$AC$141,12,FALSE)),"",VLOOKUP(AD52,$K$124:$AC$141,12,FALSE))</f>
        <v/>
      </c>
      <c r="AE54" s="60" t="str">
        <f>IF(ISERROR(VLOOKUP(AE52,$K$124:$AC$141,12,FALSE)),"",VLOOKUP(AE52,$K$124:$AC$141,12,FALSE))</f>
        <v/>
      </c>
      <c r="AF54" s="188"/>
      <c r="AG54" s="41"/>
    </row>
    <row r="55" spans="1:90" ht="15.75" hidden="1" customHeight="1" outlineLevel="1">
      <c r="A55" s="67" t="s">
        <v>27</v>
      </c>
      <c r="B55" s="63" t="str">
        <f>IF(ISERROR(VLOOKUP(B52,$K$124:$AC$141,15,FALSE)),"",VLOOKUP(B52,$K$124:$AC$141,15,FALSE))</f>
        <v/>
      </c>
      <c r="C55" s="63" t="str">
        <f>IF(ISERROR(VLOOKUP(C52,$K$124:$AC$141,15,FALSE)),"",VLOOKUP(C52,$K$124:$AC$141,15,FALSE))</f>
        <v/>
      </c>
      <c r="D55" s="63" t="str">
        <f>IF(ISERROR(VLOOKUP(D52,$K$124:$AC$141,15,FALSE)),"",VLOOKUP(D52,$K$124:$AC$141,15,FALSE))</f>
        <v/>
      </c>
      <c r="E55" s="97"/>
      <c r="F55" s="63" t="str">
        <f>IF(ISERROR(VLOOKUP(F52,$K$124:$AC$141,15,FALSE)),"",VLOOKUP(F52,$K$124:$AC$141,15,FALSE))</f>
        <v/>
      </c>
      <c r="G55" s="64" t="str">
        <f>IF(ISERROR(VLOOKUP(G52,$K$124:$AC$141,15,FALSE)),"",VLOOKUP(G52,$K$124:$AC$141,15,FALSE))</f>
        <v/>
      </c>
      <c r="H55" s="98"/>
      <c r="I55" s="63" t="str">
        <f>IF(ISERROR(VLOOKUP(I52,$K$124:$AC$141,15,FALSE)),"",VLOOKUP(I52,$K$124:$AC$141,15,FALSE))</f>
        <v/>
      </c>
      <c r="J55" s="63" t="str">
        <f>IF(ISERROR(VLOOKUP(J52,$K$124:$AC$141,15,FALSE)),"",VLOOKUP(J52,$K$124:$AC$141,15,FALSE))</f>
        <v/>
      </c>
      <c r="K55" s="63" t="str">
        <f>IF(ISERROR(VLOOKUP(K52,$K$124:$AC$141,15,FALSE)),"",VLOOKUP(K52,$K$124:$AC$141,15,FALSE))</f>
        <v/>
      </c>
      <c r="L55" s="63" t="str">
        <f>IF(ISERROR(VLOOKUP(L52,$K$124:$AC$141,15,FALSE)),"",VLOOKUP(L52,$K$124:$AC$141,15,FALSE))</f>
        <v/>
      </c>
      <c r="M55" s="63" t="str">
        <f>IF(ISERROR(VLOOKUP(M52,$K$124:$AC$141,15,FALSE)),"",VLOOKUP(M52,$K$124:$AC$141,15,FALSE))</f>
        <v/>
      </c>
      <c r="N55" s="97"/>
      <c r="O55" s="98"/>
      <c r="P55" s="63" t="str">
        <f t="shared" ref="P55:U55" si="185">IF(ISERROR(VLOOKUP(P52,$K$124:$AC$141,15,FALSE)),"",VLOOKUP(P52,$K$124:$AC$141,15,FALSE))</f>
        <v/>
      </c>
      <c r="Q55" s="63" t="str">
        <f t="shared" si="185"/>
        <v/>
      </c>
      <c r="R55" s="63" t="str">
        <f t="shared" si="185"/>
        <v/>
      </c>
      <c r="S55" s="63" t="str">
        <f t="shared" si="185"/>
        <v/>
      </c>
      <c r="T55" s="63" t="str">
        <f t="shared" si="185"/>
        <v/>
      </c>
      <c r="U55" s="64" t="str">
        <f t="shared" si="185"/>
        <v/>
      </c>
      <c r="V55" s="98"/>
      <c r="W55" s="97"/>
      <c r="X55" s="97"/>
      <c r="Y55" s="97"/>
      <c r="Z55" s="63" t="str">
        <f>IF(ISERROR(VLOOKUP(Z52,$K$124:$AC$141,15,FALSE)),"",VLOOKUP(Z52,$K$124:$AC$141,15,FALSE))</f>
        <v/>
      </c>
      <c r="AA55" s="63" t="str">
        <f>IF(ISERROR(VLOOKUP(AA52,$K$124:$AC$141,15,FALSE)),"",VLOOKUP(AA52,$K$124:$AC$141,15,FALSE))</f>
        <v/>
      </c>
      <c r="AB55" s="64" t="str">
        <f>IF(ISERROR(VLOOKUP(AB52,$K$124:$AC$141,15,FALSE)),"",VLOOKUP(AB52,$K$124:$AC$141,15,FALSE))</f>
        <v/>
      </c>
      <c r="AC55" s="98"/>
      <c r="AD55" s="63" t="str">
        <f>IF(ISERROR(VLOOKUP(AD52,$K$124:$AC$141,15,FALSE)),"",VLOOKUP(AD52,$K$124:$AC$141,15,FALSE))</f>
        <v/>
      </c>
      <c r="AE55" s="63" t="str">
        <f>IF(ISERROR(VLOOKUP(AE52,$K$124:$AC$141,15,FALSE)),"",VLOOKUP(AE52,$K$124:$AC$141,15,FALSE))</f>
        <v/>
      </c>
      <c r="AF55" s="189"/>
      <c r="AG55" s="42"/>
    </row>
    <row r="56" spans="1:90" s="30" customFormat="1" ht="18" hidden="1" customHeight="1" collapsed="1">
      <c r="A56" s="68"/>
      <c r="B56" s="68"/>
      <c r="C56" s="68"/>
      <c r="D56" s="68"/>
      <c r="E56" s="68" t="s">
        <v>33</v>
      </c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278" t="s">
        <v>34</v>
      </c>
      <c r="Y56" s="278"/>
      <c r="Z56" s="278"/>
      <c r="AA56" s="68"/>
      <c r="AB56" s="68"/>
      <c r="AC56" s="68"/>
      <c r="AD56" s="68"/>
      <c r="AE56" s="68"/>
      <c r="AF56" s="68"/>
      <c r="AG56" s="11"/>
    </row>
    <row r="57" spans="1:90" ht="24.6" hidden="1" outlineLevel="1">
      <c r="A57" s="131">
        <f>A49+30</f>
        <v>46204</v>
      </c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61"/>
      <c r="AG57" s="40"/>
    </row>
    <row r="58" spans="1:90" ht="15" hidden="1" outlineLevel="1">
      <c r="A58" s="135"/>
      <c r="B58" s="84">
        <f>A57</f>
        <v>46204</v>
      </c>
      <c r="C58" s="84">
        <f>B58+1</f>
        <v>46205</v>
      </c>
      <c r="D58" s="84">
        <f>C58+1</f>
        <v>46206</v>
      </c>
      <c r="E58" s="86">
        <f t="shared" ref="E58:E59" si="186">D58+1</f>
        <v>46207</v>
      </c>
      <c r="F58" s="87">
        <f t="shared" ref="F58:F59" si="187">E58+1</f>
        <v>46208</v>
      </c>
      <c r="G58" s="84">
        <f t="shared" ref="G58:AD59" si="188">F58+1</f>
        <v>46209</v>
      </c>
      <c r="H58" s="84">
        <f t="shared" ref="H58:H59" si="189">G58+1</f>
        <v>46210</v>
      </c>
      <c r="I58" s="84">
        <f t="shared" si="188"/>
        <v>46211</v>
      </c>
      <c r="J58" s="84">
        <f t="shared" si="188"/>
        <v>46212</v>
      </c>
      <c r="K58" s="84">
        <f t="shared" si="188"/>
        <v>46213</v>
      </c>
      <c r="L58" s="86">
        <f t="shared" ref="L58:L59" si="190">K58+1</f>
        <v>46214</v>
      </c>
      <c r="M58" s="87">
        <f t="shared" ref="M58:M59" si="191">L58+1</f>
        <v>46215</v>
      </c>
      <c r="N58" s="84">
        <f t="shared" ref="N58:N59" si="192">M58+1</f>
        <v>46216</v>
      </c>
      <c r="O58" s="84">
        <f t="shared" ref="O58:O59" si="193">N58+1</f>
        <v>46217</v>
      </c>
      <c r="P58" s="84">
        <f t="shared" si="188"/>
        <v>46218</v>
      </c>
      <c r="Q58" s="84">
        <f t="shared" si="188"/>
        <v>46219</v>
      </c>
      <c r="R58" s="84">
        <f t="shared" si="188"/>
        <v>46220</v>
      </c>
      <c r="S58" s="86">
        <f t="shared" ref="S58:S59" si="194">R58+1</f>
        <v>46221</v>
      </c>
      <c r="T58" s="87">
        <f t="shared" ref="T58:T59" si="195">S58+1</f>
        <v>46222</v>
      </c>
      <c r="U58" s="84">
        <f t="shared" ref="U58:U59" si="196">T58+1</f>
        <v>46223</v>
      </c>
      <c r="V58" s="84">
        <f t="shared" ref="V58:V59" si="197">U58+1</f>
        <v>46224</v>
      </c>
      <c r="W58" s="84">
        <f t="shared" si="188"/>
        <v>46225</v>
      </c>
      <c r="X58" s="84">
        <f t="shared" si="188"/>
        <v>46226</v>
      </c>
      <c r="Y58" s="84">
        <f t="shared" si="188"/>
        <v>46227</v>
      </c>
      <c r="Z58" s="86">
        <f t="shared" ref="Z58:Z59" si="198">Y58+1</f>
        <v>46228</v>
      </c>
      <c r="AA58" s="87">
        <f t="shared" ref="AA58:AA59" si="199">Z58+1</f>
        <v>46229</v>
      </c>
      <c r="AB58" s="84">
        <f t="shared" ref="AB58:AB59" si="200">AA58+1</f>
        <v>46230</v>
      </c>
      <c r="AC58" s="84">
        <f t="shared" ref="AC58:AC59" si="201">AB58+1</f>
        <v>46231</v>
      </c>
      <c r="AD58" s="84">
        <f t="shared" si="188"/>
        <v>46232</v>
      </c>
      <c r="AE58" s="84">
        <f t="shared" ref="AE58:AF58" si="202">AD58+1</f>
        <v>46233</v>
      </c>
      <c r="AF58" s="84">
        <f t="shared" si="202"/>
        <v>46234</v>
      </c>
      <c r="AG58" s="41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</row>
    <row r="59" spans="1:90" s="30" customFormat="1" ht="15.6" hidden="1" outlineLevel="1">
      <c r="A59" s="136"/>
      <c r="B59" s="85">
        <f>A57</f>
        <v>46204</v>
      </c>
      <c r="C59" s="85">
        <f t="shared" ref="C59" si="203">B59+1</f>
        <v>46205</v>
      </c>
      <c r="D59" s="85">
        <f t="shared" ref="D59" si="204">C59+1</f>
        <v>46206</v>
      </c>
      <c r="E59" s="88">
        <f t="shared" si="186"/>
        <v>46207</v>
      </c>
      <c r="F59" s="89">
        <f t="shared" si="187"/>
        <v>46208</v>
      </c>
      <c r="G59" s="85">
        <f t="shared" si="188"/>
        <v>46209</v>
      </c>
      <c r="H59" s="85">
        <f t="shared" si="189"/>
        <v>46210</v>
      </c>
      <c r="I59" s="85">
        <f t="shared" si="188"/>
        <v>46211</v>
      </c>
      <c r="J59" s="85">
        <f t="shared" si="188"/>
        <v>46212</v>
      </c>
      <c r="K59" s="85">
        <f t="shared" si="188"/>
        <v>46213</v>
      </c>
      <c r="L59" s="88">
        <f t="shared" si="190"/>
        <v>46214</v>
      </c>
      <c r="M59" s="89">
        <f t="shared" si="191"/>
        <v>46215</v>
      </c>
      <c r="N59" s="85">
        <f t="shared" si="192"/>
        <v>46216</v>
      </c>
      <c r="O59" s="85">
        <f t="shared" si="193"/>
        <v>46217</v>
      </c>
      <c r="P59" s="85">
        <f t="shared" si="188"/>
        <v>46218</v>
      </c>
      <c r="Q59" s="85">
        <f t="shared" si="188"/>
        <v>46219</v>
      </c>
      <c r="R59" s="85">
        <f t="shared" si="188"/>
        <v>46220</v>
      </c>
      <c r="S59" s="88">
        <f t="shared" si="194"/>
        <v>46221</v>
      </c>
      <c r="T59" s="89">
        <f t="shared" si="195"/>
        <v>46222</v>
      </c>
      <c r="U59" s="85">
        <f t="shared" si="196"/>
        <v>46223</v>
      </c>
      <c r="V59" s="85">
        <f t="shared" si="197"/>
        <v>46224</v>
      </c>
      <c r="W59" s="85">
        <f t="shared" si="188"/>
        <v>46225</v>
      </c>
      <c r="X59" s="85">
        <f t="shared" si="188"/>
        <v>46226</v>
      </c>
      <c r="Y59" s="85">
        <f t="shared" si="188"/>
        <v>46227</v>
      </c>
      <c r="Z59" s="88">
        <f t="shared" si="198"/>
        <v>46228</v>
      </c>
      <c r="AA59" s="89">
        <f t="shared" si="199"/>
        <v>46229</v>
      </c>
      <c r="AB59" s="85">
        <f t="shared" si="200"/>
        <v>46230</v>
      </c>
      <c r="AC59" s="85">
        <f t="shared" si="201"/>
        <v>46231</v>
      </c>
      <c r="AD59" s="85">
        <f t="shared" si="188"/>
        <v>46232</v>
      </c>
      <c r="AE59" s="85">
        <f t="shared" ref="AE59:AF59" si="205">AD59+1</f>
        <v>46233</v>
      </c>
      <c r="AF59" s="85">
        <f t="shared" si="205"/>
        <v>46234</v>
      </c>
      <c r="AG59" s="41"/>
    </row>
    <row r="60" spans="1:90" ht="18.75" hidden="1" customHeight="1" outlineLevel="1">
      <c r="A60" s="137" t="s">
        <v>25</v>
      </c>
      <c r="B60" s="119"/>
      <c r="C60" s="133"/>
      <c r="D60" s="119"/>
      <c r="E60" s="121"/>
      <c r="F60" s="123"/>
      <c r="G60" s="119"/>
      <c r="H60" s="119"/>
      <c r="I60" s="119"/>
      <c r="J60" s="119"/>
      <c r="K60" s="119"/>
      <c r="L60" s="121"/>
      <c r="M60" s="123"/>
      <c r="N60" s="119"/>
      <c r="O60" s="119"/>
      <c r="P60" s="119"/>
      <c r="Q60" s="119"/>
      <c r="R60" s="119"/>
      <c r="S60" s="121"/>
      <c r="T60" s="123"/>
      <c r="U60" s="119"/>
      <c r="V60" s="119"/>
      <c r="W60" s="119"/>
      <c r="X60" s="119"/>
      <c r="Y60" s="119"/>
      <c r="Z60" s="121"/>
      <c r="AA60" s="123"/>
      <c r="AB60" s="119"/>
      <c r="AC60" s="119"/>
      <c r="AD60" s="119"/>
      <c r="AE60" s="119"/>
      <c r="AF60" s="119"/>
      <c r="AG60" s="41"/>
    </row>
    <row r="61" spans="1:90" ht="18.75" hidden="1" customHeight="1" outlineLevel="1">
      <c r="A61" s="138"/>
      <c r="B61" s="120"/>
      <c r="C61" s="134"/>
      <c r="D61" s="120"/>
      <c r="E61" s="122"/>
      <c r="F61" s="124"/>
      <c r="G61" s="120"/>
      <c r="H61" s="120"/>
      <c r="I61" s="120"/>
      <c r="J61" s="120"/>
      <c r="K61" s="120"/>
      <c r="L61" s="122"/>
      <c r="M61" s="124"/>
      <c r="N61" s="120"/>
      <c r="O61" s="120"/>
      <c r="P61" s="120"/>
      <c r="Q61" s="120"/>
      <c r="R61" s="120"/>
      <c r="S61" s="122"/>
      <c r="T61" s="124"/>
      <c r="U61" s="120"/>
      <c r="V61" s="120"/>
      <c r="W61" s="120"/>
      <c r="X61" s="120"/>
      <c r="Y61" s="120"/>
      <c r="Z61" s="122"/>
      <c r="AA61" s="124"/>
      <c r="AB61" s="120"/>
      <c r="AC61" s="120"/>
      <c r="AD61" s="120"/>
      <c r="AE61" s="120"/>
      <c r="AF61" s="120"/>
      <c r="AG61" s="41"/>
    </row>
    <row r="62" spans="1:90" ht="16.5" hidden="1" customHeight="1" outlineLevel="1">
      <c r="A62" s="59" t="s">
        <v>26</v>
      </c>
      <c r="B62" s="60" t="str">
        <f>IF(ISERROR(VLOOKUP(B60,$K$124:$AC$141,12,FALSE)),"",VLOOKUP(B60,$K$124:$AC$141,12,FALSE))</f>
        <v/>
      </c>
      <c r="C62" s="95"/>
      <c r="D62" s="60" t="str">
        <f>IF(ISERROR(VLOOKUP(D60,$K$124:$AC$141,12,FALSE)),"",VLOOKUP(D60,$K$124:$AC$141,12,FALSE))</f>
        <v/>
      </c>
      <c r="E62" s="61" t="str">
        <f>IF(ISERROR(VLOOKUP(E60,$K$124:$AC$141,12,FALSE)),"",VLOOKUP(E60,$K$124:$AC$141,12,FALSE))</f>
        <v/>
      </c>
      <c r="F62" s="96"/>
      <c r="G62" s="60" t="str">
        <f t="shared" ref="G62:L62" si="206">IF(ISERROR(VLOOKUP(G60,$K$124:$AC$141,12,FALSE)),"",VLOOKUP(G60,$K$124:$AC$141,12,FALSE))</f>
        <v/>
      </c>
      <c r="H62" s="60" t="str">
        <f t="shared" si="206"/>
        <v/>
      </c>
      <c r="I62" s="60" t="str">
        <f t="shared" si="206"/>
        <v/>
      </c>
      <c r="J62" s="60" t="str">
        <f t="shared" si="206"/>
        <v/>
      </c>
      <c r="K62" s="60" t="str">
        <f t="shared" si="206"/>
        <v/>
      </c>
      <c r="L62" s="61" t="str">
        <f t="shared" si="206"/>
        <v/>
      </c>
      <c r="M62" s="96"/>
      <c r="N62" s="60" t="str">
        <f t="shared" ref="N62:S62" si="207">IF(ISERROR(VLOOKUP(N60,$K$124:$AC$141,12,FALSE)),"",VLOOKUP(N60,$K$124:$AC$141,12,FALSE))</f>
        <v/>
      </c>
      <c r="O62" s="60" t="str">
        <f t="shared" si="207"/>
        <v/>
      </c>
      <c r="P62" s="60" t="str">
        <f t="shared" si="207"/>
        <v/>
      </c>
      <c r="Q62" s="60" t="str">
        <f t="shared" si="207"/>
        <v/>
      </c>
      <c r="R62" s="60" t="str">
        <f t="shared" si="207"/>
        <v/>
      </c>
      <c r="S62" s="61" t="str">
        <f t="shared" si="207"/>
        <v/>
      </c>
      <c r="T62" s="96"/>
      <c r="U62" s="60" t="str">
        <f t="shared" ref="U62:Z62" si="208">IF(ISERROR(VLOOKUP(U60,$K$124:$AC$141,12,FALSE)),"",VLOOKUP(U60,$K$124:$AC$141,12,FALSE))</f>
        <v/>
      </c>
      <c r="V62" s="60" t="str">
        <f t="shared" si="208"/>
        <v/>
      </c>
      <c r="W62" s="60" t="str">
        <f t="shared" si="208"/>
        <v/>
      </c>
      <c r="X62" s="60" t="str">
        <f t="shared" si="208"/>
        <v/>
      </c>
      <c r="Y62" s="60" t="str">
        <f t="shared" si="208"/>
        <v/>
      </c>
      <c r="Z62" s="61" t="str">
        <f t="shared" si="208"/>
        <v/>
      </c>
      <c r="AA62" s="96"/>
      <c r="AB62" s="60" t="str">
        <f>IF(ISERROR(VLOOKUP(AB60,$K$124:$AC$141,12,FALSE)),"",VLOOKUP(AB60,$K$124:$AC$141,12,FALSE))</f>
        <v/>
      </c>
      <c r="AC62" s="60" t="str">
        <f>IF(ISERROR(VLOOKUP(AC60,$K$124:$AC$141,12,FALSE)),"",VLOOKUP(AC60,$K$124:$AC$141,12,FALSE))</f>
        <v/>
      </c>
      <c r="AD62" s="60" t="str">
        <f>IF(ISERROR(VLOOKUP(AD60,$K$124:$AC$141,12,FALSE)),"",VLOOKUP(AD60,$K$124:$AC$141,12,FALSE))</f>
        <v/>
      </c>
      <c r="AE62" s="60" t="str">
        <f>IF(ISERROR(VLOOKUP(AE60,$K$124:$AC$141,12,FALSE)),"",VLOOKUP(AE60,$K$124:$AC$141,12,FALSE))</f>
        <v/>
      </c>
      <c r="AF62" s="60" t="str">
        <f>IF(ISERROR(VLOOKUP(AF60,$K$124:$AC$141,12,FALSE)),"",VLOOKUP(AF60,$K$124:$AC$141,12,FALSE))</f>
        <v/>
      </c>
      <c r="AG62" s="41"/>
    </row>
    <row r="63" spans="1:90" ht="15.75" hidden="1" customHeight="1" outlineLevel="1">
      <c r="A63" s="67" t="s">
        <v>27</v>
      </c>
      <c r="B63" s="63" t="str">
        <f>IF(ISERROR(VLOOKUP(B60,$K$124:$AC$141,15,FALSE)),"",VLOOKUP(B60,$K$124:$AC$141,15,FALSE))</f>
        <v/>
      </c>
      <c r="C63" s="97"/>
      <c r="D63" s="63" t="str">
        <f>IF(ISERROR(VLOOKUP(D60,$K$124:$AC$141,15,FALSE)),"",VLOOKUP(D60,$K$124:$AC$141,15,FALSE))</f>
        <v/>
      </c>
      <c r="E63" s="64" t="str">
        <f>IF(ISERROR(VLOOKUP(E60,$K$124:$AC$141,15,FALSE)),"",VLOOKUP(E60,$K$124:$AC$141,15,FALSE))</f>
        <v/>
      </c>
      <c r="F63" s="98"/>
      <c r="G63" s="63" t="str">
        <f t="shared" ref="G63:L63" si="209">IF(ISERROR(VLOOKUP(G60,$K$124:$AC$141,15,FALSE)),"",VLOOKUP(G60,$K$124:$AC$141,15,FALSE))</f>
        <v/>
      </c>
      <c r="H63" s="63" t="str">
        <f t="shared" si="209"/>
        <v/>
      </c>
      <c r="I63" s="63" t="str">
        <f t="shared" si="209"/>
        <v/>
      </c>
      <c r="J63" s="63" t="str">
        <f t="shared" si="209"/>
        <v/>
      </c>
      <c r="K63" s="63" t="str">
        <f t="shared" si="209"/>
        <v/>
      </c>
      <c r="L63" s="64" t="str">
        <f t="shared" si="209"/>
        <v/>
      </c>
      <c r="M63" s="98"/>
      <c r="N63" s="63" t="str">
        <f t="shared" ref="N63:S63" si="210">IF(ISERROR(VLOOKUP(N60,$K$124:$AC$141,15,FALSE)),"",VLOOKUP(N60,$K$124:$AC$141,15,FALSE))</f>
        <v/>
      </c>
      <c r="O63" s="63" t="str">
        <f t="shared" si="210"/>
        <v/>
      </c>
      <c r="P63" s="63" t="str">
        <f t="shared" si="210"/>
        <v/>
      </c>
      <c r="Q63" s="63" t="str">
        <f t="shared" si="210"/>
        <v/>
      </c>
      <c r="R63" s="63" t="str">
        <f t="shared" si="210"/>
        <v/>
      </c>
      <c r="S63" s="64" t="str">
        <f t="shared" si="210"/>
        <v/>
      </c>
      <c r="T63" s="98"/>
      <c r="U63" s="63" t="str">
        <f t="shared" ref="U63:Z63" si="211">IF(ISERROR(VLOOKUP(U60,$K$124:$AC$141,15,FALSE)),"",VLOOKUP(U60,$K$124:$AC$141,15,FALSE))</f>
        <v/>
      </c>
      <c r="V63" s="63" t="str">
        <f t="shared" si="211"/>
        <v/>
      </c>
      <c r="W63" s="63" t="str">
        <f t="shared" si="211"/>
        <v/>
      </c>
      <c r="X63" s="63" t="str">
        <f t="shared" si="211"/>
        <v/>
      </c>
      <c r="Y63" s="63" t="str">
        <f t="shared" si="211"/>
        <v/>
      </c>
      <c r="Z63" s="64" t="str">
        <f t="shared" si="211"/>
        <v/>
      </c>
      <c r="AA63" s="98"/>
      <c r="AB63" s="63" t="str">
        <f>IF(ISERROR(VLOOKUP(AB60,$K$124:$AC$141,15,FALSE)),"",VLOOKUP(AB60,$K$124:$AC$141,15,FALSE))</f>
        <v/>
      </c>
      <c r="AC63" s="63" t="str">
        <f>IF(ISERROR(VLOOKUP(AC60,$K$124:$AC$141,15,FALSE)),"",VLOOKUP(AC60,$K$124:$AC$141,15,FALSE))</f>
        <v/>
      </c>
      <c r="AD63" s="63" t="str">
        <f>IF(ISERROR(VLOOKUP(AD60,$K$124:$AC$141,15,FALSE)),"",VLOOKUP(AD60,$K$124:$AC$141,15,FALSE))</f>
        <v/>
      </c>
      <c r="AE63" s="63" t="str">
        <f>IF(ISERROR(VLOOKUP(AE60,$K$124:$AC$141,15,FALSE)),"",VLOOKUP(AE60,$K$124:$AC$141,15,FALSE))</f>
        <v/>
      </c>
      <c r="AF63" s="63" t="str">
        <f>IF(ISERROR(VLOOKUP(AF60,$K$124:$AC$141,15,FALSE)),"",VLOOKUP(AF60,$K$124:$AC$141,15,FALSE))</f>
        <v/>
      </c>
      <c r="AG63" s="42"/>
    </row>
    <row r="64" spans="1:90" ht="18" hidden="1" customHeight="1" collapsed="1">
      <c r="A64" s="65"/>
      <c r="B64" s="65"/>
      <c r="C64" s="65" t="s">
        <v>35</v>
      </c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 t="s">
        <v>36</v>
      </c>
      <c r="AB64" s="65"/>
      <c r="AC64" s="65"/>
      <c r="AD64" s="65"/>
      <c r="AE64" s="73"/>
      <c r="AF64" s="65"/>
      <c r="AG64" s="30"/>
    </row>
    <row r="65" spans="1:33" ht="24.6" outlineLevel="1">
      <c r="A65" s="131">
        <f>A57+31</f>
        <v>46235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61"/>
      <c r="AG65" s="40"/>
    </row>
    <row r="66" spans="1:33" ht="15" outlineLevel="1">
      <c r="A66" s="135"/>
      <c r="B66" s="93">
        <f>A65</f>
        <v>46235</v>
      </c>
      <c r="C66" s="87">
        <f t="shared" ref="C66:C67" si="212">B66+1</f>
        <v>46236</v>
      </c>
      <c r="D66" s="84">
        <f t="shared" ref="D66:D67" si="213">C66+1</f>
        <v>46237</v>
      </c>
      <c r="E66" s="84">
        <f t="shared" ref="E66:E67" si="214">D66+1</f>
        <v>46238</v>
      </c>
      <c r="F66" s="84">
        <f t="shared" ref="F66:AC67" si="215">E66+1</f>
        <v>46239</v>
      </c>
      <c r="G66" s="84">
        <f t="shared" si="215"/>
        <v>46240</v>
      </c>
      <c r="H66" s="84">
        <f t="shared" si="215"/>
        <v>46241</v>
      </c>
      <c r="I66" s="86">
        <f t="shared" ref="I66:I67" si="216">H66+1</f>
        <v>46242</v>
      </c>
      <c r="J66" s="87">
        <f t="shared" ref="J66:J67" si="217">I66+1</f>
        <v>46243</v>
      </c>
      <c r="K66" s="84">
        <f t="shared" si="215"/>
        <v>46244</v>
      </c>
      <c r="L66" s="84">
        <f t="shared" ref="L66:L67" si="218">K66+1</f>
        <v>46245</v>
      </c>
      <c r="M66" s="84">
        <f t="shared" si="215"/>
        <v>46246</v>
      </c>
      <c r="N66" s="84">
        <f t="shared" si="215"/>
        <v>46247</v>
      </c>
      <c r="O66" s="84">
        <f t="shared" si="215"/>
        <v>46248</v>
      </c>
      <c r="P66" s="86">
        <f t="shared" ref="P66:P67" si="219">O66+1</f>
        <v>46249</v>
      </c>
      <c r="Q66" s="87">
        <f t="shared" ref="Q66:Q67" si="220">P66+1</f>
        <v>46250</v>
      </c>
      <c r="R66" s="84">
        <f t="shared" ref="R66:R67" si="221">Q66+1</f>
        <v>46251</v>
      </c>
      <c r="S66" s="84">
        <f t="shared" ref="S66:S67" si="222">R66+1</f>
        <v>46252</v>
      </c>
      <c r="T66" s="84">
        <f t="shared" si="215"/>
        <v>46253</v>
      </c>
      <c r="U66" s="84">
        <f t="shared" si="215"/>
        <v>46254</v>
      </c>
      <c r="V66" s="84">
        <f t="shared" si="215"/>
        <v>46255</v>
      </c>
      <c r="W66" s="86">
        <f t="shared" ref="W66:W67" si="223">V66+1</f>
        <v>46256</v>
      </c>
      <c r="X66" s="87">
        <f t="shared" ref="X66:X67" si="224">W66+1</f>
        <v>46257</v>
      </c>
      <c r="Y66" s="84">
        <f t="shared" ref="Y66:Y67" si="225">X66+1</f>
        <v>46258</v>
      </c>
      <c r="Z66" s="84">
        <f t="shared" ref="Z66:Z67" si="226">Y66+1</f>
        <v>46259</v>
      </c>
      <c r="AA66" s="84">
        <f t="shared" si="215"/>
        <v>46260</v>
      </c>
      <c r="AB66" s="84">
        <f t="shared" si="215"/>
        <v>46261</v>
      </c>
      <c r="AC66" s="84">
        <f t="shared" si="215"/>
        <v>46262</v>
      </c>
      <c r="AD66" s="86">
        <f t="shared" ref="AD66:AD67" si="227">AC66+1</f>
        <v>46263</v>
      </c>
      <c r="AE66" s="87">
        <f t="shared" ref="AE66:AE67" si="228">AD66+1</f>
        <v>46264</v>
      </c>
      <c r="AF66" s="84">
        <f t="shared" ref="AF66:AF67" si="229">AE66+1</f>
        <v>46265</v>
      </c>
      <c r="AG66" s="41"/>
    </row>
    <row r="67" spans="1:33" s="30" customFormat="1" ht="15.6" outlineLevel="1">
      <c r="A67" s="136"/>
      <c r="B67" s="94">
        <f>A65</f>
        <v>46235</v>
      </c>
      <c r="C67" s="89">
        <f t="shared" si="212"/>
        <v>46236</v>
      </c>
      <c r="D67" s="85">
        <f t="shared" si="213"/>
        <v>46237</v>
      </c>
      <c r="E67" s="85">
        <f t="shared" si="214"/>
        <v>46238</v>
      </c>
      <c r="F67" s="85">
        <f t="shared" si="215"/>
        <v>46239</v>
      </c>
      <c r="G67" s="85">
        <f t="shared" si="215"/>
        <v>46240</v>
      </c>
      <c r="H67" s="85">
        <f>G67+1</f>
        <v>46241</v>
      </c>
      <c r="I67" s="88">
        <f t="shared" si="216"/>
        <v>46242</v>
      </c>
      <c r="J67" s="89">
        <f t="shared" si="217"/>
        <v>46243</v>
      </c>
      <c r="K67" s="85">
        <f t="shared" si="215"/>
        <v>46244</v>
      </c>
      <c r="L67" s="85">
        <f t="shared" si="218"/>
        <v>46245</v>
      </c>
      <c r="M67" s="85">
        <f t="shared" si="215"/>
        <v>46246</v>
      </c>
      <c r="N67" s="85">
        <f t="shared" si="215"/>
        <v>46247</v>
      </c>
      <c r="O67" s="85">
        <f t="shared" si="215"/>
        <v>46248</v>
      </c>
      <c r="P67" s="88">
        <f t="shared" si="219"/>
        <v>46249</v>
      </c>
      <c r="Q67" s="89">
        <f t="shared" si="220"/>
        <v>46250</v>
      </c>
      <c r="R67" s="85">
        <f t="shared" si="221"/>
        <v>46251</v>
      </c>
      <c r="S67" s="85">
        <f t="shared" si="222"/>
        <v>46252</v>
      </c>
      <c r="T67" s="85">
        <f t="shared" si="215"/>
        <v>46253</v>
      </c>
      <c r="U67" s="85">
        <f t="shared" si="215"/>
        <v>46254</v>
      </c>
      <c r="V67" s="85">
        <f t="shared" si="215"/>
        <v>46255</v>
      </c>
      <c r="W67" s="88">
        <f t="shared" si="223"/>
        <v>46256</v>
      </c>
      <c r="X67" s="89">
        <f t="shared" si="224"/>
        <v>46257</v>
      </c>
      <c r="Y67" s="85">
        <f t="shared" si="225"/>
        <v>46258</v>
      </c>
      <c r="Z67" s="85">
        <f t="shared" si="226"/>
        <v>46259</v>
      </c>
      <c r="AA67" s="85">
        <f t="shared" si="215"/>
        <v>46260</v>
      </c>
      <c r="AB67" s="85">
        <f t="shared" si="215"/>
        <v>46261</v>
      </c>
      <c r="AC67" s="85">
        <f t="shared" si="215"/>
        <v>46262</v>
      </c>
      <c r="AD67" s="88">
        <f t="shared" si="227"/>
        <v>46263</v>
      </c>
      <c r="AE67" s="89">
        <f t="shared" si="228"/>
        <v>46264</v>
      </c>
      <c r="AF67" s="85">
        <f t="shared" si="229"/>
        <v>46265</v>
      </c>
      <c r="AG67" s="41"/>
    </row>
    <row r="68" spans="1:33" ht="18.75" customHeight="1" outlineLevel="1">
      <c r="A68" s="137" t="s">
        <v>25</v>
      </c>
      <c r="B68" s="184"/>
      <c r="C68" s="123"/>
      <c r="D68" s="119"/>
      <c r="E68" s="119"/>
      <c r="F68" s="119"/>
      <c r="G68" s="119"/>
      <c r="H68" s="119"/>
      <c r="I68" s="121"/>
      <c r="J68" s="123"/>
      <c r="K68" s="162" t="s">
        <v>37</v>
      </c>
      <c r="L68" s="162" t="s">
        <v>38</v>
      </c>
      <c r="M68" s="162" t="s">
        <v>38</v>
      </c>
      <c r="N68" s="164" t="s">
        <v>39</v>
      </c>
      <c r="O68" s="164"/>
      <c r="P68" s="121"/>
      <c r="Q68" s="123"/>
      <c r="R68" s="162" t="s">
        <v>38</v>
      </c>
      <c r="S68" s="162" t="s">
        <v>38</v>
      </c>
      <c r="T68" s="164" t="s">
        <v>39</v>
      </c>
      <c r="U68" s="164"/>
      <c r="V68" s="164"/>
      <c r="W68" s="121"/>
      <c r="X68" s="123"/>
      <c r="Y68" s="162" t="s">
        <v>38</v>
      </c>
      <c r="Z68" s="162" t="s">
        <v>38</v>
      </c>
      <c r="AA68" s="164" t="s">
        <v>39</v>
      </c>
      <c r="AB68" s="164"/>
      <c r="AC68" s="164"/>
      <c r="AD68" s="121"/>
      <c r="AE68" s="123"/>
      <c r="AF68" s="162" t="s">
        <v>38</v>
      </c>
      <c r="AG68" s="41"/>
    </row>
    <row r="69" spans="1:33" ht="18.75" customHeight="1" outlineLevel="1">
      <c r="A69" s="138"/>
      <c r="B69" s="185"/>
      <c r="C69" s="124"/>
      <c r="D69" s="120"/>
      <c r="E69" s="120"/>
      <c r="F69" s="120"/>
      <c r="G69" s="120"/>
      <c r="H69" s="120"/>
      <c r="I69" s="122"/>
      <c r="J69" s="124"/>
      <c r="K69" s="163"/>
      <c r="L69" s="163"/>
      <c r="M69" s="163"/>
      <c r="N69" s="165"/>
      <c r="O69" s="165"/>
      <c r="P69" s="122"/>
      <c r="Q69" s="124"/>
      <c r="R69" s="163"/>
      <c r="S69" s="163"/>
      <c r="T69" s="165"/>
      <c r="U69" s="165"/>
      <c r="V69" s="165"/>
      <c r="W69" s="122"/>
      <c r="X69" s="124"/>
      <c r="Y69" s="163"/>
      <c r="Z69" s="163"/>
      <c r="AA69" s="165"/>
      <c r="AB69" s="165"/>
      <c r="AC69" s="165"/>
      <c r="AD69" s="122"/>
      <c r="AE69" s="124"/>
      <c r="AF69" s="163"/>
      <c r="AG69" s="41"/>
    </row>
    <row r="70" spans="1:33" ht="16.5" customHeight="1" outlineLevel="1">
      <c r="A70" s="59" t="s">
        <v>26</v>
      </c>
      <c r="B70" s="99" t="str">
        <f>IF(ISERROR(VLOOKUP(B68,$K$124:$AC$141,12,FALSE)),"",VLOOKUP(B68,$K$124:$AC$141,12,FALSE))</f>
        <v/>
      </c>
      <c r="C70" s="96"/>
      <c r="D70" s="60" t="str">
        <f t="shared" ref="D70:I70" si="230">IF(ISERROR(VLOOKUP(D68,$K$124:$AC$141,12,FALSE)),"",VLOOKUP(D68,$K$124:$AC$141,12,FALSE))</f>
        <v/>
      </c>
      <c r="E70" s="60" t="str">
        <f t="shared" si="230"/>
        <v/>
      </c>
      <c r="F70" s="60" t="str">
        <f t="shared" si="230"/>
        <v/>
      </c>
      <c r="G70" s="60" t="str">
        <f t="shared" si="230"/>
        <v/>
      </c>
      <c r="H70" s="60" t="str">
        <f t="shared" si="230"/>
        <v/>
      </c>
      <c r="I70" s="61" t="str">
        <f t="shared" si="230"/>
        <v/>
      </c>
      <c r="J70" s="96"/>
      <c r="K70" s="60">
        <f>IF(ISERROR(VLOOKUP(K68,$K$124:$AC$141,12,FALSE)),"",VLOOKUP(K68,$K$124:$AC$141,12,FALSE))</f>
        <v>0</v>
      </c>
      <c r="L70" s="60" t="str">
        <f>IF(ISERROR(VLOOKUP(L68,$K$124:$AC$141,12,FALSE)),"",VLOOKUP(L68,$K$124:$AC$141,12,FALSE))</f>
        <v>Gizelle</v>
      </c>
      <c r="M70" s="60" t="str">
        <f>IF(ISERROR(VLOOKUP(L68,$K$124:$AC$141,12,FALSE)),"",VLOOKUP(L68,$K$124:$AC$141,12,FALSE))</f>
        <v>Gizelle</v>
      </c>
      <c r="N70" s="60" t="str">
        <f>IF(ISERROR(VLOOKUP(N68,$K$124:$AC$141,12,FALSE)),"",VLOOKUP(N68,$K$124:$AC$141,12,FALSE))</f>
        <v>Gizelle</v>
      </c>
      <c r="O70" s="60" t="str">
        <f>IF(ISERROR(VLOOKUP(O68,$K$124:$AC$141,12,FALSE)),"",VLOOKUP(O68,$K$124:$AC$141,12,FALSE))</f>
        <v/>
      </c>
      <c r="P70" s="61" t="str">
        <f>IF(ISERROR(VLOOKUP(P68,$K$124:$AC$141,12,FALSE)),"",VLOOKUP(P68,$K$124:$AC$141,12,FALSE))</f>
        <v/>
      </c>
      <c r="Q70" s="96"/>
      <c r="R70" s="60" t="str">
        <f t="shared" ref="R70:W70" si="231">IF(ISERROR(VLOOKUP(R68,$K$124:$AC$141,12,FALSE)),"",VLOOKUP(R68,$K$124:$AC$141,12,FALSE))</f>
        <v>Gizelle</v>
      </c>
      <c r="S70" s="60" t="str">
        <f t="shared" si="231"/>
        <v>Gizelle</v>
      </c>
      <c r="T70" s="60" t="str">
        <f t="shared" si="231"/>
        <v>Gizelle</v>
      </c>
      <c r="U70" s="60" t="str">
        <f t="shared" si="231"/>
        <v/>
      </c>
      <c r="V70" s="60" t="str">
        <f t="shared" si="231"/>
        <v/>
      </c>
      <c r="W70" s="61" t="str">
        <f t="shared" si="231"/>
        <v/>
      </c>
      <c r="X70" s="96"/>
      <c r="Y70" s="60" t="str">
        <f t="shared" ref="Y70:AD70" si="232">IF(ISERROR(VLOOKUP(Y68,$K$124:$AC$141,12,FALSE)),"",VLOOKUP(Y68,$K$124:$AC$141,12,FALSE))</f>
        <v>Gizelle</v>
      </c>
      <c r="Z70" s="60" t="str">
        <f t="shared" si="232"/>
        <v>Gizelle</v>
      </c>
      <c r="AA70" s="60" t="str">
        <f t="shared" si="232"/>
        <v>Gizelle</v>
      </c>
      <c r="AB70" s="60" t="str">
        <f t="shared" si="232"/>
        <v/>
      </c>
      <c r="AC70" s="60" t="str">
        <f t="shared" si="232"/>
        <v/>
      </c>
      <c r="AD70" s="61" t="str">
        <f t="shared" si="232"/>
        <v/>
      </c>
      <c r="AE70" s="96"/>
      <c r="AF70" s="60" t="str">
        <f>IF(ISERROR(VLOOKUP(AF68,$K$124:$AC$141,12,FALSE)),"",VLOOKUP(AF68,$K$124:$AC$141,12,FALSE))</f>
        <v>Gizelle</v>
      </c>
      <c r="AG70" s="41"/>
    </row>
    <row r="71" spans="1:33" ht="15.75" customHeight="1" outlineLevel="1">
      <c r="A71" s="67" t="s">
        <v>27</v>
      </c>
      <c r="B71" s="100" t="str">
        <f>IF(ISERROR(VLOOKUP(B68,$K$124:$AC$141,15,FALSE)),"",VLOOKUP(B68,$K$124:$AC$141,15,FALSE))</f>
        <v/>
      </c>
      <c r="C71" s="98"/>
      <c r="D71" s="63" t="str">
        <f t="shared" ref="D71:I71" si="233">IF(ISERROR(VLOOKUP(D68,$K$124:$AC$141,15,FALSE)),"",VLOOKUP(D68,$K$124:$AC$141,15,FALSE))</f>
        <v/>
      </c>
      <c r="E71" s="63" t="str">
        <f t="shared" si="233"/>
        <v/>
      </c>
      <c r="F71" s="63" t="str">
        <f t="shared" si="233"/>
        <v/>
      </c>
      <c r="G71" s="63" t="str">
        <f t="shared" si="233"/>
        <v/>
      </c>
      <c r="H71" s="63" t="str">
        <f t="shared" si="233"/>
        <v/>
      </c>
      <c r="I71" s="64" t="str">
        <f t="shared" si="233"/>
        <v/>
      </c>
      <c r="J71" s="98"/>
      <c r="K71" s="63">
        <f>IF(ISERROR(VLOOKUP(K68,$K$124:$AC$141,15,FALSE)),"",VLOOKUP(K68,$K$124:$AC$141,15,FALSE))</f>
        <v>0</v>
      </c>
      <c r="L71" s="63">
        <f>IF(ISERROR(VLOOKUP(L68,$K$124:$AC$141,15,FALSE)),"",VLOOKUP(L68,$K$124:$AC$141,15,FALSE))</f>
        <v>0</v>
      </c>
      <c r="M71" s="63">
        <f>IF(ISERROR(VLOOKUP(L68,$K$124:$AC$141,15,FALSE)),"",VLOOKUP(L68,$K$124:$AC$141,15,FALSE))</f>
        <v>0</v>
      </c>
      <c r="N71" s="63">
        <f>IF(ISERROR(VLOOKUP(N68,$K$124:$AC$141,15,FALSE)),"",VLOOKUP(N68,$K$124:$AC$141,15,FALSE))</f>
        <v>0</v>
      </c>
      <c r="O71" s="63" t="str">
        <f>IF(ISERROR(VLOOKUP(O68,$K$124:$AC$141,15,FALSE)),"",VLOOKUP(O68,$K$124:$AC$141,15,FALSE))</f>
        <v/>
      </c>
      <c r="P71" s="64" t="str">
        <f>IF(ISERROR(VLOOKUP(P68,$K$124:$AC$141,15,FALSE)),"",VLOOKUP(P68,$K$124:$AC$141,15,FALSE))</f>
        <v/>
      </c>
      <c r="Q71" s="98"/>
      <c r="R71" s="63">
        <f t="shared" ref="R71:W71" si="234">IF(ISERROR(VLOOKUP(R68,$K$124:$AC$141,15,FALSE)),"",VLOOKUP(R68,$K$124:$AC$141,15,FALSE))</f>
        <v>0</v>
      </c>
      <c r="S71" s="63">
        <f t="shared" si="234"/>
        <v>0</v>
      </c>
      <c r="T71" s="63">
        <f t="shared" si="234"/>
        <v>0</v>
      </c>
      <c r="U71" s="63" t="str">
        <f t="shared" si="234"/>
        <v/>
      </c>
      <c r="V71" s="63" t="str">
        <f t="shared" si="234"/>
        <v/>
      </c>
      <c r="W71" s="64" t="str">
        <f t="shared" si="234"/>
        <v/>
      </c>
      <c r="X71" s="98"/>
      <c r="Y71" s="63">
        <f t="shared" ref="Y71:AD71" si="235">IF(ISERROR(VLOOKUP(Y68,$K$124:$AC$141,15,FALSE)),"",VLOOKUP(Y68,$K$124:$AC$141,15,FALSE))</f>
        <v>0</v>
      </c>
      <c r="Z71" s="63">
        <f t="shared" si="235"/>
        <v>0</v>
      </c>
      <c r="AA71" s="63">
        <f t="shared" si="235"/>
        <v>0</v>
      </c>
      <c r="AB71" s="63" t="str">
        <f t="shared" si="235"/>
        <v/>
      </c>
      <c r="AC71" s="63" t="str">
        <f t="shared" si="235"/>
        <v/>
      </c>
      <c r="AD71" s="64" t="str">
        <f t="shared" si="235"/>
        <v/>
      </c>
      <c r="AE71" s="98"/>
      <c r="AF71" s="63">
        <f>IF(ISERROR(VLOOKUP(AF68,$K$124:$AC$141,15,FALSE)),"",VLOOKUP(AF68,$K$124:$AC$141,15,FALSE))</f>
        <v>0</v>
      </c>
      <c r="AG71" s="42"/>
    </row>
    <row r="72" spans="1:33" ht="18" customHeight="1">
      <c r="A72" s="65"/>
      <c r="B72" s="65"/>
      <c r="C72" s="65"/>
      <c r="D72" s="71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8"/>
      <c r="AE72" s="65"/>
      <c r="AF72" s="65"/>
    </row>
    <row r="73" spans="1:33" ht="24.6" outlineLevel="1">
      <c r="A73" s="131">
        <f>A65+31</f>
        <v>46266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61"/>
      <c r="AF73" s="187"/>
      <c r="AG73" s="40"/>
    </row>
    <row r="74" spans="1:33" ht="15" outlineLevel="1">
      <c r="A74" s="135"/>
      <c r="B74" s="84">
        <f>A73</f>
        <v>46266</v>
      </c>
      <c r="C74" s="84">
        <f>B74+1</f>
        <v>46267</v>
      </c>
      <c r="D74" s="84">
        <f t="shared" ref="D74:AE75" si="236">C74+1</f>
        <v>46268</v>
      </c>
      <c r="E74" s="84">
        <f t="shared" si="236"/>
        <v>46269</v>
      </c>
      <c r="F74" s="86">
        <f t="shared" ref="F74:F75" si="237">E74+1</f>
        <v>46270</v>
      </c>
      <c r="G74" s="87">
        <f t="shared" ref="G74:G75" si="238">F74+1</f>
        <v>46271</v>
      </c>
      <c r="H74" s="84">
        <f t="shared" si="236"/>
        <v>46272</v>
      </c>
      <c r="I74" s="84">
        <f t="shared" si="236"/>
        <v>46273</v>
      </c>
      <c r="J74" s="84">
        <f t="shared" si="236"/>
        <v>46274</v>
      </c>
      <c r="K74" s="84">
        <f t="shared" si="236"/>
        <v>46275</v>
      </c>
      <c r="L74" s="84">
        <f t="shared" si="236"/>
        <v>46276</v>
      </c>
      <c r="M74" s="86">
        <f t="shared" ref="M74:M75" si="239">L74+1</f>
        <v>46277</v>
      </c>
      <c r="N74" s="87">
        <f t="shared" ref="N74:N75" si="240">M74+1</f>
        <v>46278</v>
      </c>
      <c r="O74" s="84">
        <f t="shared" si="236"/>
        <v>46279</v>
      </c>
      <c r="P74" s="84">
        <f t="shared" ref="P74:P75" si="241">O74+1</f>
        <v>46280</v>
      </c>
      <c r="Q74" s="84">
        <f t="shared" si="236"/>
        <v>46281</v>
      </c>
      <c r="R74" s="84">
        <f t="shared" si="236"/>
        <v>46282</v>
      </c>
      <c r="S74" s="84">
        <f t="shared" si="236"/>
        <v>46283</v>
      </c>
      <c r="T74" s="86">
        <f t="shared" ref="T74:T75" si="242">S74+1</f>
        <v>46284</v>
      </c>
      <c r="U74" s="87">
        <f t="shared" ref="U74:U75" si="243">T74+1</f>
        <v>46285</v>
      </c>
      <c r="V74" s="84">
        <f t="shared" si="236"/>
        <v>46286</v>
      </c>
      <c r="W74" s="84">
        <f t="shared" ref="W74:W75" si="244">V74+1</f>
        <v>46287</v>
      </c>
      <c r="X74" s="84">
        <f t="shared" si="236"/>
        <v>46288</v>
      </c>
      <c r="Y74" s="84">
        <f t="shared" si="236"/>
        <v>46289</v>
      </c>
      <c r="Z74" s="84">
        <f t="shared" si="236"/>
        <v>46290</v>
      </c>
      <c r="AA74" s="86">
        <f t="shared" ref="AA74:AA75" si="245">Z74+1</f>
        <v>46291</v>
      </c>
      <c r="AB74" s="87">
        <f t="shared" ref="AB74:AB75" si="246">AA74+1</f>
        <v>46292</v>
      </c>
      <c r="AC74" s="84">
        <f t="shared" si="236"/>
        <v>46293</v>
      </c>
      <c r="AD74" s="84">
        <f t="shared" ref="AD74:AD75" si="247">AC74+1</f>
        <v>46294</v>
      </c>
      <c r="AE74" s="84">
        <f t="shared" si="236"/>
        <v>46295</v>
      </c>
      <c r="AF74" s="188"/>
      <c r="AG74" s="41"/>
    </row>
    <row r="75" spans="1:33" s="30" customFormat="1" ht="15.6" outlineLevel="1">
      <c r="A75" s="136"/>
      <c r="B75" s="85">
        <f>A73</f>
        <v>46266</v>
      </c>
      <c r="C75" s="85">
        <f>B75+1</f>
        <v>46267</v>
      </c>
      <c r="D75" s="85">
        <f t="shared" ref="D75:AE75" si="248">C75+1</f>
        <v>46268</v>
      </c>
      <c r="E75" s="85">
        <f t="shared" si="248"/>
        <v>46269</v>
      </c>
      <c r="F75" s="88">
        <f t="shared" si="237"/>
        <v>46270</v>
      </c>
      <c r="G75" s="89">
        <f t="shared" si="238"/>
        <v>46271</v>
      </c>
      <c r="H75" s="85">
        <f t="shared" si="248"/>
        <v>46272</v>
      </c>
      <c r="I75" s="85">
        <f t="shared" si="236"/>
        <v>46273</v>
      </c>
      <c r="J75" s="85">
        <f t="shared" si="248"/>
        <v>46274</v>
      </c>
      <c r="K75" s="85">
        <f t="shared" si="248"/>
        <v>46275</v>
      </c>
      <c r="L75" s="85">
        <f t="shared" si="248"/>
        <v>46276</v>
      </c>
      <c r="M75" s="88">
        <f t="shared" si="239"/>
        <v>46277</v>
      </c>
      <c r="N75" s="89">
        <f t="shared" si="240"/>
        <v>46278</v>
      </c>
      <c r="O75" s="85">
        <f t="shared" si="236"/>
        <v>46279</v>
      </c>
      <c r="P75" s="85">
        <f t="shared" si="241"/>
        <v>46280</v>
      </c>
      <c r="Q75" s="85">
        <f t="shared" si="248"/>
        <v>46281</v>
      </c>
      <c r="R75" s="85">
        <f t="shared" si="248"/>
        <v>46282</v>
      </c>
      <c r="S75" s="85">
        <f t="shared" si="248"/>
        <v>46283</v>
      </c>
      <c r="T75" s="88">
        <f t="shared" si="242"/>
        <v>46284</v>
      </c>
      <c r="U75" s="89">
        <f t="shared" si="243"/>
        <v>46285</v>
      </c>
      <c r="V75" s="85">
        <f t="shared" si="236"/>
        <v>46286</v>
      </c>
      <c r="W75" s="85">
        <f t="shared" si="244"/>
        <v>46287</v>
      </c>
      <c r="X75" s="85">
        <f t="shared" si="248"/>
        <v>46288</v>
      </c>
      <c r="Y75" s="85">
        <f t="shared" si="248"/>
        <v>46289</v>
      </c>
      <c r="Z75" s="85">
        <f t="shared" si="248"/>
        <v>46290</v>
      </c>
      <c r="AA75" s="88">
        <f t="shared" si="245"/>
        <v>46291</v>
      </c>
      <c r="AB75" s="89">
        <f t="shared" si="246"/>
        <v>46292</v>
      </c>
      <c r="AC75" s="85">
        <f t="shared" si="236"/>
        <v>46293</v>
      </c>
      <c r="AD75" s="85">
        <f t="shared" si="247"/>
        <v>46294</v>
      </c>
      <c r="AE75" s="85">
        <f t="shared" si="248"/>
        <v>46295</v>
      </c>
      <c r="AF75" s="188"/>
      <c r="AG75" s="41"/>
    </row>
    <row r="76" spans="1:33" ht="18.75" customHeight="1" outlineLevel="1">
      <c r="A76" s="137" t="s">
        <v>25</v>
      </c>
      <c r="B76" s="162" t="s">
        <v>38</v>
      </c>
      <c r="C76" s="164" t="s">
        <v>39</v>
      </c>
      <c r="D76" s="164"/>
      <c r="E76" s="164"/>
      <c r="F76" s="182"/>
      <c r="G76" s="123"/>
      <c r="H76" s="133"/>
      <c r="I76" s="162" t="s">
        <v>38</v>
      </c>
      <c r="J76" s="162" t="s">
        <v>38</v>
      </c>
      <c r="K76" s="164"/>
      <c r="L76" s="164"/>
      <c r="M76" s="121"/>
      <c r="N76" s="123"/>
      <c r="O76" s="162" t="s">
        <v>38</v>
      </c>
      <c r="P76" s="162" t="s">
        <v>38</v>
      </c>
      <c r="Q76" s="164" t="s">
        <v>39</v>
      </c>
      <c r="R76" s="164"/>
      <c r="S76" s="164"/>
      <c r="T76" s="121"/>
      <c r="U76" s="123"/>
      <c r="V76" s="162" t="s">
        <v>38</v>
      </c>
      <c r="W76" s="162" t="s">
        <v>38</v>
      </c>
      <c r="X76" s="164" t="s">
        <v>39</v>
      </c>
      <c r="Y76" s="166"/>
      <c r="Z76" s="166" t="s">
        <v>40</v>
      </c>
      <c r="AA76" s="121"/>
      <c r="AB76" s="123"/>
      <c r="AC76" s="162" t="s">
        <v>38</v>
      </c>
      <c r="AD76" s="162" t="s">
        <v>38</v>
      </c>
      <c r="AE76" s="164" t="s">
        <v>39</v>
      </c>
      <c r="AF76" s="188"/>
      <c r="AG76" s="41"/>
    </row>
    <row r="77" spans="1:33" ht="18.75" customHeight="1" outlineLevel="1">
      <c r="A77" s="138"/>
      <c r="B77" s="163"/>
      <c r="C77" s="165"/>
      <c r="D77" s="165"/>
      <c r="E77" s="165"/>
      <c r="F77" s="183"/>
      <c r="G77" s="124"/>
      <c r="H77" s="134"/>
      <c r="I77" s="163"/>
      <c r="J77" s="163"/>
      <c r="K77" s="165"/>
      <c r="L77" s="165"/>
      <c r="M77" s="122"/>
      <c r="N77" s="124"/>
      <c r="O77" s="163"/>
      <c r="P77" s="163"/>
      <c r="Q77" s="165"/>
      <c r="R77" s="165"/>
      <c r="S77" s="165"/>
      <c r="T77" s="122"/>
      <c r="U77" s="124"/>
      <c r="V77" s="163"/>
      <c r="W77" s="163"/>
      <c r="X77" s="165"/>
      <c r="Y77" s="167"/>
      <c r="Z77" s="167"/>
      <c r="AA77" s="122"/>
      <c r="AB77" s="124"/>
      <c r="AC77" s="163"/>
      <c r="AD77" s="163"/>
      <c r="AE77" s="165"/>
      <c r="AF77" s="188"/>
      <c r="AG77" s="41"/>
    </row>
    <row r="78" spans="1:33" ht="16.5" customHeight="1" outlineLevel="1">
      <c r="A78" s="59" t="s">
        <v>26</v>
      </c>
      <c r="B78" s="60" t="str">
        <f>IF(ISERROR(VLOOKUP(B76,$K$124:$AC$141,12,FALSE)),"",VLOOKUP(B76,$K$124:$AC$141,12,FALSE))</f>
        <v>Gizelle</v>
      </c>
      <c r="C78" s="60" t="str">
        <f>IF(ISERROR(VLOOKUP(C76,$K$124:$AC$141,12,FALSE)),"",VLOOKUP(C76,$K$124:$AC$141,12,FALSE))</f>
        <v>Gizelle</v>
      </c>
      <c r="D78" s="60" t="str">
        <f>IF(ISERROR(VLOOKUP(D76,$K$124:$AC$141,12,FALSE)),"",VLOOKUP(D76,$K$124:$AC$141,12,FALSE))</f>
        <v/>
      </c>
      <c r="E78" s="60" t="str">
        <f>IF(ISERROR(VLOOKUP(E76,$K$124:$AC$141,12,FALSE)),"",VLOOKUP(E76,$K$124:$AC$141,12,FALSE))</f>
        <v/>
      </c>
      <c r="F78" s="61" t="str">
        <f>IF(ISERROR(VLOOKUP(F76,$K$124:$AC$141,12,FALSE)),"",VLOOKUP(F76,$K$124:$AC$141,12,FALSE))</f>
        <v/>
      </c>
      <c r="G78" s="96"/>
      <c r="H78" s="95"/>
      <c r="I78" s="60" t="str">
        <f>IF(ISERROR(VLOOKUP(I76,$K$124:$AC$141,12,FALSE)),"",VLOOKUP(I76,$K$124:$AC$141,12,FALSE))</f>
        <v>Gizelle</v>
      </c>
      <c r="J78" s="60" t="str">
        <f>IF(ISERROR(VLOOKUP(J76,$K$124:$AC$141,12,FALSE)),"",VLOOKUP(J76,$K$124:$AC$141,12,FALSE))</f>
        <v>Gizelle</v>
      </c>
      <c r="K78" s="60" t="str">
        <f>IF(ISERROR(VLOOKUP(K76,$K$124:$AC$141,12,FALSE)),"",VLOOKUP(K76,$K$124:$AC$141,12,FALSE))</f>
        <v/>
      </c>
      <c r="L78" s="60" t="str">
        <f>IF(ISERROR(VLOOKUP(L76,$K$124:$AC$141,12,FALSE)),"",VLOOKUP(L76,$K$124:$AC$141,12,FALSE))</f>
        <v/>
      </c>
      <c r="M78" s="61" t="str">
        <f>IF(ISERROR(VLOOKUP(M76,$K$124:$AC$141,12,FALSE)),"",VLOOKUP(M76,$K$124:$AC$141,12,FALSE))</f>
        <v/>
      </c>
      <c r="N78" s="96"/>
      <c r="O78" s="60" t="str">
        <f t="shared" ref="O78:T78" si="249">IF(ISERROR(VLOOKUP(O76,$K$124:$AC$141,12,FALSE)),"",VLOOKUP(O76,$K$124:$AC$141,12,FALSE))</f>
        <v>Gizelle</v>
      </c>
      <c r="P78" s="60" t="str">
        <f t="shared" si="249"/>
        <v>Gizelle</v>
      </c>
      <c r="Q78" s="60" t="str">
        <f t="shared" si="249"/>
        <v>Gizelle</v>
      </c>
      <c r="R78" s="60" t="str">
        <f t="shared" si="249"/>
        <v/>
      </c>
      <c r="S78" s="60" t="str">
        <f t="shared" si="249"/>
        <v/>
      </c>
      <c r="T78" s="61" t="str">
        <f t="shared" si="249"/>
        <v/>
      </c>
      <c r="U78" s="96"/>
      <c r="V78" s="60" t="str">
        <f t="shared" ref="V78:AA78" si="250">IF(ISERROR(VLOOKUP(V76,$K$124:$AC$141,12,FALSE)),"",VLOOKUP(V76,$K$124:$AC$141,12,FALSE))</f>
        <v>Gizelle</v>
      </c>
      <c r="W78" s="60" t="str">
        <f t="shared" si="250"/>
        <v>Gizelle</v>
      </c>
      <c r="X78" s="60" t="str">
        <f t="shared" si="250"/>
        <v>Gizelle</v>
      </c>
      <c r="Y78" s="60" t="str">
        <f t="shared" si="250"/>
        <v/>
      </c>
      <c r="Z78" s="110" t="str">
        <f t="shared" si="250"/>
        <v>Leonardo Lins</v>
      </c>
      <c r="AA78" s="61" t="str">
        <f t="shared" si="250"/>
        <v/>
      </c>
      <c r="AB78" s="96"/>
      <c r="AC78" s="60" t="str">
        <f>IF(ISERROR(VLOOKUP(AC76,$K$124:$AC$141,12,FALSE)),"",VLOOKUP(AC76,$K$124:$AC$141,12,FALSE))</f>
        <v>Gizelle</v>
      </c>
      <c r="AD78" s="60" t="str">
        <f>IF(ISERROR(VLOOKUP(AD76,$K$124:$AC$141,12,FALSE)),"",VLOOKUP(AD76,$K$124:$AC$141,12,FALSE))</f>
        <v>Gizelle</v>
      </c>
      <c r="AE78" s="110" t="str">
        <f>IF(ISERROR(VLOOKUP(AE76,$K$124:$AC$141,12,FALSE)),"",VLOOKUP(AE76,$K$124:$AC$141,12,FALSE))</f>
        <v>Gizelle</v>
      </c>
      <c r="AF78" s="188"/>
      <c r="AG78" s="41"/>
    </row>
    <row r="79" spans="1:33" ht="15.75" customHeight="1" outlineLevel="1">
      <c r="A79" s="67" t="s">
        <v>27</v>
      </c>
      <c r="B79" s="63">
        <f>IF(ISERROR(VLOOKUP(B76,$K$124:$AC$141,15,FALSE)),"",VLOOKUP(B76,$K$124:$AC$141,15,FALSE))</f>
        <v>0</v>
      </c>
      <c r="C79" s="63">
        <f>IF(ISERROR(VLOOKUP(C76,$K$124:$AC$141,15,FALSE)),"",VLOOKUP(C76,$K$124:$AC$141,15,FALSE))</f>
        <v>0</v>
      </c>
      <c r="D79" s="63" t="str">
        <f>IF(ISERROR(VLOOKUP(D76,$K$124:$AC$141,15,FALSE)),"",VLOOKUP(D76,$K$124:$AC$141,15,FALSE))</f>
        <v/>
      </c>
      <c r="E79" s="63" t="str">
        <f>IF(ISERROR(VLOOKUP(E76,$K$124:$AC$141,15,FALSE)),"",VLOOKUP(E76,$K$124:$AC$141,15,FALSE))</f>
        <v/>
      </c>
      <c r="F79" s="64" t="str">
        <f>IF(ISERROR(VLOOKUP(F76,$K$124:$AC$141,15,FALSE)),"",VLOOKUP(F76,$K$124:$AC$141,15,FALSE))</f>
        <v/>
      </c>
      <c r="G79" s="98"/>
      <c r="H79" s="97"/>
      <c r="I79" s="63">
        <f>IF(ISERROR(VLOOKUP(I76,$K$124:$AC$141,15,FALSE)),"",VLOOKUP(I76,$K$124:$AC$141,15,FALSE))</f>
        <v>0</v>
      </c>
      <c r="J79" s="63">
        <f>IF(ISERROR(VLOOKUP(J76,$K$124:$AC$141,15,FALSE)),"",VLOOKUP(J76,$K$124:$AC$141,15,FALSE))</f>
        <v>0</v>
      </c>
      <c r="K79" s="63" t="str">
        <f>IF(ISERROR(VLOOKUP(K76,$K$124:$AC$141,15,FALSE)),"",VLOOKUP(K76,$K$124:$AC$141,15,FALSE))</f>
        <v/>
      </c>
      <c r="L79" s="63" t="str">
        <f>IF(ISERROR(VLOOKUP(L76,$K$124:$AC$141,15,FALSE)),"",VLOOKUP(L76,$K$124:$AC$141,15,FALSE))</f>
        <v/>
      </c>
      <c r="M79" s="64" t="str">
        <f>IF(ISERROR(VLOOKUP(M76,$K$124:$AC$141,15,FALSE)),"",VLOOKUP(M76,$K$124:$AC$141,15,FALSE))</f>
        <v/>
      </c>
      <c r="N79" s="98"/>
      <c r="O79" s="63">
        <f t="shared" ref="O79:T79" si="251">IF(ISERROR(VLOOKUP(O76,$K$124:$AC$141,15,FALSE)),"",VLOOKUP(O76,$K$124:$AC$141,15,FALSE))</f>
        <v>0</v>
      </c>
      <c r="P79" s="63">
        <f t="shared" si="251"/>
        <v>0</v>
      </c>
      <c r="Q79" s="63">
        <f t="shared" si="251"/>
        <v>0</v>
      </c>
      <c r="R79" s="63" t="str">
        <f t="shared" si="251"/>
        <v/>
      </c>
      <c r="S79" s="63" t="str">
        <f t="shared" si="251"/>
        <v/>
      </c>
      <c r="T79" s="64" t="str">
        <f t="shared" si="251"/>
        <v/>
      </c>
      <c r="U79" s="98"/>
      <c r="V79" s="63">
        <f t="shared" ref="V79:AA79" si="252">IF(ISERROR(VLOOKUP(V76,$K$124:$AC$141,15,FALSE)),"",VLOOKUP(V76,$K$124:$AC$141,15,FALSE))</f>
        <v>0</v>
      </c>
      <c r="W79" s="63">
        <f t="shared" si="252"/>
        <v>0</v>
      </c>
      <c r="X79" s="63">
        <f t="shared" si="252"/>
        <v>0</v>
      </c>
      <c r="Y79" s="63" t="str">
        <f t="shared" si="252"/>
        <v/>
      </c>
      <c r="Z79" s="111">
        <f t="shared" si="252"/>
        <v>0</v>
      </c>
      <c r="AA79" s="64" t="str">
        <f t="shared" si="252"/>
        <v/>
      </c>
      <c r="AB79" s="98"/>
      <c r="AC79" s="63">
        <f>IF(ISERROR(VLOOKUP(AC76,$K$124:$AC$141,15,FALSE)),"",VLOOKUP(AC76,$K$124:$AC$141,15,FALSE))</f>
        <v>0</v>
      </c>
      <c r="AD79" s="63">
        <f>IF(ISERROR(VLOOKUP(AD76,$K$124:$AC$141,15,FALSE)),"",VLOOKUP(AD76,$K$124:$AC$141,15,FALSE))</f>
        <v>0</v>
      </c>
      <c r="AE79" s="111">
        <f>IF(ISERROR(VLOOKUP(AE76,$K$124:$AC$141,15,FALSE)),"",VLOOKUP(AE76,$K$124:$AC$141,15,FALSE))</f>
        <v>0</v>
      </c>
      <c r="AF79" s="189"/>
      <c r="AG79" s="42"/>
    </row>
    <row r="80" spans="1:33" ht="18" customHeight="1">
      <c r="A80" s="65"/>
      <c r="B80" s="65"/>
      <c r="C80" s="65"/>
      <c r="D80" s="65"/>
      <c r="E80" s="65"/>
      <c r="F80" s="68"/>
      <c r="G80" s="68"/>
      <c r="H80" s="74" t="s">
        <v>41</v>
      </c>
      <c r="I80" s="65"/>
      <c r="J80" s="65"/>
      <c r="K80" s="71"/>
      <c r="L80" s="65"/>
      <c r="M80" s="68"/>
      <c r="N80" s="65"/>
      <c r="O80" s="65"/>
      <c r="P80" s="71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8"/>
      <c r="AB80" s="65"/>
      <c r="AC80" s="65"/>
      <c r="AD80" s="65"/>
      <c r="AE80" s="65"/>
      <c r="AF80" s="65"/>
    </row>
    <row r="81" spans="1:33" ht="24.6" outlineLevel="1">
      <c r="A81" s="131">
        <f>A73+30</f>
        <v>46296</v>
      </c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61"/>
      <c r="AG81" s="40"/>
    </row>
    <row r="82" spans="1:33" ht="15" outlineLevel="1">
      <c r="A82" s="135"/>
      <c r="B82" s="84">
        <f>A81</f>
        <v>46296</v>
      </c>
      <c r="C82" s="84">
        <f>B82+1</f>
        <v>46297</v>
      </c>
      <c r="D82" s="86">
        <f t="shared" ref="D82:D83" si="253">C82+1</f>
        <v>46298</v>
      </c>
      <c r="E82" s="87">
        <f t="shared" ref="E82:E83" si="254">D82+1</f>
        <v>46299</v>
      </c>
      <c r="F82" s="84">
        <f t="shared" ref="F82:F83" si="255">E82+1</f>
        <v>46300</v>
      </c>
      <c r="G82" s="84">
        <f t="shared" ref="G82:G83" si="256">F82+1</f>
        <v>46301</v>
      </c>
      <c r="H82" s="84">
        <f t="shared" ref="H82:AF83" si="257">G82+1</f>
        <v>46302</v>
      </c>
      <c r="I82" s="84">
        <f t="shared" si="257"/>
        <v>46303</v>
      </c>
      <c r="J82" s="84">
        <f t="shared" si="257"/>
        <v>46304</v>
      </c>
      <c r="K82" s="86">
        <f t="shared" ref="K82:K83" si="258">J82+1</f>
        <v>46305</v>
      </c>
      <c r="L82" s="87">
        <f t="shared" ref="L82:L83" si="259">K82+1</f>
        <v>46306</v>
      </c>
      <c r="M82" s="84">
        <f t="shared" si="257"/>
        <v>46307</v>
      </c>
      <c r="N82" s="84">
        <f t="shared" si="257"/>
        <v>46308</v>
      </c>
      <c r="O82" s="84">
        <f t="shared" si="257"/>
        <v>46309</v>
      </c>
      <c r="P82" s="84">
        <f t="shared" si="257"/>
        <v>46310</v>
      </c>
      <c r="Q82" s="84">
        <f t="shared" si="257"/>
        <v>46311</v>
      </c>
      <c r="R82" s="86">
        <f t="shared" ref="R82:R83" si="260">Q82+1</f>
        <v>46312</v>
      </c>
      <c r="S82" s="87">
        <f t="shared" ref="S82:S83" si="261">R82+1</f>
        <v>46313</v>
      </c>
      <c r="T82" s="84">
        <f t="shared" si="257"/>
        <v>46314</v>
      </c>
      <c r="U82" s="84">
        <f t="shared" ref="U82:U83" si="262">T82+1</f>
        <v>46315</v>
      </c>
      <c r="V82" s="84">
        <f t="shared" si="257"/>
        <v>46316</v>
      </c>
      <c r="W82" s="84">
        <f t="shared" si="257"/>
        <v>46317</v>
      </c>
      <c r="X82" s="84">
        <f t="shared" si="257"/>
        <v>46318</v>
      </c>
      <c r="Y82" s="86">
        <f t="shared" ref="Y82:Y83" si="263">X82+1</f>
        <v>46319</v>
      </c>
      <c r="Z82" s="87">
        <f t="shared" ref="Z82:Z83" si="264">Y82+1</f>
        <v>46320</v>
      </c>
      <c r="AA82" s="84">
        <f t="shared" si="257"/>
        <v>46321</v>
      </c>
      <c r="AB82" s="84">
        <f t="shared" ref="AB82:AB83" si="265">AA82+1</f>
        <v>46322</v>
      </c>
      <c r="AC82" s="84">
        <f t="shared" si="257"/>
        <v>46323</v>
      </c>
      <c r="AD82" s="84">
        <f t="shared" si="257"/>
        <v>46324</v>
      </c>
      <c r="AE82" s="84">
        <f t="shared" si="257"/>
        <v>46325</v>
      </c>
      <c r="AF82" s="86">
        <f t="shared" si="257"/>
        <v>46326</v>
      </c>
      <c r="AG82" s="41"/>
    </row>
    <row r="83" spans="1:33" s="30" customFormat="1" ht="15.6" outlineLevel="1">
      <c r="A83" s="136"/>
      <c r="B83" s="85">
        <f>A81</f>
        <v>46296</v>
      </c>
      <c r="C83" s="85">
        <f t="shared" ref="C83" si="266">B83+1</f>
        <v>46297</v>
      </c>
      <c r="D83" s="88">
        <f t="shared" si="253"/>
        <v>46298</v>
      </c>
      <c r="E83" s="89">
        <f t="shared" si="254"/>
        <v>46299</v>
      </c>
      <c r="F83" s="85">
        <f t="shared" si="255"/>
        <v>46300</v>
      </c>
      <c r="G83" s="85">
        <f t="shared" si="256"/>
        <v>46301</v>
      </c>
      <c r="H83" s="85">
        <f t="shared" si="257"/>
        <v>46302</v>
      </c>
      <c r="I83" s="85">
        <f t="shared" si="257"/>
        <v>46303</v>
      </c>
      <c r="J83" s="85">
        <f t="shared" si="257"/>
        <v>46304</v>
      </c>
      <c r="K83" s="88">
        <f t="shared" si="258"/>
        <v>46305</v>
      </c>
      <c r="L83" s="89">
        <f t="shared" si="259"/>
        <v>46306</v>
      </c>
      <c r="M83" s="85">
        <f t="shared" si="257"/>
        <v>46307</v>
      </c>
      <c r="N83" s="85">
        <f t="shared" si="257"/>
        <v>46308</v>
      </c>
      <c r="O83" s="85">
        <f t="shared" si="257"/>
        <v>46309</v>
      </c>
      <c r="P83" s="85">
        <f t="shared" si="257"/>
        <v>46310</v>
      </c>
      <c r="Q83" s="85">
        <f t="shared" si="257"/>
        <v>46311</v>
      </c>
      <c r="R83" s="88">
        <f t="shared" si="260"/>
        <v>46312</v>
      </c>
      <c r="S83" s="89">
        <f t="shared" si="261"/>
        <v>46313</v>
      </c>
      <c r="T83" s="85">
        <f t="shared" si="257"/>
        <v>46314</v>
      </c>
      <c r="U83" s="85">
        <f t="shared" si="262"/>
        <v>46315</v>
      </c>
      <c r="V83" s="85">
        <f t="shared" si="257"/>
        <v>46316</v>
      </c>
      <c r="W83" s="85">
        <f t="shared" si="257"/>
        <v>46317</v>
      </c>
      <c r="X83" s="85">
        <f t="shared" si="257"/>
        <v>46318</v>
      </c>
      <c r="Y83" s="88">
        <f t="shared" si="263"/>
        <v>46319</v>
      </c>
      <c r="Z83" s="89">
        <f t="shared" si="264"/>
        <v>46320</v>
      </c>
      <c r="AA83" s="85">
        <f t="shared" si="257"/>
        <v>46321</v>
      </c>
      <c r="AB83" s="85">
        <f t="shared" si="265"/>
        <v>46322</v>
      </c>
      <c r="AC83" s="85">
        <f t="shared" si="257"/>
        <v>46323</v>
      </c>
      <c r="AD83" s="85">
        <f t="shared" si="257"/>
        <v>46324</v>
      </c>
      <c r="AE83" s="85">
        <f t="shared" si="257"/>
        <v>46325</v>
      </c>
      <c r="AF83" s="88">
        <f t="shared" si="257"/>
        <v>46326</v>
      </c>
      <c r="AG83" s="41"/>
    </row>
    <row r="84" spans="1:33" ht="18.75" customHeight="1" outlineLevel="1">
      <c r="A84" s="137" t="s">
        <v>25</v>
      </c>
      <c r="B84" s="166"/>
      <c r="C84" s="166" t="s">
        <v>40</v>
      </c>
      <c r="D84" s="121"/>
      <c r="E84" s="123"/>
      <c r="F84" s="162" t="s">
        <v>38</v>
      </c>
      <c r="G84" s="162" t="s">
        <v>38</v>
      </c>
      <c r="H84" s="164" t="s">
        <v>39</v>
      </c>
      <c r="I84" s="164"/>
      <c r="J84" s="166" t="s">
        <v>40</v>
      </c>
      <c r="K84" s="168"/>
      <c r="L84" s="123"/>
      <c r="M84" s="133"/>
      <c r="N84" s="162" t="s">
        <v>38</v>
      </c>
      <c r="O84" s="162" t="s">
        <v>38</v>
      </c>
      <c r="P84" s="166"/>
      <c r="Q84" s="166" t="s">
        <v>40</v>
      </c>
      <c r="R84" s="121"/>
      <c r="S84" s="123"/>
      <c r="T84" s="162" t="s">
        <v>38</v>
      </c>
      <c r="U84" s="162" t="s">
        <v>38</v>
      </c>
      <c r="V84" s="164" t="s">
        <v>39</v>
      </c>
      <c r="W84" s="166"/>
      <c r="X84" s="166" t="s">
        <v>40</v>
      </c>
      <c r="Y84" s="121"/>
      <c r="Z84" s="123"/>
      <c r="AA84" s="162" t="s">
        <v>38</v>
      </c>
      <c r="AB84" s="162" t="s">
        <v>38</v>
      </c>
      <c r="AC84" s="164" t="s">
        <v>39</v>
      </c>
      <c r="AD84" s="164"/>
      <c r="AE84" s="164"/>
      <c r="AF84" s="168"/>
      <c r="AG84" s="41"/>
    </row>
    <row r="85" spans="1:33" ht="18.75" customHeight="1" outlineLevel="1">
      <c r="A85" s="138"/>
      <c r="B85" s="167"/>
      <c r="C85" s="167"/>
      <c r="D85" s="122"/>
      <c r="E85" s="124"/>
      <c r="F85" s="163"/>
      <c r="G85" s="163"/>
      <c r="H85" s="165"/>
      <c r="I85" s="165"/>
      <c r="J85" s="167"/>
      <c r="K85" s="169"/>
      <c r="L85" s="124"/>
      <c r="M85" s="134"/>
      <c r="N85" s="163"/>
      <c r="O85" s="163"/>
      <c r="P85" s="167"/>
      <c r="Q85" s="167"/>
      <c r="R85" s="122"/>
      <c r="S85" s="124"/>
      <c r="T85" s="163"/>
      <c r="U85" s="163"/>
      <c r="V85" s="165"/>
      <c r="W85" s="167"/>
      <c r="X85" s="167"/>
      <c r="Y85" s="122"/>
      <c r="Z85" s="124"/>
      <c r="AA85" s="163"/>
      <c r="AB85" s="163"/>
      <c r="AC85" s="165"/>
      <c r="AD85" s="165"/>
      <c r="AE85" s="165"/>
      <c r="AF85" s="169"/>
      <c r="AG85" s="41"/>
    </row>
    <row r="86" spans="1:33" ht="16.5" customHeight="1" outlineLevel="1">
      <c r="A86" s="59" t="s">
        <v>26</v>
      </c>
      <c r="B86" s="60" t="str">
        <f>IF(ISERROR(VLOOKUP(B84,$K$124:$AC$141,12,FALSE)),"",VLOOKUP(B84,$K$124:$AC$141,12,FALSE))</f>
        <v/>
      </c>
      <c r="C86" s="60" t="str">
        <f>IF(ISERROR(VLOOKUP(C84,$K$124:$AC$141,12,FALSE)),"",VLOOKUP(C84,$K$124:$AC$141,12,FALSE))</f>
        <v>Leonardo Lins</v>
      </c>
      <c r="D86" s="61" t="str">
        <f>IF(ISERROR(VLOOKUP(D84,$K$124:$AC$141,12,FALSE)),"",VLOOKUP(D84,$K$124:$AC$141,12,FALSE))</f>
        <v/>
      </c>
      <c r="E86" s="96"/>
      <c r="F86" s="60" t="str">
        <f t="shared" ref="F86:K86" si="267">IF(ISERROR(VLOOKUP(F84,$K$124:$AC$141,12,FALSE)),"",VLOOKUP(F84,$K$124:$AC$141,12,FALSE))</f>
        <v>Gizelle</v>
      </c>
      <c r="G86" s="60" t="str">
        <f t="shared" si="267"/>
        <v>Gizelle</v>
      </c>
      <c r="H86" s="60" t="str">
        <f t="shared" si="267"/>
        <v>Gizelle</v>
      </c>
      <c r="I86" s="60" t="str">
        <f t="shared" si="267"/>
        <v/>
      </c>
      <c r="J86" s="60" t="str">
        <f t="shared" si="267"/>
        <v>Leonardo Lins</v>
      </c>
      <c r="K86" s="61" t="str">
        <f t="shared" si="267"/>
        <v/>
      </c>
      <c r="L86" s="96"/>
      <c r="M86" s="95"/>
      <c r="N86" s="60" t="str">
        <f>IF(ISERROR(VLOOKUP(N84,$K$124:$AC$141,12,FALSE)),"",VLOOKUP(N84,$K$124:$AC$141,12,FALSE))</f>
        <v>Gizelle</v>
      </c>
      <c r="O86" s="60" t="str">
        <f>IF(ISERROR(VLOOKUP(O84,$K$124:$AC$141,12,FALSE)),"",VLOOKUP(O84,$K$124:$AC$141,12,FALSE))</f>
        <v>Gizelle</v>
      </c>
      <c r="P86" s="60" t="str">
        <f>IF(ISERROR(VLOOKUP(P84,$K$124:$AC$141,12,FALSE)),"",VLOOKUP(P84,$K$124:$AC$141,12,FALSE))</f>
        <v/>
      </c>
      <c r="Q86" s="60" t="str">
        <f>IF(ISERROR(VLOOKUP(Q84,$K$124:$AC$141,12,FALSE)),"",VLOOKUP(Q84,$K$124:$AC$141,12,FALSE))</f>
        <v>Leonardo Lins</v>
      </c>
      <c r="R86" s="61" t="str">
        <f>IF(ISERROR(VLOOKUP(R84,$K$124:$AC$141,12,FALSE)),"",VLOOKUP(R84,$K$124:$AC$141,12,FALSE))</f>
        <v/>
      </c>
      <c r="S86" s="96"/>
      <c r="T86" s="60" t="str">
        <f t="shared" ref="T86:Y86" si="268">IF(ISERROR(VLOOKUP(T84,$K$124:$AC$141,12,FALSE)),"",VLOOKUP(T84,$K$124:$AC$141,12,FALSE))</f>
        <v>Gizelle</v>
      </c>
      <c r="U86" s="60" t="str">
        <f t="shared" si="268"/>
        <v>Gizelle</v>
      </c>
      <c r="V86" s="60" t="str">
        <f t="shared" si="268"/>
        <v>Gizelle</v>
      </c>
      <c r="W86" s="60" t="str">
        <f t="shared" si="268"/>
        <v/>
      </c>
      <c r="X86" s="60" t="str">
        <f t="shared" si="268"/>
        <v>Leonardo Lins</v>
      </c>
      <c r="Y86" s="61" t="str">
        <f t="shared" si="268"/>
        <v/>
      </c>
      <c r="Z86" s="96"/>
      <c r="AA86" s="60" t="str">
        <f t="shared" ref="AA86:AF86" si="269">IF(ISERROR(VLOOKUP(AA84,$K$124:$AC$141,12,FALSE)),"",VLOOKUP(AA84,$K$124:$AC$141,12,FALSE))</f>
        <v>Gizelle</v>
      </c>
      <c r="AB86" s="60" t="str">
        <f t="shared" si="269"/>
        <v>Gizelle</v>
      </c>
      <c r="AC86" s="60" t="str">
        <f t="shared" si="269"/>
        <v>Gizelle</v>
      </c>
      <c r="AD86" s="60" t="str">
        <f t="shared" si="269"/>
        <v/>
      </c>
      <c r="AE86" s="60" t="str">
        <f t="shared" si="269"/>
        <v/>
      </c>
      <c r="AF86" s="61" t="str">
        <f t="shared" si="269"/>
        <v/>
      </c>
      <c r="AG86" s="41"/>
    </row>
    <row r="87" spans="1:33" ht="15.75" customHeight="1" outlineLevel="1">
      <c r="A87" s="67" t="s">
        <v>27</v>
      </c>
      <c r="B87" s="63" t="str">
        <f>IF(ISERROR(VLOOKUP(B84,$K$124:$AC$141,15,FALSE)),"",VLOOKUP(B84,$K$124:$AC$141,15,FALSE))</f>
        <v/>
      </c>
      <c r="C87" s="63">
        <f>IF(ISERROR(VLOOKUP(C84,$K$124:$AC$141,15,FALSE)),"",VLOOKUP(C84,$K$124:$AC$141,15,FALSE))</f>
        <v>0</v>
      </c>
      <c r="D87" s="64" t="str">
        <f>IF(ISERROR(VLOOKUP(D84,$K$124:$AC$141,15,FALSE)),"",VLOOKUP(D84,$K$124:$AC$141,15,FALSE))</f>
        <v/>
      </c>
      <c r="E87" s="98"/>
      <c r="F87" s="63">
        <f t="shared" ref="F87:K87" si="270">IF(ISERROR(VLOOKUP(F84,$K$124:$AC$141,15,FALSE)),"",VLOOKUP(F84,$K$124:$AC$141,15,FALSE))</f>
        <v>0</v>
      </c>
      <c r="G87" s="63">
        <f t="shared" si="270"/>
        <v>0</v>
      </c>
      <c r="H87" s="63">
        <f t="shared" si="270"/>
        <v>0</v>
      </c>
      <c r="I87" s="63" t="str">
        <f t="shared" si="270"/>
        <v/>
      </c>
      <c r="J87" s="63">
        <f t="shared" si="270"/>
        <v>0</v>
      </c>
      <c r="K87" s="64" t="str">
        <f t="shared" si="270"/>
        <v/>
      </c>
      <c r="L87" s="98"/>
      <c r="M87" s="97"/>
      <c r="N87" s="63">
        <f>IF(ISERROR(VLOOKUP(N84,$K$124:$AC$141,15,FALSE)),"",VLOOKUP(N84,$K$124:$AC$141,15,FALSE))</f>
        <v>0</v>
      </c>
      <c r="O87" s="63">
        <f>IF(ISERROR(VLOOKUP(O84,$K$124:$AC$141,15,FALSE)),"",VLOOKUP(O84,$K$124:$AC$141,15,FALSE))</f>
        <v>0</v>
      </c>
      <c r="P87" s="63" t="str">
        <f>IF(ISERROR(VLOOKUP(P84,$K$124:$AC$141,15,FALSE)),"",VLOOKUP(P84,$K$124:$AC$141,15,FALSE))</f>
        <v/>
      </c>
      <c r="Q87" s="63">
        <f>IF(ISERROR(VLOOKUP(Q84,$K$124:$AC$141,15,FALSE)),"",VLOOKUP(Q84,$K$124:$AC$141,15,FALSE))</f>
        <v>0</v>
      </c>
      <c r="R87" s="64" t="str">
        <f>IF(ISERROR(VLOOKUP(R84,$K$124:$AC$141,15,FALSE)),"",VLOOKUP(R84,$K$124:$AC$141,15,FALSE))</f>
        <v/>
      </c>
      <c r="S87" s="98"/>
      <c r="T87" s="63">
        <f t="shared" ref="T87:Y87" si="271">IF(ISERROR(VLOOKUP(T84,$K$124:$AC$141,15,FALSE)),"",VLOOKUP(T84,$K$124:$AC$141,15,FALSE))</f>
        <v>0</v>
      </c>
      <c r="U87" s="63">
        <f t="shared" si="271"/>
        <v>0</v>
      </c>
      <c r="V87" s="63">
        <f t="shared" si="271"/>
        <v>0</v>
      </c>
      <c r="W87" s="63" t="str">
        <f t="shared" si="271"/>
        <v/>
      </c>
      <c r="X87" s="63">
        <f t="shared" si="271"/>
        <v>0</v>
      </c>
      <c r="Y87" s="64" t="str">
        <f t="shared" si="271"/>
        <v/>
      </c>
      <c r="Z87" s="98"/>
      <c r="AA87" s="63">
        <f t="shared" ref="AA87:AF87" si="272">IF(ISERROR(VLOOKUP(AA84,$K$124:$AC$141,15,FALSE)),"",VLOOKUP(AA84,$K$124:$AC$141,15,FALSE))</f>
        <v>0</v>
      </c>
      <c r="AB87" s="63">
        <f t="shared" si="272"/>
        <v>0</v>
      </c>
      <c r="AC87" s="63">
        <f t="shared" si="272"/>
        <v>0</v>
      </c>
      <c r="AD87" s="63" t="str">
        <f t="shared" si="272"/>
        <v/>
      </c>
      <c r="AE87" s="63" t="str">
        <f t="shared" si="272"/>
        <v/>
      </c>
      <c r="AF87" s="64" t="str">
        <f t="shared" si="272"/>
        <v/>
      </c>
      <c r="AG87" s="42"/>
    </row>
    <row r="88" spans="1:33" s="11" customFormat="1" ht="18" customHeight="1" outlineLevel="1">
      <c r="A88" s="75"/>
      <c r="B88" s="76"/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4" t="s">
        <v>42</v>
      </c>
      <c r="N88" s="76"/>
      <c r="O88" s="77"/>
      <c r="P88" s="116"/>
      <c r="Q88" s="116" t="s">
        <v>43</v>
      </c>
      <c r="R88" s="68"/>
      <c r="S88" s="76"/>
      <c r="T88" s="65"/>
      <c r="U88" s="76"/>
      <c r="V88" s="77"/>
      <c r="W88" s="115"/>
      <c r="X88" s="77"/>
      <c r="Y88" s="77"/>
      <c r="Z88" s="77"/>
      <c r="AA88" s="76"/>
      <c r="AB88" s="76"/>
      <c r="AC88" s="77"/>
      <c r="AD88" s="77"/>
      <c r="AE88" s="77"/>
      <c r="AF88" s="77"/>
    </row>
    <row r="89" spans="1:33" ht="24.6" outlineLevel="1">
      <c r="A89" s="131">
        <f>A81+31</f>
        <v>46327</v>
      </c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61"/>
      <c r="AF89" s="187"/>
      <c r="AG89" s="40"/>
    </row>
    <row r="90" spans="1:33" ht="15" outlineLevel="1">
      <c r="A90" s="135"/>
      <c r="B90" s="87">
        <f>A89</f>
        <v>46327</v>
      </c>
      <c r="C90" s="84">
        <f t="shared" ref="C90:C91" si="273">B90+1</f>
        <v>46328</v>
      </c>
      <c r="D90" s="84">
        <f t="shared" ref="D90:D91" si="274">C90+1</f>
        <v>46329</v>
      </c>
      <c r="E90" s="84">
        <f t="shared" ref="E90:AB91" si="275">D90+1</f>
        <v>46330</v>
      </c>
      <c r="F90" s="84">
        <f t="shared" si="275"/>
        <v>46331</v>
      </c>
      <c r="G90" s="84">
        <f t="shared" si="275"/>
        <v>46332</v>
      </c>
      <c r="H90" s="86">
        <f t="shared" ref="H90:H91" si="276">G90+1</f>
        <v>46333</v>
      </c>
      <c r="I90" s="87">
        <f t="shared" ref="I90:I91" si="277">H90+1</f>
        <v>46334</v>
      </c>
      <c r="J90" s="84">
        <f t="shared" si="275"/>
        <v>46335</v>
      </c>
      <c r="K90" s="84">
        <f t="shared" ref="K90:K91" si="278">J90+1</f>
        <v>46336</v>
      </c>
      <c r="L90" s="84">
        <f t="shared" si="275"/>
        <v>46337</v>
      </c>
      <c r="M90" s="84">
        <f t="shared" si="275"/>
        <v>46338</v>
      </c>
      <c r="N90" s="84">
        <f t="shared" si="275"/>
        <v>46339</v>
      </c>
      <c r="O90" s="86">
        <f t="shared" ref="O90:O91" si="279">N90+1</f>
        <v>46340</v>
      </c>
      <c r="P90" s="87">
        <f t="shared" ref="P90:P91" si="280">O90+1</f>
        <v>46341</v>
      </c>
      <c r="Q90" s="84">
        <f>P90+1</f>
        <v>46342</v>
      </c>
      <c r="R90" s="84">
        <f t="shared" ref="R90:R91" si="281">Q90+1</f>
        <v>46343</v>
      </c>
      <c r="S90" s="84">
        <f t="shared" si="275"/>
        <v>46344</v>
      </c>
      <c r="T90" s="84">
        <f t="shared" si="275"/>
        <v>46345</v>
      </c>
      <c r="U90" s="84">
        <f t="shared" si="275"/>
        <v>46346</v>
      </c>
      <c r="V90" s="86">
        <f t="shared" ref="V90:V91" si="282">U90+1</f>
        <v>46347</v>
      </c>
      <c r="W90" s="87">
        <f t="shared" ref="W90:W91" si="283">V90+1</f>
        <v>46348</v>
      </c>
      <c r="X90" s="84">
        <f t="shared" si="275"/>
        <v>46349</v>
      </c>
      <c r="Y90" s="84">
        <f t="shared" ref="Y90:Y91" si="284">X90+1</f>
        <v>46350</v>
      </c>
      <c r="Z90" s="84">
        <f t="shared" si="275"/>
        <v>46351</v>
      </c>
      <c r="AA90" s="84">
        <f t="shared" si="275"/>
        <v>46352</v>
      </c>
      <c r="AB90" s="84">
        <f t="shared" si="275"/>
        <v>46353</v>
      </c>
      <c r="AC90" s="86">
        <f t="shared" ref="AC90:AC91" si="285">AB90+1</f>
        <v>46354</v>
      </c>
      <c r="AD90" s="87">
        <f t="shared" ref="AD90:AD91" si="286">AC90+1</f>
        <v>46355</v>
      </c>
      <c r="AE90" s="84">
        <f t="shared" ref="AE90:AE91" si="287">AD90+1</f>
        <v>46356</v>
      </c>
      <c r="AF90" s="188"/>
      <c r="AG90" s="41"/>
    </row>
    <row r="91" spans="1:33" s="30" customFormat="1" ht="15.6" outlineLevel="1">
      <c r="A91" s="136"/>
      <c r="B91" s="89">
        <f>A89</f>
        <v>46327</v>
      </c>
      <c r="C91" s="85">
        <f t="shared" si="273"/>
        <v>46328</v>
      </c>
      <c r="D91" s="85">
        <f t="shared" si="274"/>
        <v>46329</v>
      </c>
      <c r="E91" s="85">
        <f t="shared" si="275"/>
        <v>46330</v>
      </c>
      <c r="F91" s="85">
        <f t="shared" si="275"/>
        <v>46331</v>
      </c>
      <c r="G91" s="85">
        <f t="shared" si="275"/>
        <v>46332</v>
      </c>
      <c r="H91" s="88">
        <f t="shared" si="276"/>
        <v>46333</v>
      </c>
      <c r="I91" s="89">
        <f t="shared" si="277"/>
        <v>46334</v>
      </c>
      <c r="J91" s="85">
        <f t="shared" si="275"/>
        <v>46335</v>
      </c>
      <c r="K91" s="85">
        <f t="shared" si="278"/>
        <v>46336</v>
      </c>
      <c r="L91" s="85">
        <f t="shared" si="275"/>
        <v>46337</v>
      </c>
      <c r="M91" s="85">
        <f t="shared" si="275"/>
        <v>46338</v>
      </c>
      <c r="N91" s="85">
        <f t="shared" si="275"/>
        <v>46339</v>
      </c>
      <c r="O91" s="88">
        <f t="shared" si="279"/>
        <v>46340</v>
      </c>
      <c r="P91" s="89">
        <f t="shared" si="280"/>
        <v>46341</v>
      </c>
      <c r="Q91" s="85">
        <f>P91+1</f>
        <v>46342</v>
      </c>
      <c r="R91" s="85">
        <f t="shared" si="281"/>
        <v>46343</v>
      </c>
      <c r="S91" s="85">
        <f t="shared" si="275"/>
        <v>46344</v>
      </c>
      <c r="T91" s="85">
        <f t="shared" si="275"/>
        <v>46345</v>
      </c>
      <c r="U91" s="85">
        <f t="shared" si="275"/>
        <v>46346</v>
      </c>
      <c r="V91" s="88">
        <f t="shared" si="282"/>
        <v>46347</v>
      </c>
      <c r="W91" s="89">
        <f t="shared" si="283"/>
        <v>46348</v>
      </c>
      <c r="X91" s="85">
        <f t="shared" si="275"/>
        <v>46349</v>
      </c>
      <c r="Y91" s="85">
        <f t="shared" si="284"/>
        <v>46350</v>
      </c>
      <c r="Z91" s="85">
        <f t="shared" si="275"/>
        <v>46351</v>
      </c>
      <c r="AA91" s="85">
        <f t="shared" si="275"/>
        <v>46352</v>
      </c>
      <c r="AB91" s="85">
        <f t="shared" si="275"/>
        <v>46353</v>
      </c>
      <c r="AC91" s="88">
        <f t="shared" si="285"/>
        <v>46354</v>
      </c>
      <c r="AD91" s="89">
        <f t="shared" si="286"/>
        <v>46355</v>
      </c>
      <c r="AE91" s="85">
        <f t="shared" si="287"/>
        <v>46356</v>
      </c>
      <c r="AF91" s="188"/>
      <c r="AG91" s="41"/>
    </row>
    <row r="92" spans="1:33" ht="18.75" customHeight="1" outlineLevel="1">
      <c r="A92" s="137" t="s">
        <v>25</v>
      </c>
      <c r="B92" s="123"/>
      <c r="C92" s="133"/>
      <c r="D92" s="162" t="s">
        <v>38</v>
      </c>
      <c r="E92" s="162" t="s">
        <v>38</v>
      </c>
      <c r="F92" s="180" t="s">
        <v>38</v>
      </c>
      <c r="G92" s="164"/>
      <c r="H92" s="121"/>
      <c r="I92" s="123"/>
      <c r="J92" s="162" t="s">
        <v>38</v>
      </c>
      <c r="K92" s="162" t="s">
        <v>38</v>
      </c>
      <c r="L92" s="164" t="s">
        <v>39</v>
      </c>
      <c r="M92" s="164" t="s">
        <v>39</v>
      </c>
      <c r="N92" s="164"/>
      <c r="O92" s="121"/>
      <c r="P92" s="123"/>
      <c r="Q92" s="162" t="s">
        <v>38</v>
      </c>
      <c r="R92" s="162" t="s">
        <v>38</v>
      </c>
      <c r="S92" s="164" t="s">
        <v>39</v>
      </c>
      <c r="T92" s="164" t="s">
        <v>39</v>
      </c>
      <c r="U92" s="133"/>
      <c r="V92" s="121"/>
      <c r="W92" s="123"/>
      <c r="X92" s="162" t="s">
        <v>38</v>
      </c>
      <c r="Y92" s="162" t="s">
        <v>38</v>
      </c>
      <c r="Z92" s="164" t="s">
        <v>39</v>
      </c>
      <c r="AA92" s="164" t="s">
        <v>39</v>
      </c>
      <c r="AB92" s="170"/>
      <c r="AC92" s="174"/>
      <c r="AD92" s="123"/>
      <c r="AE92" s="176"/>
      <c r="AF92" s="188"/>
      <c r="AG92" s="41"/>
    </row>
    <row r="93" spans="1:33" ht="18.75" customHeight="1" outlineLevel="1">
      <c r="A93" s="138"/>
      <c r="B93" s="124"/>
      <c r="C93" s="134"/>
      <c r="D93" s="163"/>
      <c r="E93" s="163"/>
      <c r="F93" s="181"/>
      <c r="G93" s="165"/>
      <c r="H93" s="122"/>
      <c r="I93" s="124"/>
      <c r="J93" s="163"/>
      <c r="K93" s="163"/>
      <c r="L93" s="165"/>
      <c r="M93" s="165"/>
      <c r="N93" s="165"/>
      <c r="O93" s="122"/>
      <c r="P93" s="124"/>
      <c r="Q93" s="163"/>
      <c r="R93" s="163"/>
      <c r="S93" s="165"/>
      <c r="T93" s="165"/>
      <c r="U93" s="134"/>
      <c r="V93" s="122"/>
      <c r="W93" s="124"/>
      <c r="X93" s="163"/>
      <c r="Y93" s="163"/>
      <c r="Z93" s="165"/>
      <c r="AA93" s="165"/>
      <c r="AB93" s="171"/>
      <c r="AC93" s="175"/>
      <c r="AD93" s="124"/>
      <c r="AE93" s="177"/>
      <c r="AF93" s="188"/>
      <c r="AG93" s="41"/>
    </row>
    <row r="94" spans="1:33" ht="16.5" customHeight="1" outlineLevel="1">
      <c r="A94" s="59" t="s">
        <v>26</v>
      </c>
      <c r="B94" s="96"/>
      <c r="C94" s="95"/>
      <c r="D94" s="60" t="str">
        <f>IF(ISERROR(VLOOKUP(D92,$K$124:$AC$141,12,FALSE)),"",VLOOKUP(D92,$K$124:$AC$141,12,FALSE))</f>
        <v>Gizelle</v>
      </c>
      <c r="E94" s="60" t="str">
        <f>IF(ISERROR(VLOOKUP(E92,$K$124:$AC$141,12,FALSE)),"",VLOOKUP(E92,$K$124:$AC$141,12,FALSE))</f>
        <v>Gizelle</v>
      </c>
      <c r="F94" s="112" t="str">
        <f>IF(ISERROR(VLOOKUP(F92,$K$124:$AC$141,12,FALSE)),"",VLOOKUP(F92,$K$124:$AC$141,12,FALSE))</f>
        <v>Gizelle</v>
      </c>
      <c r="G94" s="60" t="str">
        <f>IF(ISERROR(VLOOKUP(G92,$K$124:$AC$141,12,FALSE)),"",VLOOKUP(G92,$K$124:$AC$141,12,FALSE))</f>
        <v/>
      </c>
      <c r="H94" s="61" t="str">
        <f>IF(ISERROR(VLOOKUP(H92,$K$124:$AC$141,12,FALSE)),"",VLOOKUP(H92,$K$124:$AC$141,12,FALSE))</f>
        <v/>
      </c>
      <c r="I94" s="96"/>
      <c r="J94" s="60" t="str">
        <f t="shared" ref="J94:O94" si="288">IF(ISERROR(VLOOKUP(J92,$K$124:$AC$141,12,FALSE)),"",VLOOKUP(J92,$K$124:$AC$141,12,FALSE))</f>
        <v>Gizelle</v>
      </c>
      <c r="K94" s="60" t="str">
        <f t="shared" si="288"/>
        <v>Gizelle</v>
      </c>
      <c r="L94" s="60" t="str">
        <f t="shared" si="288"/>
        <v>Gizelle</v>
      </c>
      <c r="M94" s="60" t="str">
        <f t="shared" si="288"/>
        <v>Gizelle</v>
      </c>
      <c r="N94" s="60" t="str">
        <f t="shared" si="288"/>
        <v/>
      </c>
      <c r="O94" s="61" t="str">
        <f t="shared" si="288"/>
        <v/>
      </c>
      <c r="P94" s="96"/>
      <c r="Q94" s="60" t="str">
        <f>IF(ISERROR(VLOOKUP(Q92,$K$124:$AC$141,12,FALSE)),"",VLOOKUP(Q92,$K$124:$AC$141,12,FALSE))</f>
        <v>Gizelle</v>
      </c>
      <c r="R94" s="60" t="str">
        <f>IF(ISERROR(VLOOKUP(R92,$K$124:$AC$141,12,FALSE)),"",VLOOKUP(R92,$K$124:$AC$141,12,FALSE))</f>
        <v>Gizelle</v>
      </c>
      <c r="S94" s="60" t="str">
        <f>IF(ISERROR(VLOOKUP(S92,$K$124:$AC$141,12,FALSE)),"",VLOOKUP(S92,$K$124:$AC$141,12,FALSE))</f>
        <v>Gizelle</v>
      </c>
      <c r="T94" s="60" t="str">
        <f>IF(ISERROR(VLOOKUP(T92,$K$124:$AC$141,12,FALSE)),"",VLOOKUP(T92,$K$124:$AC$141,12,FALSE))</f>
        <v>Gizelle</v>
      </c>
      <c r="U94" s="95"/>
      <c r="V94" s="61" t="str">
        <f>IF(ISERROR(VLOOKUP(V92,$K$124:$AC$141,12,FALSE)),"",VLOOKUP(V92,$K$124:$AC$141,12,FALSE))</f>
        <v/>
      </c>
      <c r="W94" s="96"/>
      <c r="X94" s="60" t="str">
        <f t="shared" ref="X94:AC94" si="289">IF(ISERROR(VLOOKUP(X92,$K$124:$AC$141,12,FALSE)),"",VLOOKUP(X92,$K$124:$AC$141,12,FALSE))</f>
        <v>Gizelle</v>
      </c>
      <c r="Y94" s="60" t="str">
        <f t="shared" si="289"/>
        <v>Gizelle</v>
      </c>
      <c r="Z94" s="60" t="str">
        <f t="shared" si="289"/>
        <v>Gizelle</v>
      </c>
      <c r="AA94" s="60" t="str">
        <f t="shared" si="289"/>
        <v>Gizelle</v>
      </c>
      <c r="AB94" s="60" t="str">
        <f t="shared" si="289"/>
        <v/>
      </c>
      <c r="AC94" s="61" t="str">
        <f t="shared" si="289"/>
        <v/>
      </c>
      <c r="AD94" s="96"/>
      <c r="AE94" s="108" t="str">
        <f>IF(ISERROR(VLOOKUP(AE92,$K$124:$AC$141,12,FALSE)),"",VLOOKUP(AE92,$K$124:$AC$141,12,FALSE))</f>
        <v/>
      </c>
      <c r="AF94" s="188"/>
      <c r="AG94" s="41"/>
    </row>
    <row r="95" spans="1:33" ht="15.75" customHeight="1" outlineLevel="1">
      <c r="A95" s="67" t="s">
        <v>27</v>
      </c>
      <c r="B95" s="98"/>
      <c r="C95" s="97"/>
      <c r="D95" s="63">
        <f>IF(ISERROR(VLOOKUP(D92,$K$124:$AC$141,15,FALSE)),"",VLOOKUP(D92,$K$124:$AC$141,15,FALSE))</f>
        <v>0</v>
      </c>
      <c r="E95" s="63">
        <f>IF(ISERROR(VLOOKUP(E92,$K$124:$AC$141,15,FALSE)),"",VLOOKUP(E92,$K$124:$AC$141,15,FALSE))</f>
        <v>0</v>
      </c>
      <c r="F95" s="113">
        <f>IF(ISERROR(VLOOKUP(F92,$K$124:$AC$141,15,FALSE)),"",VLOOKUP(F92,$K$124:$AC$141,15,FALSE))</f>
        <v>0</v>
      </c>
      <c r="G95" s="63" t="str">
        <f>IF(ISERROR(VLOOKUP(G92,$K$124:$AC$141,15,FALSE)),"",VLOOKUP(G92,$K$124:$AC$141,15,FALSE))</f>
        <v/>
      </c>
      <c r="H95" s="64" t="str">
        <f>IF(ISERROR(VLOOKUP(H92,$K$124:$AC$141,15,FALSE)),"",VLOOKUP(H92,$K$124:$AC$141,15,FALSE))</f>
        <v/>
      </c>
      <c r="I95" s="98"/>
      <c r="J95" s="63">
        <f t="shared" ref="J95:O95" si="290">IF(ISERROR(VLOOKUP(J92,$K$124:$AC$141,15,FALSE)),"",VLOOKUP(J92,$K$124:$AC$141,15,FALSE))</f>
        <v>0</v>
      </c>
      <c r="K95" s="63">
        <f t="shared" si="290"/>
        <v>0</v>
      </c>
      <c r="L95" s="63">
        <f t="shared" si="290"/>
        <v>0</v>
      </c>
      <c r="M95" s="63">
        <f t="shared" si="290"/>
        <v>0</v>
      </c>
      <c r="N95" s="63" t="str">
        <f t="shared" si="290"/>
        <v/>
      </c>
      <c r="O95" s="64" t="str">
        <f t="shared" si="290"/>
        <v/>
      </c>
      <c r="P95" s="98"/>
      <c r="Q95" s="63">
        <f>IF(ISERROR(VLOOKUP(Q92,$K$124:$AC$141,15,FALSE)),"",VLOOKUP(Q92,$K$124:$AC$141,15,FALSE))</f>
        <v>0</v>
      </c>
      <c r="R95" s="63">
        <f>IF(ISERROR(VLOOKUP(R92,$K$124:$AC$141,15,FALSE)),"",VLOOKUP(R92,$K$124:$AC$141,15,FALSE))</f>
        <v>0</v>
      </c>
      <c r="S95" s="63">
        <f>IF(ISERROR(VLOOKUP(S92,$K$124:$AC$141,15,FALSE)),"",VLOOKUP(S92,$K$124:$AC$141,15,FALSE))</f>
        <v>0</v>
      </c>
      <c r="T95" s="63">
        <f>IF(ISERROR(VLOOKUP(T92,$K$124:$AC$141,15,FALSE)),"",VLOOKUP(T92,$K$124:$AC$141,15,FALSE))</f>
        <v>0</v>
      </c>
      <c r="U95" s="97"/>
      <c r="V95" s="64" t="str">
        <f>IF(ISERROR(VLOOKUP(V92,$K$124:$AC$141,15,FALSE)),"",VLOOKUP(V92,$K$124:$AC$141,15,FALSE))</f>
        <v/>
      </c>
      <c r="W95" s="98"/>
      <c r="X95" s="63">
        <f t="shared" ref="X95:AC95" si="291">IF(ISERROR(VLOOKUP(X92,$K$124:$AC$141,15,FALSE)),"",VLOOKUP(X92,$K$124:$AC$141,15,FALSE))</f>
        <v>0</v>
      </c>
      <c r="Y95" s="63">
        <f t="shared" si="291"/>
        <v>0</v>
      </c>
      <c r="Z95" s="63">
        <f t="shared" si="291"/>
        <v>0</v>
      </c>
      <c r="AA95" s="63">
        <f t="shared" si="291"/>
        <v>0</v>
      </c>
      <c r="AB95" s="63" t="str">
        <f t="shared" si="291"/>
        <v/>
      </c>
      <c r="AC95" s="64" t="str">
        <f t="shared" si="291"/>
        <v/>
      </c>
      <c r="AD95" s="98"/>
      <c r="AE95" s="109" t="str">
        <f>IF(ISERROR(VLOOKUP(AE92,$K$124:$AC$141,15,FALSE)),"",VLOOKUP(AE92,$K$124:$AC$141,15,FALSE))</f>
        <v/>
      </c>
      <c r="AF95" s="189"/>
      <c r="AG95" s="42"/>
    </row>
    <row r="96" spans="1:33" s="30" customFormat="1" ht="18" customHeight="1" outlineLevel="1">
      <c r="A96" s="78"/>
      <c r="B96" s="77"/>
      <c r="C96" s="74" t="s">
        <v>44</v>
      </c>
      <c r="D96" s="79"/>
      <c r="E96" s="77"/>
      <c r="F96" s="114" t="s">
        <v>45</v>
      </c>
      <c r="G96" s="77"/>
      <c r="H96" s="68"/>
      <c r="I96" s="77"/>
      <c r="J96" s="277"/>
      <c r="K96" s="277"/>
      <c r="L96" s="79"/>
      <c r="M96" s="79"/>
      <c r="N96" s="79"/>
      <c r="O96" s="79"/>
      <c r="P96" s="74" t="s">
        <v>46</v>
      </c>
      <c r="Q96" s="79"/>
      <c r="R96" s="80" t="s">
        <v>47</v>
      </c>
      <c r="S96" s="79"/>
      <c r="T96" s="79"/>
      <c r="U96" s="79" t="s">
        <v>48</v>
      </c>
      <c r="V96" s="68"/>
      <c r="W96" s="79"/>
      <c r="X96" s="79"/>
      <c r="Y96" s="79"/>
      <c r="Z96" s="79"/>
      <c r="AA96" s="79"/>
      <c r="AB96" s="79"/>
      <c r="AC96" s="79"/>
      <c r="AD96" s="79"/>
      <c r="AE96" s="79"/>
      <c r="AF96" s="68"/>
    </row>
    <row r="97" spans="1:34" ht="24.6" outlineLevel="1">
      <c r="A97" s="131">
        <f>A89+30</f>
        <v>46357</v>
      </c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61"/>
      <c r="AG97" s="40"/>
    </row>
    <row r="98" spans="1:34" ht="15" outlineLevel="1">
      <c r="A98" s="135"/>
      <c r="B98" s="84">
        <f>A97</f>
        <v>46357</v>
      </c>
      <c r="C98" s="84">
        <f>B98+1</f>
        <v>46358</v>
      </c>
      <c r="D98" s="84">
        <f t="shared" ref="D98:AF99" si="292">C98+1</f>
        <v>46359</v>
      </c>
      <c r="E98" s="84">
        <f t="shared" si="292"/>
        <v>46360</v>
      </c>
      <c r="F98" s="86">
        <f t="shared" ref="F98:F99" si="293">E98+1</f>
        <v>46361</v>
      </c>
      <c r="G98" s="87">
        <f t="shared" ref="G98:G99" si="294">F98+1</f>
        <v>46362</v>
      </c>
      <c r="H98" s="84">
        <f t="shared" si="292"/>
        <v>46363</v>
      </c>
      <c r="I98" s="84">
        <f t="shared" ref="I98:I99" si="295">H98+1</f>
        <v>46364</v>
      </c>
      <c r="J98" s="84">
        <f t="shared" si="292"/>
        <v>46365</v>
      </c>
      <c r="K98" s="84">
        <f t="shared" si="292"/>
        <v>46366</v>
      </c>
      <c r="L98" s="84">
        <f t="shared" si="292"/>
        <v>46367</v>
      </c>
      <c r="M98" s="86">
        <f t="shared" ref="M98:M99" si="296">L98+1</f>
        <v>46368</v>
      </c>
      <c r="N98" s="87">
        <f t="shared" ref="N98:N99" si="297">M98+1</f>
        <v>46369</v>
      </c>
      <c r="O98" s="84">
        <f t="shared" si="292"/>
        <v>46370</v>
      </c>
      <c r="P98" s="84">
        <f t="shared" ref="P98:P99" si="298">O98+1</f>
        <v>46371</v>
      </c>
      <c r="Q98" s="84">
        <f t="shared" si="292"/>
        <v>46372</v>
      </c>
      <c r="R98" s="84">
        <f t="shared" si="292"/>
        <v>46373</v>
      </c>
      <c r="S98" s="84">
        <f t="shared" si="292"/>
        <v>46374</v>
      </c>
      <c r="T98" s="86">
        <f t="shared" ref="T98:T99" si="299">S98+1</f>
        <v>46375</v>
      </c>
      <c r="U98" s="87">
        <f t="shared" ref="U98:U99" si="300">T98+1</f>
        <v>46376</v>
      </c>
      <c r="V98" s="84">
        <f t="shared" si="292"/>
        <v>46377</v>
      </c>
      <c r="W98" s="84">
        <f t="shared" ref="W98:W99" si="301">V98+1</f>
        <v>46378</v>
      </c>
      <c r="X98" s="84">
        <f t="shared" si="292"/>
        <v>46379</v>
      </c>
      <c r="Y98" s="84">
        <f t="shared" si="292"/>
        <v>46380</v>
      </c>
      <c r="Z98" s="84">
        <f t="shared" si="292"/>
        <v>46381</v>
      </c>
      <c r="AA98" s="86">
        <f t="shared" ref="AA98:AA99" si="302">Z98+1</f>
        <v>46382</v>
      </c>
      <c r="AB98" s="87">
        <f t="shared" ref="AB98:AB99" si="303">AA98+1</f>
        <v>46383</v>
      </c>
      <c r="AC98" s="84">
        <f t="shared" ref="AC98:AC99" si="304">AB98+1</f>
        <v>46384</v>
      </c>
      <c r="AD98" s="84">
        <f t="shared" ref="AD98:AD99" si="305">AC98+1</f>
        <v>46385</v>
      </c>
      <c r="AE98" s="84">
        <f t="shared" si="292"/>
        <v>46386</v>
      </c>
      <c r="AF98" s="84">
        <f t="shared" si="292"/>
        <v>46387</v>
      </c>
      <c r="AG98" s="41"/>
    </row>
    <row r="99" spans="1:34" s="30" customFormat="1" ht="15.6" outlineLevel="1">
      <c r="A99" s="136"/>
      <c r="B99" s="85">
        <f>A97</f>
        <v>46357</v>
      </c>
      <c r="C99" s="85">
        <f>B99+1</f>
        <v>46358</v>
      </c>
      <c r="D99" s="85">
        <f t="shared" ref="D99:AF99" si="306">C99+1</f>
        <v>46359</v>
      </c>
      <c r="E99" s="85">
        <f t="shared" si="306"/>
        <v>46360</v>
      </c>
      <c r="F99" s="88">
        <f t="shared" si="293"/>
        <v>46361</v>
      </c>
      <c r="G99" s="89">
        <f t="shared" si="294"/>
        <v>46362</v>
      </c>
      <c r="H99" s="85">
        <f t="shared" si="292"/>
        <v>46363</v>
      </c>
      <c r="I99" s="85">
        <f t="shared" si="295"/>
        <v>46364</v>
      </c>
      <c r="J99" s="85">
        <f t="shared" si="306"/>
        <v>46365</v>
      </c>
      <c r="K99" s="85">
        <f t="shared" si="306"/>
        <v>46366</v>
      </c>
      <c r="L99" s="85">
        <f t="shared" si="306"/>
        <v>46367</v>
      </c>
      <c r="M99" s="88">
        <f t="shared" si="296"/>
        <v>46368</v>
      </c>
      <c r="N99" s="89">
        <f t="shared" si="297"/>
        <v>46369</v>
      </c>
      <c r="O99" s="85">
        <f t="shared" si="292"/>
        <v>46370</v>
      </c>
      <c r="P99" s="85">
        <f t="shared" si="298"/>
        <v>46371</v>
      </c>
      <c r="Q99" s="85">
        <f t="shared" si="306"/>
        <v>46372</v>
      </c>
      <c r="R99" s="85">
        <f t="shared" si="306"/>
        <v>46373</v>
      </c>
      <c r="S99" s="85">
        <f t="shared" si="306"/>
        <v>46374</v>
      </c>
      <c r="T99" s="88">
        <f t="shared" si="299"/>
        <v>46375</v>
      </c>
      <c r="U99" s="89">
        <f t="shared" si="300"/>
        <v>46376</v>
      </c>
      <c r="V99" s="85">
        <f t="shared" si="292"/>
        <v>46377</v>
      </c>
      <c r="W99" s="85">
        <f t="shared" si="301"/>
        <v>46378</v>
      </c>
      <c r="X99" s="85">
        <f t="shared" si="306"/>
        <v>46379</v>
      </c>
      <c r="Y99" s="85">
        <f t="shared" si="306"/>
        <v>46380</v>
      </c>
      <c r="Z99" s="85">
        <f t="shared" si="306"/>
        <v>46381</v>
      </c>
      <c r="AA99" s="88">
        <f t="shared" si="302"/>
        <v>46382</v>
      </c>
      <c r="AB99" s="89">
        <f t="shared" si="303"/>
        <v>46383</v>
      </c>
      <c r="AC99" s="85">
        <f t="shared" si="304"/>
        <v>46384</v>
      </c>
      <c r="AD99" s="85">
        <f t="shared" si="305"/>
        <v>46385</v>
      </c>
      <c r="AE99" s="85">
        <f t="shared" si="306"/>
        <v>46386</v>
      </c>
      <c r="AF99" s="85">
        <f t="shared" si="306"/>
        <v>46387</v>
      </c>
      <c r="AG99" s="41"/>
    </row>
    <row r="100" spans="1:34" ht="18.75" customHeight="1" outlineLevel="1">
      <c r="A100" s="137" t="s">
        <v>25</v>
      </c>
      <c r="B100" s="162" t="s">
        <v>38</v>
      </c>
      <c r="C100" s="162" t="s">
        <v>38</v>
      </c>
      <c r="D100" s="164" t="s">
        <v>39</v>
      </c>
      <c r="E100" s="164" t="s">
        <v>39</v>
      </c>
      <c r="F100" s="121"/>
      <c r="G100" s="123"/>
      <c r="H100" s="162" t="s">
        <v>38</v>
      </c>
      <c r="I100" s="162" t="s">
        <v>38</v>
      </c>
      <c r="J100" s="164" t="s">
        <v>39</v>
      </c>
      <c r="K100" s="164" t="s">
        <v>39</v>
      </c>
      <c r="L100" s="178"/>
      <c r="M100" s="121"/>
      <c r="N100" s="123"/>
      <c r="O100" s="162" t="s">
        <v>38</v>
      </c>
      <c r="P100" s="162" t="s">
        <v>38</v>
      </c>
      <c r="Q100" s="162" t="s">
        <v>38</v>
      </c>
      <c r="R100" s="162" t="s">
        <v>38</v>
      </c>
      <c r="S100" s="170"/>
      <c r="T100" s="121"/>
      <c r="U100" s="123"/>
      <c r="V100" s="166"/>
      <c r="W100" s="170"/>
      <c r="X100" s="172"/>
      <c r="Y100" s="133"/>
      <c r="Z100" s="133"/>
      <c r="AA100" s="121"/>
      <c r="AB100" s="123"/>
      <c r="AC100" s="119"/>
      <c r="AD100" s="119"/>
      <c r="AE100" s="119"/>
      <c r="AF100" s="119"/>
      <c r="AG100" s="41"/>
    </row>
    <row r="101" spans="1:34" ht="18.75" customHeight="1" outlineLevel="1">
      <c r="A101" s="138"/>
      <c r="B101" s="163"/>
      <c r="C101" s="163"/>
      <c r="D101" s="165"/>
      <c r="E101" s="165"/>
      <c r="F101" s="122"/>
      <c r="G101" s="124"/>
      <c r="H101" s="163"/>
      <c r="I101" s="163"/>
      <c r="J101" s="165"/>
      <c r="K101" s="165"/>
      <c r="L101" s="179"/>
      <c r="M101" s="122"/>
      <c r="N101" s="124"/>
      <c r="O101" s="163"/>
      <c r="P101" s="163"/>
      <c r="Q101" s="163"/>
      <c r="R101" s="163"/>
      <c r="S101" s="171"/>
      <c r="T101" s="122"/>
      <c r="U101" s="124"/>
      <c r="V101" s="167"/>
      <c r="W101" s="171"/>
      <c r="X101" s="173"/>
      <c r="Y101" s="134"/>
      <c r="Z101" s="134"/>
      <c r="AA101" s="122"/>
      <c r="AB101" s="124"/>
      <c r="AC101" s="120"/>
      <c r="AD101" s="120"/>
      <c r="AE101" s="120"/>
      <c r="AF101" s="120"/>
      <c r="AG101" s="41"/>
    </row>
    <row r="102" spans="1:34" ht="16.5" customHeight="1" outlineLevel="1">
      <c r="A102" s="59" t="s">
        <v>26</v>
      </c>
      <c r="B102" s="60" t="str">
        <f>IF(ISERROR(VLOOKUP(B100,$K$124:$AC$141,12,FALSE)),"",VLOOKUP(B100,$K$124:$AC$141,12,FALSE))</f>
        <v>Gizelle</v>
      </c>
      <c r="C102" s="60" t="str">
        <f>IF(ISERROR(VLOOKUP(C100,$K$124:$AC$141,12,FALSE)),"",VLOOKUP(C100,$K$124:$AC$141,12,FALSE))</f>
        <v>Gizelle</v>
      </c>
      <c r="D102" s="60" t="str">
        <f>IF(ISERROR(VLOOKUP(D100,$K$124:$AC$141,12,FALSE)),"",VLOOKUP(D100,$K$124:$AC$141,12,FALSE))</f>
        <v>Gizelle</v>
      </c>
      <c r="E102" s="60" t="str">
        <f>IF(ISERROR(VLOOKUP(E100,$K$124:$AC$141,12,FALSE)),"",VLOOKUP(E100,$K$124:$AC$141,12,FALSE))</f>
        <v>Gizelle</v>
      </c>
      <c r="F102" s="61" t="str">
        <f>IF(ISERROR(VLOOKUP(F100,$K$124:$AC$141,12,FALSE)),"",VLOOKUP(F100,$K$124:$AC$141,12,FALSE))</f>
        <v/>
      </c>
      <c r="G102" s="96"/>
      <c r="H102" s="110" t="str">
        <f t="shared" ref="H102:M102" si="307">IF(ISERROR(VLOOKUP(H100,$K$124:$AC$141,12,FALSE)),"",VLOOKUP(H100,$K$124:$AC$141,12,FALSE))</f>
        <v>Gizelle</v>
      </c>
      <c r="I102" s="60" t="str">
        <f t="shared" si="307"/>
        <v>Gizelle</v>
      </c>
      <c r="J102" s="60" t="str">
        <f t="shared" si="307"/>
        <v>Gizelle</v>
      </c>
      <c r="K102" s="60" t="str">
        <f t="shared" si="307"/>
        <v>Gizelle</v>
      </c>
      <c r="L102" s="110" t="str">
        <f t="shared" si="307"/>
        <v/>
      </c>
      <c r="M102" s="61" t="str">
        <f t="shared" si="307"/>
        <v/>
      </c>
      <c r="N102" s="96"/>
      <c r="O102" s="60" t="str">
        <f t="shared" ref="O102:T102" si="308">IF(ISERROR(VLOOKUP(O100,$K$124:$AC$141,12,FALSE)),"",VLOOKUP(O100,$K$124:$AC$141,12,FALSE))</f>
        <v>Gizelle</v>
      </c>
      <c r="P102" s="60" t="str">
        <f t="shared" si="308"/>
        <v>Gizelle</v>
      </c>
      <c r="Q102" s="60" t="str">
        <f t="shared" si="308"/>
        <v>Gizelle</v>
      </c>
      <c r="R102" s="60" t="str">
        <f t="shared" si="308"/>
        <v>Gizelle</v>
      </c>
      <c r="S102" s="60" t="str">
        <f t="shared" si="308"/>
        <v/>
      </c>
      <c r="T102" s="61" t="str">
        <f t="shared" si="308"/>
        <v/>
      </c>
      <c r="U102" s="96"/>
      <c r="V102" s="60" t="str">
        <f>IF(ISERROR(VLOOKUP(V100,$K$124:$AC$141,12,FALSE)),"",VLOOKUP(V100,$K$124:$AC$141,12,FALSE))</f>
        <v/>
      </c>
      <c r="W102" s="60" t="str">
        <f>IF(ISERROR(VLOOKUP(W100,$K$124:$AC$141,12,FALSE)),"",VLOOKUP(W100,$K$124:$AC$141,12,FALSE))</f>
        <v/>
      </c>
      <c r="X102" s="60" t="str">
        <f>IF(ISERROR(VLOOKUP(X100,$K$124:$AC$141,12,FALSE)),"",VLOOKUP(X100,$K$124:$AC$141,12,FALSE))</f>
        <v/>
      </c>
      <c r="Y102" s="95" t="str">
        <f>IF(ISERROR(VLOOKUP(Y100,$K$124:$AC$141,12,FALSE)),"",VLOOKUP(Y100,$K$124:$AC$141,12,FALSE))</f>
        <v/>
      </c>
      <c r="Z102" s="95"/>
      <c r="AA102" s="61" t="str">
        <f>IF(ISERROR(VLOOKUP(AA100,$K$124:$AC$141,12,FALSE)),"",VLOOKUP(AA100,$K$124:$AC$141,12,FALSE))</f>
        <v/>
      </c>
      <c r="AB102" s="96"/>
      <c r="AC102" s="60" t="str">
        <f>IF(ISERROR(VLOOKUP(AC100,$K$124:$AC$141,12,FALSE)),"",VLOOKUP(AC100,$K$124:$AC$141,12,FALSE))</f>
        <v/>
      </c>
      <c r="AD102" s="60" t="str">
        <f>IF(ISERROR(VLOOKUP(AD100,$K$124:$AC$141,12,FALSE)),"",VLOOKUP(AD100,$K$124:$AC$141,12,FALSE))</f>
        <v/>
      </c>
      <c r="AE102" s="60" t="str">
        <f>IF(ISERROR(VLOOKUP(AE100,$K$124:$AC$141,12,FALSE)),"",VLOOKUP(AE100,$K$124:$AC$141,12,FALSE))</f>
        <v/>
      </c>
      <c r="AF102" s="60" t="str">
        <f>IF(ISERROR(VLOOKUP(AF100,$K$124:$AC$141,12,FALSE)),"",VLOOKUP(AF100,$K$124:$AC$141,12,FALSE))</f>
        <v/>
      </c>
      <c r="AG102" s="41"/>
    </row>
    <row r="103" spans="1:34" ht="15.75" customHeight="1" outlineLevel="1">
      <c r="A103" s="67" t="s">
        <v>27</v>
      </c>
      <c r="B103" s="63">
        <f>IF(ISERROR(VLOOKUP(B100,$K$124:$AC$141,15,FALSE)),"",VLOOKUP(B100,$K$124:$AC$141,15,FALSE))</f>
        <v>0</v>
      </c>
      <c r="C103" s="63">
        <f>IF(ISERROR(VLOOKUP(C100,$K$124:$AC$141,15,FALSE)),"",VLOOKUP(C100,$K$124:$AC$141,15,FALSE))</f>
        <v>0</v>
      </c>
      <c r="D103" s="63">
        <f>IF(ISERROR(VLOOKUP(D100,$K$124:$AC$141,15,FALSE)),"",VLOOKUP(D100,$K$124:$AC$141,15,FALSE))</f>
        <v>0</v>
      </c>
      <c r="E103" s="63">
        <f>IF(ISERROR(VLOOKUP(E100,$K$124:$AC$141,15,FALSE)),"",VLOOKUP(E100,$K$124:$AC$141,15,FALSE))</f>
        <v>0</v>
      </c>
      <c r="F103" s="64" t="str">
        <f>IF(ISERROR(VLOOKUP(F100,$K$124:$AC$141,15,FALSE)),"",VLOOKUP(F100,$K$124:$AC$141,15,FALSE))</f>
        <v/>
      </c>
      <c r="G103" s="98"/>
      <c r="H103" s="111">
        <f t="shared" ref="H103:M103" si="309">IF(ISERROR(VLOOKUP(H100,$K$124:$AC$141,15,FALSE)),"",VLOOKUP(H100,$K$124:$AC$141,15,FALSE))</f>
        <v>0</v>
      </c>
      <c r="I103" s="63">
        <f t="shared" si="309"/>
        <v>0</v>
      </c>
      <c r="J103" s="63">
        <f t="shared" si="309"/>
        <v>0</v>
      </c>
      <c r="K103" s="63">
        <f t="shared" si="309"/>
        <v>0</v>
      </c>
      <c r="L103" s="111" t="str">
        <f t="shared" si="309"/>
        <v/>
      </c>
      <c r="M103" s="64" t="str">
        <f t="shared" si="309"/>
        <v/>
      </c>
      <c r="N103" s="98"/>
      <c r="O103" s="63">
        <f t="shared" ref="O103:T103" si="310">IF(ISERROR(VLOOKUP(O100,$K$124:$AC$141,15,FALSE)),"",VLOOKUP(O100,$K$124:$AC$141,15,FALSE))</f>
        <v>0</v>
      </c>
      <c r="P103" s="63">
        <f t="shared" si="310"/>
        <v>0</v>
      </c>
      <c r="Q103" s="63">
        <f t="shared" si="310"/>
        <v>0</v>
      </c>
      <c r="R103" s="63">
        <f t="shared" si="310"/>
        <v>0</v>
      </c>
      <c r="S103" s="63" t="str">
        <f t="shared" si="310"/>
        <v/>
      </c>
      <c r="T103" s="64" t="str">
        <f t="shared" si="310"/>
        <v/>
      </c>
      <c r="U103" s="98"/>
      <c r="V103" s="63" t="str">
        <f>IF(ISERROR(VLOOKUP(V100,$K$124:$AC$141,15,FALSE)),"",VLOOKUP(V100,$K$124:$AC$141,15,FALSE))</f>
        <v/>
      </c>
      <c r="W103" s="63" t="str">
        <f>IF(ISERROR(VLOOKUP(W100,$K$124:$AC$141,15,FALSE)),"",VLOOKUP(W100,$K$124:$AC$141,15,FALSE))</f>
        <v/>
      </c>
      <c r="X103" s="63" t="str">
        <f>IF(ISERROR(VLOOKUP(X100,$K$124:$AC$141,15,FALSE)),"",VLOOKUP(X100,$K$124:$AC$141,15,FALSE))</f>
        <v/>
      </c>
      <c r="Y103" s="97" t="str">
        <f>IF(ISERROR(VLOOKUP(Y100,$K$124:$AC$141,15,FALSE)),"",VLOOKUP(Y100,$K$124:$AC$141,15,FALSE))</f>
        <v/>
      </c>
      <c r="Z103" s="97"/>
      <c r="AA103" s="64" t="str">
        <f>IF(ISERROR(VLOOKUP(AA100,$K$124:$AC$141,15,FALSE)),"",VLOOKUP(AA100,$K$124:$AC$141,15,FALSE))</f>
        <v/>
      </c>
      <c r="AB103" s="98"/>
      <c r="AC103" s="63" t="str">
        <f>IF(ISERROR(VLOOKUP(AC100,$K$124:$AC$141,15,FALSE)),"",VLOOKUP(AC100,$K$124:$AC$141,15,FALSE))</f>
        <v/>
      </c>
      <c r="AD103" s="63" t="str">
        <f>IF(ISERROR(VLOOKUP(AD100,$K$124:$AC$141,15,FALSE)),"",VLOOKUP(AD100,$K$124:$AC$141,15,FALSE))</f>
        <v/>
      </c>
      <c r="AE103" s="63" t="str">
        <f>IF(ISERROR(VLOOKUP(AE100,$K$124:$AC$141,15,FALSE)),"",VLOOKUP(AE100,$K$124:$AC$141,15,FALSE))</f>
        <v/>
      </c>
      <c r="AF103" s="63" t="str">
        <f>IF(ISERROR(VLOOKUP(AF100,$K$124:$AC$141,15,FALSE)),"",VLOOKUP(AF100,$K$124:$AC$141,15,FALSE))</f>
        <v/>
      </c>
      <c r="AG103" s="42"/>
    </row>
    <row r="104" spans="1:34" ht="15.75" customHeight="1" outlineLevel="1">
      <c r="A104" s="104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117" t="s">
        <v>49</v>
      </c>
      <c r="S104" s="79"/>
      <c r="T104" s="79"/>
      <c r="U104" s="79"/>
      <c r="V104" s="79"/>
      <c r="W104" s="79"/>
      <c r="X104" s="79"/>
      <c r="Y104" s="79"/>
      <c r="Z104" s="79" t="s">
        <v>50</v>
      </c>
      <c r="AA104" s="79"/>
      <c r="AB104" s="79"/>
      <c r="AC104" s="79"/>
      <c r="AD104" s="79"/>
      <c r="AE104" s="79"/>
      <c r="AF104" s="79"/>
      <c r="AG104" s="79"/>
    </row>
    <row r="105" spans="1:34" ht="24.6" hidden="1" outlineLevel="1">
      <c r="A105" s="131">
        <f>A97+31</f>
        <v>46388</v>
      </c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61"/>
      <c r="AG105" s="40"/>
    </row>
    <row r="106" spans="1:34" ht="15" hidden="1" outlineLevel="1">
      <c r="A106" s="135"/>
      <c r="B106" s="84">
        <f>A105</f>
        <v>46388</v>
      </c>
      <c r="C106" s="86">
        <f t="shared" ref="C106:C107" si="311">B106+1</f>
        <v>46389</v>
      </c>
      <c r="D106" s="87">
        <f t="shared" ref="D106:D107" si="312">C106+1</f>
        <v>46390</v>
      </c>
      <c r="E106" s="84">
        <f t="shared" ref="E106:E107" si="313">D106+1</f>
        <v>46391</v>
      </c>
      <c r="F106" s="84">
        <f t="shared" ref="F106:F107" si="314">E106+1</f>
        <v>46392</v>
      </c>
      <c r="G106" s="84">
        <f t="shared" ref="G106:G107" si="315">F106+1</f>
        <v>46393</v>
      </c>
      <c r="H106" s="84">
        <f t="shared" ref="H106:H107" si="316">G106+1</f>
        <v>46394</v>
      </c>
      <c r="I106" s="84">
        <f t="shared" ref="I106:I107" si="317">H106+1</f>
        <v>46395</v>
      </c>
      <c r="J106" s="86">
        <f t="shared" ref="J106:J107" si="318">I106+1</f>
        <v>46396</v>
      </c>
      <c r="K106" s="87">
        <f t="shared" ref="K106:K107" si="319">J106+1</f>
        <v>46397</v>
      </c>
      <c r="L106" s="84">
        <f t="shared" ref="L106:L107" si="320">K106+1</f>
        <v>46398</v>
      </c>
      <c r="M106" s="84">
        <f t="shared" ref="M106:M107" si="321">L106+1</f>
        <v>46399</v>
      </c>
      <c r="N106" s="84">
        <f t="shared" ref="N106:N107" si="322">M106+1</f>
        <v>46400</v>
      </c>
      <c r="O106" s="84">
        <f t="shared" ref="O106:O107" si="323">N106+1</f>
        <v>46401</v>
      </c>
      <c r="P106" s="84">
        <f t="shared" ref="P106:P107" si="324">O106+1</f>
        <v>46402</v>
      </c>
      <c r="Q106" s="86">
        <f t="shared" ref="Q106:Q107" si="325">P106+1</f>
        <v>46403</v>
      </c>
      <c r="R106" s="87">
        <f t="shared" ref="R106:R107" si="326">Q106+1</f>
        <v>46404</v>
      </c>
      <c r="S106" s="84">
        <f t="shared" ref="S106:S107" si="327">R106+1</f>
        <v>46405</v>
      </c>
      <c r="T106" s="84">
        <f t="shared" ref="T106:T107" si="328">S106+1</f>
        <v>46406</v>
      </c>
      <c r="U106" s="84">
        <f t="shared" ref="U106:U107" si="329">T106+1</f>
        <v>46407</v>
      </c>
      <c r="V106" s="84">
        <f t="shared" ref="V106:V107" si="330">U106+1</f>
        <v>46408</v>
      </c>
      <c r="W106" s="84">
        <f t="shared" ref="W106:W107" si="331">V106+1</f>
        <v>46409</v>
      </c>
      <c r="X106" s="86">
        <f t="shared" ref="X106:X107" si="332">W106+1</f>
        <v>46410</v>
      </c>
      <c r="Y106" s="87">
        <f t="shared" ref="Y106:Y107" si="333">X106+1</f>
        <v>46411</v>
      </c>
      <c r="Z106" s="84">
        <f t="shared" ref="Z106:Z107" si="334">Y106+1</f>
        <v>46412</v>
      </c>
      <c r="AA106" s="84">
        <f t="shared" ref="AA106:AA107" si="335">Z106+1</f>
        <v>46413</v>
      </c>
      <c r="AB106" s="84">
        <f t="shared" ref="AB106:AB107" si="336">AA106+1</f>
        <v>46414</v>
      </c>
      <c r="AC106" s="84">
        <f t="shared" ref="AC106:AC107" si="337">AB106+1</f>
        <v>46415</v>
      </c>
      <c r="AD106" s="84">
        <f t="shared" ref="AD106:AD107" si="338">AC106+1</f>
        <v>46416</v>
      </c>
      <c r="AE106" s="86">
        <f t="shared" ref="AE106:AE107" si="339">AD106+1</f>
        <v>46417</v>
      </c>
      <c r="AF106" s="87">
        <f t="shared" ref="AF106:AF107" si="340">AE106+1</f>
        <v>46418</v>
      </c>
      <c r="AG106" s="41"/>
    </row>
    <row r="107" spans="1:34" s="30" customFormat="1" ht="15.6" hidden="1" outlineLevel="1">
      <c r="A107" s="136"/>
      <c r="B107" s="85">
        <f>A105</f>
        <v>46388</v>
      </c>
      <c r="C107" s="88">
        <f t="shared" si="311"/>
        <v>46389</v>
      </c>
      <c r="D107" s="89">
        <f t="shared" si="312"/>
        <v>46390</v>
      </c>
      <c r="E107" s="85">
        <f t="shared" si="313"/>
        <v>46391</v>
      </c>
      <c r="F107" s="85">
        <f t="shared" si="314"/>
        <v>46392</v>
      </c>
      <c r="G107" s="85">
        <f t="shared" si="315"/>
        <v>46393</v>
      </c>
      <c r="H107" s="85">
        <f t="shared" si="316"/>
        <v>46394</v>
      </c>
      <c r="I107" s="85">
        <f t="shared" si="317"/>
        <v>46395</v>
      </c>
      <c r="J107" s="88">
        <f t="shared" si="318"/>
        <v>46396</v>
      </c>
      <c r="K107" s="89">
        <f t="shared" si="319"/>
        <v>46397</v>
      </c>
      <c r="L107" s="85">
        <f t="shared" si="320"/>
        <v>46398</v>
      </c>
      <c r="M107" s="85">
        <f t="shared" si="321"/>
        <v>46399</v>
      </c>
      <c r="N107" s="85">
        <f t="shared" si="322"/>
        <v>46400</v>
      </c>
      <c r="O107" s="85">
        <f t="shared" si="323"/>
        <v>46401</v>
      </c>
      <c r="P107" s="85">
        <f t="shared" si="324"/>
        <v>46402</v>
      </c>
      <c r="Q107" s="88">
        <f t="shared" si="325"/>
        <v>46403</v>
      </c>
      <c r="R107" s="89">
        <f t="shared" si="326"/>
        <v>46404</v>
      </c>
      <c r="S107" s="85">
        <f t="shared" si="327"/>
        <v>46405</v>
      </c>
      <c r="T107" s="85">
        <f t="shared" si="328"/>
        <v>46406</v>
      </c>
      <c r="U107" s="85">
        <f t="shared" si="329"/>
        <v>46407</v>
      </c>
      <c r="V107" s="85">
        <f t="shared" si="330"/>
        <v>46408</v>
      </c>
      <c r="W107" s="85">
        <f t="shared" si="331"/>
        <v>46409</v>
      </c>
      <c r="X107" s="88">
        <f t="shared" si="332"/>
        <v>46410</v>
      </c>
      <c r="Y107" s="89">
        <f t="shared" si="333"/>
        <v>46411</v>
      </c>
      <c r="Z107" s="85">
        <f t="shared" si="334"/>
        <v>46412</v>
      </c>
      <c r="AA107" s="85">
        <f t="shared" si="335"/>
        <v>46413</v>
      </c>
      <c r="AB107" s="85">
        <f t="shared" si="336"/>
        <v>46414</v>
      </c>
      <c r="AC107" s="85">
        <f t="shared" si="337"/>
        <v>46415</v>
      </c>
      <c r="AD107" s="85">
        <f t="shared" si="338"/>
        <v>46416</v>
      </c>
      <c r="AE107" s="88">
        <f t="shared" si="339"/>
        <v>46417</v>
      </c>
      <c r="AF107" s="89">
        <f t="shared" si="340"/>
        <v>46418</v>
      </c>
      <c r="AG107" s="41"/>
    </row>
    <row r="108" spans="1:34" ht="18.75" hidden="1" customHeight="1" outlineLevel="1">
      <c r="A108" s="137" t="s">
        <v>25</v>
      </c>
      <c r="B108" s="133"/>
      <c r="C108" s="121"/>
      <c r="D108" s="123"/>
      <c r="E108" s="119"/>
      <c r="F108" s="119"/>
      <c r="G108" s="119"/>
      <c r="H108" s="119"/>
      <c r="I108" s="119"/>
      <c r="J108" s="121"/>
      <c r="K108" s="123"/>
      <c r="L108" s="119"/>
      <c r="M108" s="119"/>
      <c r="N108" s="119"/>
      <c r="O108" s="119"/>
      <c r="P108" s="119"/>
      <c r="Q108" s="121"/>
      <c r="R108" s="123"/>
      <c r="S108" s="119"/>
      <c r="T108" s="119"/>
      <c r="U108" s="119"/>
      <c r="V108" s="119"/>
      <c r="W108" s="119"/>
      <c r="X108" s="121"/>
      <c r="Y108" s="123"/>
      <c r="Z108" s="119"/>
      <c r="AA108" s="119"/>
      <c r="AB108" s="119"/>
      <c r="AC108" s="119"/>
      <c r="AD108" s="119"/>
      <c r="AE108" s="121"/>
      <c r="AF108" s="123"/>
      <c r="AG108" s="41"/>
    </row>
    <row r="109" spans="1:34" ht="18.75" hidden="1" customHeight="1" outlineLevel="1">
      <c r="A109" s="138"/>
      <c r="B109" s="134"/>
      <c r="C109" s="122"/>
      <c r="D109" s="124"/>
      <c r="E109" s="120"/>
      <c r="F109" s="120"/>
      <c r="G109" s="120"/>
      <c r="H109" s="120"/>
      <c r="I109" s="120"/>
      <c r="J109" s="122"/>
      <c r="K109" s="124"/>
      <c r="L109" s="120"/>
      <c r="M109" s="120"/>
      <c r="N109" s="120"/>
      <c r="O109" s="120"/>
      <c r="P109" s="120"/>
      <c r="Q109" s="122"/>
      <c r="R109" s="124"/>
      <c r="S109" s="120"/>
      <c r="T109" s="120"/>
      <c r="U109" s="120"/>
      <c r="V109" s="120"/>
      <c r="W109" s="120"/>
      <c r="X109" s="122"/>
      <c r="Y109" s="124"/>
      <c r="Z109" s="120"/>
      <c r="AA109" s="120"/>
      <c r="AB109" s="120"/>
      <c r="AC109" s="120"/>
      <c r="AD109" s="120"/>
      <c r="AE109" s="122"/>
      <c r="AF109" s="124"/>
      <c r="AG109" s="41"/>
    </row>
    <row r="110" spans="1:34" ht="16.5" hidden="1" customHeight="1" outlineLevel="1">
      <c r="A110" s="59" t="s">
        <v>26</v>
      </c>
      <c r="B110" s="95"/>
      <c r="C110" s="61" t="str">
        <f>IF(ISERROR(VLOOKUP(C108,$K$124:$AC$141,12,FALSE)),"",VLOOKUP(C108,$K$124:$AC$141,12,FALSE))</f>
        <v/>
      </c>
      <c r="D110" s="96"/>
      <c r="E110" s="60" t="str">
        <f t="shared" ref="E110:J110" si="341">IF(ISERROR(VLOOKUP(E108,$K$124:$AC$141,12,FALSE)),"",VLOOKUP(E108,$K$124:$AC$141,12,FALSE))</f>
        <v/>
      </c>
      <c r="F110" s="60" t="str">
        <f t="shared" si="341"/>
        <v/>
      </c>
      <c r="G110" s="60" t="str">
        <f t="shared" si="341"/>
        <v/>
      </c>
      <c r="H110" s="60" t="str">
        <f t="shared" si="341"/>
        <v/>
      </c>
      <c r="I110" s="60" t="str">
        <f t="shared" si="341"/>
        <v/>
      </c>
      <c r="J110" s="61" t="str">
        <f t="shared" si="341"/>
        <v/>
      </c>
      <c r="K110" s="96"/>
      <c r="L110" s="60" t="str">
        <f t="shared" ref="L110:Q110" si="342">IF(ISERROR(VLOOKUP(L108,$K$124:$AC$141,12,FALSE)),"",VLOOKUP(L108,$K$124:$AC$141,12,FALSE))</f>
        <v/>
      </c>
      <c r="M110" s="60" t="str">
        <f t="shared" si="342"/>
        <v/>
      </c>
      <c r="N110" s="60" t="str">
        <f t="shared" si="342"/>
        <v/>
      </c>
      <c r="O110" s="60" t="str">
        <f t="shared" si="342"/>
        <v/>
      </c>
      <c r="P110" s="60" t="str">
        <f t="shared" si="342"/>
        <v/>
      </c>
      <c r="Q110" s="61" t="str">
        <f t="shared" si="342"/>
        <v/>
      </c>
      <c r="R110" s="96"/>
      <c r="S110" s="60" t="str">
        <f t="shared" ref="S110:X110" si="343">IF(ISERROR(VLOOKUP(S108,$K$124:$AC$141,12,FALSE)),"",VLOOKUP(S108,$K$124:$AC$141,12,FALSE))</f>
        <v/>
      </c>
      <c r="T110" s="60" t="str">
        <f t="shared" si="343"/>
        <v/>
      </c>
      <c r="U110" s="60" t="str">
        <f t="shared" si="343"/>
        <v/>
      </c>
      <c r="V110" s="60" t="str">
        <f t="shared" si="343"/>
        <v/>
      </c>
      <c r="W110" s="60" t="str">
        <f t="shared" si="343"/>
        <v/>
      </c>
      <c r="X110" s="61" t="str">
        <f t="shared" si="343"/>
        <v/>
      </c>
      <c r="Y110" s="96"/>
      <c r="Z110" s="60" t="str">
        <f t="shared" ref="Z110:AE110" si="344">IF(ISERROR(VLOOKUP(Z108,$K$124:$AC$141,12,FALSE)),"",VLOOKUP(Z108,$K$124:$AC$141,12,FALSE))</f>
        <v/>
      </c>
      <c r="AA110" s="60" t="str">
        <f t="shared" si="344"/>
        <v/>
      </c>
      <c r="AB110" s="60" t="str">
        <f t="shared" si="344"/>
        <v/>
      </c>
      <c r="AC110" s="60" t="str">
        <f t="shared" si="344"/>
        <v/>
      </c>
      <c r="AD110" s="60" t="str">
        <f t="shared" si="344"/>
        <v/>
      </c>
      <c r="AE110" s="61" t="str">
        <f t="shared" si="344"/>
        <v/>
      </c>
      <c r="AF110" s="96"/>
      <c r="AG110" s="41"/>
    </row>
    <row r="111" spans="1:34" ht="15.75" hidden="1" customHeight="1" outlineLevel="1">
      <c r="A111" s="67" t="s">
        <v>27</v>
      </c>
      <c r="B111" s="97"/>
      <c r="C111" s="64" t="str">
        <f>IF(ISERROR(VLOOKUP(C108,$K$124:$AC$141,15,FALSE)),"",VLOOKUP(C108,$K$124:$AC$141,15,FALSE))</f>
        <v/>
      </c>
      <c r="D111" s="98"/>
      <c r="E111" s="63" t="str">
        <f t="shared" ref="E111:J111" si="345">IF(ISERROR(VLOOKUP(E108,$K$124:$AC$141,15,FALSE)),"",VLOOKUP(E108,$K$124:$AC$141,15,FALSE))</f>
        <v/>
      </c>
      <c r="F111" s="63" t="str">
        <f t="shared" si="345"/>
        <v/>
      </c>
      <c r="G111" s="63" t="str">
        <f t="shared" si="345"/>
        <v/>
      </c>
      <c r="H111" s="63" t="str">
        <f t="shared" si="345"/>
        <v/>
      </c>
      <c r="I111" s="63" t="str">
        <f t="shared" si="345"/>
        <v/>
      </c>
      <c r="J111" s="64" t="str">
        <f t="shared" si="345"/>
        <v/>
      </c>
      <c r="K111" s="98"/>
      <c r="L111" s="63" t="str">
        <f t="shared" ref="L111:Q111" si="346">IF(ISERROR(VLOOKUP(L108,$K$124:$AC$141,15,FALSE)),"",VLOOKUP(L108,$K$124:$AC$141,15,FALSE))</f>
        <v/>
      </c>
      <c r="M111" s="63" t="str">
        <f t="shared" si="346"/>
        <v/>
      </c>
      <c r="N111" s="63" t="str">
        <f t="shared" si="346"/>
        <v/>
      </c>
      <c r="O111" s="63" t="str">
        <f t="shared" si="346"/>
        <v/>
      </c>
      <c r="P111" s="63" t="str">
        <f t="shared" si="346"/>
        <v/>
      </c>
      <c r="Q111" s="64" t="str">
        <f t="shared" si="346"/>
        <v/>
      </c>
      <c r="R111" s="98"/>
      <c r="S111" s="63" t="str">
        <f t="shared" ref="S111:X111" si="347">IF(ISERROR(VLOOKUP(S108,$K$124:$AC$141,15,FALSE)),"",VLOOKUP(S108,$K$124:$AC$141,15,FALSE))</f>
        <v/>
      </c>
      <c r="T111" s="63" t="str">
        <f t="shared" si="347"/>
        <v/>
      </c>
      <c r="U111" s="63" t="str">
        <f t="shared" si="347"/>
        <v/>
      </c>
      <c r="V111" s="63" t="str">
        <f t="shared" si="347"/>
        <v/>
      </c>
      <c r="W111" s="63" t="str">
        <f t="shared" si="347"/>
        <v/>
      </c>
      <c r="X111" s="64" t="str">
        <f t="shared" si="347"/>
        <v/>
      </c>
      <c r="Y111" s="98"/>
      <c r="Z111" s="63" t="str">
        <f t="shared" ref="Z111:AE111" si="348">IF(ISERROR(VLOOKUP(Z108,$K$124:$AC$141,15,FALSE)),"",VLOOKUP(Z108,$K$124:$AC$141,15,FALSE))</f>
        <v/>
      </c>
      <c r="AA111" s="63" t="str">
        <f t="shared" si="348"/>
        <v/>
      </c>
      <c r="AB111" s="63" t="str">
        <f t="shared" si="348"/>
        <v/>
      </c>
      <c r="AC111" s="63" t="str">
        <f t="shared" si="348"/>
        <v/>
      </c>
      <c r="AD111" s="63" t="str">
        <f t="shared" si="348"/>
        <v/>
      </c>
      <c r="AE111" s="64" t="str">
        <f t="shared" si="348"/>
        <v/>
      </c>
      <c r="AF111" s="98"/>
      <c r="AG111" s="42"/>
    </row>
    <row r="112" spans="1:34" ht="15.75" customHeight="1" outlineLevel="1">
      <c r="A112" s="104"/>
      <c r="B112" s="65" t="s">
        <v>28</v>
      </c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</row>
    <row r="113" spans="1:90" ht="24.6" hidden="1" outlineLevel="1">
      <c r="A113" s="131">
        <f>A105+31</f>
        <v>46419</v>
      </c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25"/>
      <c r="AE113" s="125"/>
      <c r="AF113" s="126"/>
      <c r="AG113" s="40"/>
    </row>
    <row r="114" spans="1:90" ht="15" hidden="1" outlineLevel="1">
      <c r="A114" s="135"/>
      <c r="B114" s="84">
        <f>A113</f>
        <v>46419</v>
      </c>
      <c r="C114" s="84">
        <f>B114+1</f>
        <v>46420</v>
      </c>
      <c r="D114" s="84">
        <f t="shared" ref="D114:D115" si="349">C114+1</f>
        <v>46421</v>
      </c>
      <c r="E114" s="84">
        <f t="shared" ref="E114:E115" si="350">D114+1</f>
        <v>46422</v>
      </c>
      <c r="F114" s="84">
        <f t="shared" ref="F114:F115" si="351">E114+1</f>
        <v>46423</v>
      </c>
      <c r="G114" s="86">
        <f t="shared" ref="G114:G115" si="352">F114+1</f>
        <v>46424</v>
      </c>
      <c r="H114" s="87">
        <f t="shared" ref="H114:H115" si="353">G114+1</f>
        <v>46425</v>
      </c>
      <c r="I114" s="84">
        <f t="shared" ref="I114:I115" si="354">H114+1</f>
        <v>46426</v>
      </c>
      <c r="J114" s="84">
        <f t="shared" ref="J114:J115" si="355">I114+1</f>
        <v>46427</v>
      </c>
      <c r="K114" s="84">
        <f t="shared" ref="K114:K115" si="356">J114+1</f>
        <v>46428</v>
      </c>
      <c r="L114" s="84">
        <f t="shared" ref="L114:L115" si="357">K114+1</f>
        <v>46429</v>
      </c>
      <c r="M114" s="84">
        <f t="shared" ref="M114:M115" si="358">L114+1</f>
        <v>46430</v>
      </c>
      <c r="N114" s="86">
        <f t="shared" ref="N114:N115" si="359">M114+1</f>
        <v>46431</v>
      </c>
      <c r="O114" s="87">
        <f t="shared" ref="O114:O115" si="360">N114+1</f>
        <v>46432</v>
      </c>
      <c r="P114" s="84">
        <f t="shared" ref="P114:P115" si="361">O114+1</f>
        <v>46433</v>
      </c>
      <c r="Q114" s="84">
        <f t="shared" ref="Q114:Q115" si="362">P114+1</f>
        <v>46434</v>
      </c>
      <c r="R114" s="84">
        <f t="shared" ref="R114:R115" si="363">Q114+1</f>
        <v>46435</v>
      </c>
      <c r="S114" s="84">
        <f t="shared" ref="S114:S115" si="364">R114+1</f>
        <v>46436</v>
      </c>
      <c r="T114" s="84">
        <f t="shared" ref="T114:T115" si="365">S114+1</f>
        <v>46437</v>
      </c>
      <c r="U114" s="86">
        <f t="shared" ref="U114:U115" si="366">T114+1</f>
        <v>46438</v>
      </c>
      <c r="V114" s="87">
        <f t="shared" ref="V114:V115" si="367">U114+1</f>
        <v>46439</v>
      </c>
      <c r="W114" s="84">
        <f t="shared" ref="W114:W115" si="368">V114+1</f>
        <v>46440</v>
      </c>
      <c r="X114" s="84">
        <f t="shared" ref="X114:X115" si="369">W114+1</f>
        <v>46441</v>
      </c>
      <c r="Y114" s="84">
        <f t="shared" ref="Y114:Y115" si="370">X114+1</f>
        <v>46442</v>
      </c>
      <c r="Z114" s="84">
        <f t="shared" ref="Z114:Z115" si="371">Y114+1</f>
        <v>46443</v>
      </c>
      <c r="AA114" s="84">
        <f t="shared" ref="AA114:AA115" si="372">Z114+1</f>
        <v>46444</v>
      </c>
      <c r="AB114" s="86">
        <f t="shared" ref="AB114:AB115" si="373">AA114+1</f>
        <v>46445</v>
      </c>
      <c r="AC114" s="87">
        <f t="shared" ref="AC114:AC115" si="374">AB114+1</f>
        <v>46446</v>
      </c>
      <c r="AD114" s="127"/>
      <c r="AE114" s="127"/>
      <c r="AF114" s="128"/>
      <c r="AG114" s="41"/>
    </row>
    <row r="115" spans="1:90" s="30" customFormat="1" ht="15.6" hidden="1" outlineLevel="1">
      <c r="A115" s="136"/>
      <c r="B115" s="85">
        <f>A113</f>
        <v>46419</v>
      </c>
      <c r="C115" s="85">
        <f>B115+1</f>
        <v>46420</v>
      </c>
      <c r="D115" s="85">
        <f t="shared" si="349"/>
        <v>46421</v>
      </c>
      <c r="E115" s="85">
        <f t="shared" si="350"/>
        <v>46422</v>
      </c>
      <c r="F115" s="85">
        <f t="shared" si="351"/>
        <v>46423</v>
      </c>
      <c r="G115" s="88">
        <f t="shared" si="352"/>
        <v>46424</v>
      </c>
      <c r="H115" s="89">
        <f t="shared" si="353"/>
        <v>46425</v>
      </c>
      <c r="I115" s="85">
        <f t="shared" si="354"/>
        <v>46426</v>
      </c>
      <c r="J115" s="85">
        <f t="shared" si="355"/>
        <v>46427</v>
      </c>
      <c r="K115" s="85">
        <f t="shared" si="356"/>
        <v>46428</v>
      </c>
      <c r="L115" s="85">
        <f t="shared" si="357"/>
        <v>46429</v>
      </c>
      <c r="M115" s="85">
        <f t="shared" si="358"/>
        <v>46430</v>
      </c>
      <c r="N115" s="88">
        <f t="shared" si="359"/>
        <v>46431</v>
      </c>
      <c r="O115" s="89">
        <f t="shared" si="360"/>
        <v>46432</v>
      </c>
      <c r="P115" s="85">
        <f t="shared" si="361"/>
        <v>46433</v>
      </c>
      <c r="Q115" s="85">
        <f t="shared" si="362"/>
        <v>46434</v>
      </c>
      <c r="R115" s="85">
        <f t="shared" si="363"/>
        <v>46435</v>
      </c>
      <c r="S115" s="85">
        <f t="shared" si="364"/>
        <v>46436</v>
      </c>
      <c r="T115" s="85">
        <f t="shared" si="365"/>
        <v>46437</v>
      </c>
      <c r="U115" s="88">
        <f t="shared" si="366"/>
        <v>46438</v>
      </c>
      <c r="V115" s="89">
        <f t="shared" si="367"/>
        <v>46439</v>
      </c>
      <c r="W115" s="85">
        <f t="shared" si="368"/>
        <v>46440</v>
      </c>
      <c r="X115" s="85">
        <f t="shared" si="369"/>
        <v>46441</v>
      </c>
      <c r="Y115" s="85">
        <f t="shared" si="370"/>
        <v>46442</v>
      </c>
      <c r="Z115" s="85">
        <f t="shared" si="371"/>
        <v>46443</v>
      </c>
      <c r="AA115" s="85">
        <f t="shared" si="372"/>
        <v>46444</v>
      </c>
      <c r="AB115" s="88">
        <f t="shared" si="373"/>
        <v>46445</v>
      </c>
      <c r="AC115" s="89">
        <f t="shared" si="374"/>
        <v>46446</v>
      </c>
      <c r="AD115" s="127"/>
      <c r="AE115" s="127"/>
      <c r="AF115" s="128"/>
      <c r="AG115" s="41"/>
    </row>
    <row r="116" spans="1:90" ht="18.75" hidden="1" customHeight="1" outlineLevel="1">
      <c r="A116" s="137" t="s">
        <v>25</v>
      </c>
      <c r="B116" s="119"/>
      <c r="C116" s="119"/>
      <c r="D116" s="119"/>
      <c r="E116" s="119"/>
      <c r="F116" s="133"/>
      <c r="G116" s="121"/>
      <c r="H116" s="123"/>
      <c r="I116" s="133"/>
      <c r="J116" s="133"/>
      <c r="K116" s="133"/>
      <c r="L116" s="119"/>
      <c r="M116" s="119"/>
      <c r="N116" s="121"/>
      <c r="O116" s="123"/>
      <c r="P116" s="119"/>
      <c r="Q116" s="119"/>
      <c r="R116" s="119"/>
      <c r="S116" s="119"/>
      <c r="T116" s="119"/>
      <c r="U116" s="121"/>
      <c r="V116" s="123"/>
      <c r="W116" s="119"/>
      <c r="X116" s="119"/>
      <c r="Y116" s="119"/>
      <c r="Z116" s="119"/>
      <c r="AA116" s="119"/>
      <c r="AB116" s="121"/>
      <c r="AC116" s="123"/>
      <c r="AD116" s="127"/>
      <c r="AE116" s="127"/>
      <c r="AF116" s="128"/>
      <c r="AG116" s="41"/>
    </row>
    <row r="117" spans="1:90" ht="18.75" hidden="1" customHeight="1" outlineLevel="1">
      <c r="A117" s="138"/>
      <c r="B117" s="120"/>
      <c r="C117" s="120"/>
      <c r="D117" s="120"/>
      <c r="E117" s="120"/>
      <c r="F117" s="134"/>
      <c r="G117" s="122"/>
      <c r="H117" s="124"/>
      <c r="I117" s="134"/>
      <c r="J117" s="134"/>
      <c r="K117" s="134"/>
      <c r="L117" s="120"/>
      <c r="M117" s="120"/>
      <c r="N117" s="122"/>
      <c r="O117" s="124"/>
      <c r="P117" s="120"/>
      <c r="Q117" s="120"/>
      <c r="R117" s="120"/>
      <c r="S117" s="120"/>
      <c r="T117" s="120"/>
      <c r="U117" s="122"/>
      <c r="V117" s="124"/>
      <c r="W117" s="120"/>
      <c r="X117" s="120"/>
      <c r="Y117" s="120"/>
      <c r="Z117" s="120"/>
      <c r="AA117" s="120"/>
      <c r="AB117" s="122"/>
      <c r="AC117" s="124"/>
      <c r="AD117" s="127"/>
      <c r="AE117" s="127"/>
      <c r="AF117" s="128"/>
      <c r="AG117" s="41"/>
    </row>
    <row r="118" spans="1:90" ht="16.5" hidden="1" customHeight="1" outlineLevel="1">
      <c r="A118" s="59" t="s">
        <v>26</v>
      </c>
      <c r="B118" s="60" t="str">
        <f>IF(ISERROR(VLOOKUP(B116,$K$124:$AC$141,12,FALSE)),"",VLOOKUP(B116,$K$124:$AC$141,12,FALSE))</f>
        <v/>
      </c>
      <c r="C118" s="60" t="str">
        <f>IF(ISERROR(VLOOKUP(C116,$K$124:$AC$141,12,FALSE)),"",VLOOKUP(C116,$K$124:$AC$141,12,FALSE))</f>
        <v/>
      </c>
      <c r="D118" s="60" t="str">
        <f>IF(ISERROR(VLOOKUP(D116,$K$124:$AC$141,12,FALSE)),"",VLOOKUP(D116,$K$124:$AC$141,12,FALSE))</f>
        <v/>
      </c>
      <c r="E118" s="60" t="str">
        <f>IF(ISERROR(VLOOKUP(E116,$K$124:$AC$141,12,FALSE)),"",VLOOKUP(E116,$K$124:$AC$141,12,FALSE))</f>
        <v/>
      </c>
      <c r="F118" s="95"/>
      <c r="G118" s="61" t="str">
        <f>IF(ISERROR(VLOOKUP(G116,$K$124:$AC$141,12,FALSE)),"",VLOOKUP(G116,$K$124:$AC$141,12,FALSE))</f>
        <v/>
      </c>
      <c r="H118" s="96"/>
      <c r="I118" s="95"/>
      <c r="J118" s="95"/>
      <c r="K118" s="95"/>
      <c r="L118" s="60" t="str">
        <f>IF(ISERROR(VLOOKUP(L116,$K$124:$AC$141,12,FALSE)),"",VLOOKUP(L116,$K$124:$AC$141,12,FALSE))</f>
        <v/>
      </c>
      <c r="M118" s="60" t="str">
        <f>IF(ISERROR(VLOOKUP(M116,$K$124:$AC$141,12,FALSE)),"",VLOOKUP(M116,$K$124:$AC$141,12,FALSE))</f>
        <v/>
      </c>
      <c r="N118" s="61" t="str">
        <f>IF(ISERROR(VLOOKUP(N116,$K$124:$AC$141,12,FALSE)),"",VLOOKUP(N116,$K$124:$AC$141,12,FALSE))</f>
        <v/>
      </c>
      <c r="O118" s="96"/>
      <c r="P118" s="60" t="str">
        <f t="shared" ref="P118:U118" si="375">IF(ISERROR(VLOOKUP(P116,$K$124:$AC$141,12,FALSE)),"",VLOOKUP(P116,$K$124:$AC$141,12,FALSE))</f>
        <v/>
      </c>
      <c r="Q118" s="60" t="str">
        <f t="shared" si="375"/>
        <v/>
      </c>
      <c r="R118" s="60" t="str">
        <f t="shared" si="375"/>
        <v/>
      </c>
      <c r="S118" s="60" t="str">
        <f t="shared" si="375"/>
        <v/>
      </c>
      <c r="T118" s="60" t="str">
        <f t="shared" si="375"/>
        <v/>
      </c>
      <c r="U118" s="61" t="str">
        <f t="shared" si="375"/>
        <v/>
      </c>
      <c r="V118" s="96"/>
      <c r="W118" s="60" t="str">
        <f t="shared" ref="W118:AB118" si="376">IF(ISERROR(VLOOKUP(W116,$K$124:$AC$141,12,FALSE)),"",VLOOKUP(W116,$K$124:$AC$141,12,FALSE))</f>
        <v/>
      </c>
      <c r="X118" s="60" t="str">
        <f t="shared" si="376"/>
        <v/>
      </c>
      <c r="Y118" s="60" t="str">
        <f t="shared" si="376"/>
        <v/>
      </c>
      <c r="Z118" s="60" t="str">
        <f t="shared" si="376"/>
        <v/>
      </c>
      <c r="AA118" s="60" t="str">
        <f t="shared" si="376"/>
        <v/>
      </c>
      <c r="AB118" s="61" t="str">
        <f t="shared" si="376"/>
        <v/>
      </c>
      <c r="AC118" s="96"/>
      <c r="AD118" s="127"/>
      <c r="AE118" s="127"/>
      <c r="AF118" s="128"/>
      <c r="AG118" s="41"/>
    </row>
    <row r="119" spans="1:90" ht="15.75" hidden="1" customHeight="1" outlineLevel="1">
      <c r="A119" s="67" t="s">
        <v>27</v>
      </c>
      <c r="B119" s="63" t="str">
        <f>IF(ISERROR(VLOOKUP(B116,$K$124:$AC$141,15,FALSE)),"",VLOOKUP(B116,$K$124:$AC$141,15,FALSE))</f>
        <v/>
      </c>
      <c r="C119" s="63" t="str">
        <f>IF(ISERROR(VLOOKUP(C116,$K$124:$AC$141,15,FALSE)),"",VLOOKUP(C116,$K$124:$AC$141,15,FALSE))</f>
        <v/>
      </c>
      <c r="D119" s="63" t="str">
        <f>IF(ISERROR(VLOOKUP(D116,$K$124:$AC$141,15,FALSE)),"",VLOOKUP(D116,$K$124:$AC$141,15,FALSE))</f>
        <v/>
      </c>
      <c r="E119" s="63" t="str">
        <f>IF(ISERROR(VLOOKUP(E116,$K$124:$AC$141,15,FALSE)),"",VLOOKUP(E116,$K$124:$AC$141,15,FALSE))</f>
        <v/>
      </c>
      <c r="F119" s="97"/>
      <c r="G119" s="61" t="str">
        <f>IF(ISERROR(VLOOKUP(G116,$K$124:$AC$141,15,FALSE)),"",VLOOKUP(G116,$K$124:$AC$141,15,FALSE))</f>
        <v/>
      </c>
      <c r="H119" s="98"/>
      <c r="I119" s="97"/>
      <c r="J119" s="97"/>
      <c r="K119" s="97"/>
      <c r="L119" s="63" t="str">
        <f>IF(ISERROR(VLOOKUP(L116,$K$124:$AC$141,15,FALSE)),"",VLOOKUP(L116,$K$124:$AC$141,15,FALSE))</f>
        <v/>
      </c>
      <c r="M119" s="63" t="str">
        <f>IF(ISERROR(VLOOKUP(M116,$K$124:$AC$141,15,FALSE)),"",VLOOKUP(M116,$K$124:$AC$141,15,FALSE))</f>
        <v/>
      </c>
      <c r="N119" s="64" t="str">
        <f>IF(ISERROR(VLOOKUP(N116,$K$124:$AC$141,15,FALSE)),"",VLOOKUP(N116,$K$124:$AC$141,15,FALSE))</f>
        <v/>
      </c>
      <c r="O119" s="98"/>
      <c r="P119" s="63" t="str">
        <f t="shared" ref="P119:U119" si="377">IF(ISERROR(VLOOKUP(P116,$K$124:$AC$141,15,FALSE)),"",VLOOKUP(P116,$K$124:$AC$141,15,FALSE))</f>
        <v/>
      </c>
      <c r="Q119" s="63" t="str">
        <f t="shared" si="377"/>
        <v/>
      </c>
      <c r="R119" s="63" t="str">
        <f t="shared" si="377"/>
        <v/>
      </c>
      <c r="S119" s="63" t="str">
        <f t="shared" si="377"/>
        <v/>
      </c>
      <c r="T119" s="63" t="str">
        <f t="shared" si="377"/>
        <v/>
      </c>
      <c r="U119" s="64" t="str">
        <f t="shared" si="377"/>
        <v/>
      </c>
      <c r="V119" s="98"/>
      <c r="W119" s="63" t="str">
        <f t="shared" ref="W119:AB119" si="378">IF(ISERROR(VLOOKUP(W116,$K$124:$AC$141,15,FALSE)),"",VLOOKUP(W116,$K$124:$AC$141,15,FALSE))</f>
        <v/>
      </c>
      <c r="X119" s="63" t="str">
        <f t="shared" si="378"/>
        <v/>
      </c>
      <c r="Y119" s="63" t="str">
        <f t="shared" si="378"/>
        <v/>
      </c>
      <c r="Z119" s="63" t="str">
        <f t="shared" si="378"/>
        <v/>
      </c>
      <c r="AA119" s="63" t="str">
        <f t="shared" si="378"/>
        <v/>
      </c>
      <c r="AB119" s="64" t="str">
        <f t="shared" si="378"/>
        <v/>
      </c>
      <c r="AC119" s="98"/>
      <c r="AD119" s="129"/>
      <c r="AE119" s="129"/>
      <c r="AF119" s="130"/>
      <c r="AG119" s="42"/>
    </row>
    <row r="120" spans="1:90" ht="18" customHeight="1">
      <c r="F120" s="118" t="s">
        <v>29</v>
      </c>
      <c r="G120" s="118"/>
      <c r="H120" s="118"/>
      <c r="I120" s="118"/>
      <c r="J120" s="118"/>
      <c r="K120" s="118"/>
      <c r="M120" s="35"/>
      <c r="N120" s="36"/>
      <c r="Z120" s="15"/>
    </row>
    <row r="121" spans="1:90" ht="17.25" customHeight="1">
      <c r="A121" s="139" t="s">
        <v>51</v>
      </c>
      <c r="B121" s="140"/>
      <c r="C121" s="140"/>
      <c r="D121" s="140"/>
      <c r="E121" s="140"/>
      <c r="F121" s="140"/>
      <c r="G121" s="140"/>
      <c r="H121" s="140"/>
      <c r="I121" s="140"/>
      <c r="J121" s="141"/>
      <c r="K121" s="148" t="s">
        <v>52</v>
      </c>
      <c r="L121" s="149"/>
      <c r="M121" s="259" t="s">
        <v>53</v>
      </c>
      <c r="N121" s="148" t="s">
        <v>54</v>
      </c>
      <c r="O121" s="149"/>
      <c r="P121" s="259" t="s">
        <v>55</v>
      </c>
      <c r="Q121" s="259" t="s">
        <v>56</v>
      </c>
      <c r="R121" s="154" t="s">
        <v>57</v>
      </c>
      <c r="S121" s="267" t="s">
        <v>58</v>
      </c>
      <c r="T121" s="267"/>
      <c r="U121" s="267"/>
      <c r="V121" s="139" t="s">
        <v>59</v>
      </c>
      <c r="W121" s="140"/>
      <c r="X121" s="141"/>
      <c r="Y121" s="139" t="s">
        <v>60</v>
      </c>
      <c r="Z121" s="140"/>
      <c r="AA121" s="140"/>
      <c r="AB121" s="140"/>
      <c r="AC121" s="141"/>
      <c r="AD121" s="279" t="s">
        <v>61</v>
      </c>
      <c r="AE121" s="280"/>
      <c r="AF121" s="37"/>
      <c r="AI121" s="15">
        <v>11</v>
      </c>
      <c r="AJ121" s="15">
        <f>AI121</f>
        <v>11</v>
      </c>
      <c r="AK121" s="15">
        <f>AI121+8</f>
        <v>19</v>
      </c>
      <c r="AL121" s="15">
        <f>AK121</f>
        <v>19</v>
      </c>
      <c r="AM121" s="15">
        <f>AK121+8</f>
        <v>27</v>
      </c>
      <c r="AN121" s="15">
        <f>AM121</f>
        <v>27</v>
      </c>
      <c r="AO121" s="15">
        <f>AM121+8</f>
        <v>35</v>
      </c>
      <c r="AP121" s="15">
        <f>AO121</f>
        <v>35</v>
      </c>
      <c r="AQ121" s="15">
        <f>AO121+8</f>
        <v>43</v>
      </c>
      <c r="AR121" s="15">
        <f>AQ121</f>
        <v>43</v>
      </c>
      <c r="AS121" s="15">
        <f>AQ121+8</f>
        <v>51</v>
      </c>
      <c r="AT121" s="15">
        <f>AS121</f>
        <v>51</v>
      </c>
      <c r="AU121" s="15">
        <f>AS121+8</f>
        <v>59</v>
      </c>
      <c r="AV121" s="15">
        <f>AU121</f>
        <v>59</v>
      </c>
      <c r="AW121" s="15">
        <f>AU121+8</f>
        <v>67</v>
      </c>
      <c r="AX121" s="15">
        <f>AW121</f>
        <v>67</v>
      </c>
      <c r="AY121" s="15">
        <f>AW121+8</f>
        <v>75</v>
      </c>
      <c r="AZ121" s="15">
        <f>AY121</f>
        <v>75</v>
      </c>
      <c r="BA121" s="15">
        <f>AY121+8</f>
        <v>83</v>
      </c>
      <c r="BB121" s="15">
        <f>BA121</f>
        <v>83</v>
      </c>
      <c r="BC121" s="15">
        <f>BA121+8</f>
        <v>91</v>
      </c>
      <c r="BD121" s="15">
        <f>BC121</f>
        <v>91</v>
      </c>
      <c r="BE121" s="15">
        <f t="shared" ref="BE121" si="379">BC121+8</f>
        <v>99</v>
      </c>
      <c r="BF121" s="15">
        <f>BE121</f>
        <v>99</v>
      </c>
      <c r="BG121" s="15">
        <f>BE121+8</f>
        <v>107</v>
      </c>
      <c r="BH121" s="15">
        <f>BG121</f>
        <v>107</v>
      </c>
      <c r="BI121" s="15">
        <f t="shared" ref="BI121" si="380">BG121+8</f>
        <v>115</v>
      </c>
      <c r="BJ121" s="15">
        <f>BI121</f>
        <v>115</v>
      </c>
      <c r="BK121" s="29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</row>
    <row r="122" spans="1:90" ht="19.5" customHeight="1">
      <c r="A122" s="142"/>
      <c r="B122" s="143"/>
      <c r="C122" s="143"/>
      <c r="D122" s="143"/>
      <c r="E122" s="143"/>
      <c r="F122" s="143"/>
      <c r="G122" s="143"/>
      <c r="H122" s="143"/>
      <c r="I122" s="143"/>
      <c r="J122" s="144"/>
      <c r="K122" s="150"/>
      <c r="L122" s="151"/>
      <c r="M122" s="259"/>
      <c r="N122" s="150"/>
      <c r="O122" s="151"/>
      <c r="P122" s="259"/>
      <c r="Q122" s="259"/>
      <c r="R122" s="155"/>
      <c r="S122" s="13" t="s">
        <v>62</v>
      </c>
      <c r="T122" s="13" t="s">
        <v>63</v>
      </c>
      <c r="U122" s="157" t="s">
        <v>64</v>
      </c>
      <c r="V122" s="142"/>
      <c r="W122" s="143"/>
      <c r="X122" s="144"/>
      <c r="Y122" s="142"/>
      <c r="Z122" s="143"/>
      <c r="AA122" s="143"/>
      <c r="AB122" s="143"/>
      <c r="AC122" s="144"/>
      <c r="AD122" s="159" t="s">
        <v>65</v>
      </c>
      <c r="AE122" s="14" t="s">
        <v>66</v>
      </c>
      <c r="AF122" s="38"/>
      <c r="AI122" s="15">
        <v>12</v>
      </c>
      <c r="AJ122" s="15">
        <f>AI122+1</f>
        <v>13</v>
      </c>
      <c r="AK122" s="15">
        <f>AI122+8</f>
        <v>20</v>
      </c>
      <c r="AL122" s="15">
        <f>AK122+1</f>
        <v>21</v>
      </c>
      <c r="AM122" s="15">
        <f>AK122+8</f>
        <v>28</v>
      </c>
      <c r="AN122" s="15">
        <f>AM122+1</f>
        <v>29</v>
      </c>
      <c r="AO122" s="15">
        <f>AM122+8</f>
        <v>36</v>
      </c>
      <c r="AP122" s="15">
        <f>AO122+1</f>
        <v>37</v>
      </c>
      <c r="AQ122" s="15">
        <f>AO122+8</f>
        <v>44</v>
      </c>
      <c r="AR122" s="15">
        <f>AQ122+1</f>
        <v>45</v>
      </c>
      <c r="AS122" s="15">
        <f>AQ122+8</f>
        <v>52</v>
      </c>
      <c r="AT122" s="15">
        <f>AS122+1</f>
        <v>53</v>
      </c>
      <c r="AU122" s="15">
        <f>AS122+8</f>
        <v>60</v>
      </c>
      <c r="AV122" s="15">
        <f>AU122+1</f>
        <v>61</v>
      </c>
      <c r="AW122" s="15">
        <f>AU122+8</f>
        <v>68</v>
      </c>
      <c r="AX122" s="15">
        <f>AW122+1</f>
        <v>69</v>
      </c>
      <c r="AY122" s="15">
        <f>AW122+8</f>
        <v>76</v>
      </c>
      <c r="AZ122" s="15">
        <f>AY122+1</f>
        <v>77</v>
      </c>
      <c r="BA122" s="15">
        <f>AY122+8</f>
        <v>84</v>
      </c>
      <c r="BB122" s="15">
        <f>BA122+1</f>
        <v>85</v>
      </c>
      <c r="BC122" s="15">
        <f>BA122+8</f>
        <v>92</v>
      </c>
      <c r="BD122" s="15">
        <f>BC122+1</f>
        <v>93</v>
      </c>
      <c r="BE122" s="15">
        <f t="shared" ref="BE122" si="381">BC122+8</f>
        <v>100</v>
      </c>
      <c r="BF122" s="15">
        <f>BE122+1</f>
        <v>101</v>
      </c>
      <c r="BG122" s="15">
        <f>BE122+8</f>
        <v>108</v>
      </c>
      <c r="BH122" s="15">
        <f>BG122+1</f>
        <v>109</v>
      </c>
      <c r="BI122" s="15">
        <f t="shared" ref="BI122" si="382">BG122+8</f>
        <v>116</v>
      </c>
      <c r="BJ122" s="15">
        <f>BI122+1</f>
        <v>117</v>
      </c>
      <c r="BK122" s="29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</row>
    <row r="123" spans="1:90" ht="17.399999999999999">
      <c r="A123" s="145"/>
      <c r="B123" s="146"/>
      <c r="C123" s="146"/>
      <c r="D123" s="146"/>
      <c r="E123" s="146"/>
      <c r="F123" s="146"/>
      <c r="G123" s="146"/>
      <c r="H123" s="146"/>
      <c r="I123" s="146"/>
      <c r="J123" s="147"/>
      <c r="K123" s="152"/>
      <c r="L123" s="153"/>
      <c r="M123" s="101">
        <f>SUM(M124:M141)</f>
        <v>304</v>
      </c>
      <c r="N123" s="152"/>
      <c r="O123" s="153"/>
      <c r="P123" s="102">
        <f>SUM(P124:P141)</f>
        <v>77</v>
      </c>
      <c r="Q123" s="102">
        <f>SUM(Q124:Q141)</f>
        <v>304</v>
      </c>
      <c r="R123" s="156"/>
      <c r="S123" s="103" t="e">
        <f>IF(#REF!="-","",MIN(S124:S141))</f>
        <v>#REF!</v>
      </c>
      <c r="T123" s="103" t="e">
        <f>IF(#REF!="-","",MAX(T124:T141))</f>
        <v>#REF!</v>
      </c>
      <c r="U123" s="158"/>
      <c r="V123" s="145"/>
      <c r="W123" s="146"/>
      <c r="X123" s="147"/>
      <c r="Y123" s="145"/>
      <c r="Z123" s="146"/>
      <c r="AA123" s="146"/>
      <c r="AB123" s="146"/>
      <c r="AC123" s="147"/>
      <c r="AD123" s="160"/>
      <c r="AE123" s="101">
        <f>SUM(AE124:AE141)</f>
        <v>10</v>
      </c>
      <c r="AF123" s="32"/>
      <c r="AI123" s="28" t="s">
        <v>67</v>
      </c>
      <c r="AJ123" s="28" t="str">
        <f>AI123</f>
        <v>JAN</v>
      </c>
      <c r="AK123" s="28" t="s">
        <v>68</v>
      </c>
      <c r="AL123" s="28" t="str">
        <f>AK123</f>
        <v>FEV</v>
      </c>
      <c r="AM123" s="28" t="s">
        <v>69</v>
      </c>
      <c r="AN123" s="28" t="str">
        <f>AM123</f>
        <v>MAR</v>
      </c>
      <c r="AO123" s="28" t="s">
        <v>70</v>
      </c>
      <c r="AP123" s="28" t="str">
        <f>AO123</f>
        <v>ABR</v>
      </c>
      <c r="AQ123" s="28" t="s">
        <v>71</v>
      </c>
      <c r="AR123" s="28" t="str">
        <f>AQ123</f>
        <v>MAI</v>
      </c>
      <c r="AS123" s="28" t="s">
        <v>72</v>
      </c>
      <c r="AT123" s="28" t="str">
        <f>AS123</f>
        <v>JUN</v>
      </c>
      <c r="AU123" s="28" t="s">
        <v>73</v>
      </c>
      <c r="AV123" s="28" t="str">
        <f>AU123</f>
        <v>JUL</v>
      </c>
      <c r="AW123" s="28" t="s">
        <v>74</v>
      </c>
      <c r="AX123" s="28" t="str">
        <f>AW123</f>
        <v>AGO</v>
      </c>
      <c r="AY123" s="28" t="s">
        <v>75</v>
      </c>
      <c r="AZ123" s="28" t="str">
        <f>AY123</f>
        <v>SET</v>
      </c>
      <c r="BA123" s="28" t="s">
        <v>76</v>
      </c>
      <c r="BB123" s="28" t="str">
        <f>BA123</f>
        <v>OUT</v>
      </c>
      <c r="BC123" s="28" t="s">
        <v>77</v>
      </c>
      <c r="BD123" s="28" t="str">
        <f>BC123</f>
        <v>NOV</v>
      </c>
      <c r="BE123" s="28" t="s">
        <v>78</v>
      </c>
      <c r="BF123" s="28" t="str">
        <f>BE123</f>
        <v>DEZ</v>
      </c>
      <c r="BG123" s="28" t="s">
        <v>67</v>
      </c>
      <c r="BH123" s="28" t="str">
        <f>BG123</f>
        <v>JAN</v>
      </c>
      <c r="BI123" s="28" t="s">
        <v>68</v>
      </c>
      <c r="BJ123" s="28" t="str">
        <f>BI123</f>
        <v>FEV</v>
      </c>
      <c r="BK123" s="33" t="s">
        <v>67</v>
      </c>
      <c r="BL123" s="28" t="str">
        <f>BK123</f>
        <v>JAN</v>
      </c>
      <c r="BM123" s="28" t="s">
        <v>68</v>
      </c>
      <c r="BN123" s="28" t="str">
        <f>BM123</f>
        <v>FEV</v>
      </c>
      <c r="BO123" s="28" t="s">
        <v>69</v>
      </c>
      <c r="BP123" s="28" t="str">
        <f>BO123</f>
        <v>MAR</v>
      </c>
      <c r="BQ123" s="28" t="s">
        <v>70</v>
      </c>
      <c r="BR123" s="28" t="str">
        <f>BQ123</f>
        <v>ABR</v>
      </c>
      <c r="BS123" s="28" t="s">
        <v>71</v>
      </c>
      <c r="BT123" s="28" t="str">
        <f>BS123</f>
        <v>MAI</v>
      </c>
      <c r="BU123" s="28" t="s">
        <v>72</v>
      </c>
      <c r="BV123" s="28" t="str">
        <f>BU123</f>
        <v>JUN</v>
      </c>
      <c r="BW123" s="28" t="s">
        <v>73</v>
      </c>
      <c r="BX123" s="28" t="str">
        <f>BW123</f>
        <v>JUL</v>
      </c>
      <c r="BY123" s="28" t="s">
        <v>74</v>
      </c>
      <c r="BZ123" s="28" t="str">
        <f>BY123</f>
        <v>AGO</v>
      </c>
      <c r="CA123" s="28" t="s">
        <v>75</v>
      </c>
      <c r="CB123" s="28" t="str">
        <f>CA123</f>
        <v>SET</v>
      </c>
      <c r="CC123" s="28" t="s">
        <v>76</v>
      </c>
      <c r="CD123" s="28" t="str">
        <f>CC123</f>
        <v>OUT</v>
      </c>
      <c r="CE123" s="28" t="s">
        <v>77</v>
      </c>
      <c r="CF123" s="28" t="str">
        <f>CE123</f>
        <v>NOV</v>
      </c>
      <c r="CG123" s="28" t="s">
        <v>78</v>
      </c>
      <c r="CH123" s="28" t="str">
        <f>CG123</f>
        <v>DEZ</v>
      </c>
      <c r="CI123" s="28" t="s">
        <v>67</v>
      </c>
      <c r="CJ123" s="28" t="str">
        <f>CI123</f>
        <v>JAN</v>
      </c>
      <c r="CK123" s="28" t="s">
        <v>68</v>
      </c>
      <c r="CL123" s="28" t="str">
        <f>CK123</f>
        <v>FEV</v>
      </c>
    </row>
    <row r="124" spans="1:90" ht="18.75" customHeight="1">
      <c r="A124" s="268" t="s">
        <v>79</v>
      </c>
      <c r="B124" s="269"/>
      <c r="C124" s="269"/>
      <c r="D124" s="269"/>
      <c r="E124" s="269"/>
      <c r="F124" s="269"/>
      <c r="G124" s="269"/>
      <c r="H124" s="269"/>
      <c r="I124" s="269"/>
      <c r="J124" s="270"/>
      <c r="K124" s="260" t="s">
        <v>37</v>
      </c>
      <c r="L124" s="261"/>
      <c r="M124" s="106">
        <v>4</v>
      </c>
      <c r="N124" s="267" t="str">
        <f t="shared" ref="N124:N128" ca="1" si="383">IF(AND(TODAY()&gt;=S124,TODAY()&lt;=T124),"EM ANDAMENTO",IF(TODAY()&gt;T124,"CONCLUÍDA","PLANEJADA"))</f>
        <v>CONCLUÍDA</v>
      </c>
      <c r="O124" s="267"/>
      <c r="P124" s="10">
        <f t="shared" ref="P124:P141" si="384">ROUNDUP((Q124/$W$2),0)</f>
        <v>1</v>
      </c>
      <c r="Q124" s="10">
        <f t="shared" ref="Q124:Q141" si="385">ROUNDUP(IF($W$1=60,M124,M124*1.2),0)</f>
        <v>4</v>
      </c>
      <c r="R124" s="8">
        <f t="shared" ref="R124:R141" si="386">ROUNDDOWN((Q124*0.25),0)</f>
        <v>1</v>
      </c>
      <c r="S124" s="9">
        <f t="shared" ref="S124:S141" ca="1" si="387">IF(ISERR(SMALL(AI124:BJ124,1)),"-",SMALL(AI124:BJ124,1))</f>
        <v>46244</v>
      </c>
      <c r="T124" s="9">
        <f t="shared" ref="T124:T141" ca="1" si="388">IF(ISERR(LARGE(BK124:CL124,1)),"-",LARGE(BK124:CL124,1))</f>
        <v>46244</v>
      </c>
      <c r="U124" s="91"/>
      <c r="V124" s="190"/>
      <c r="W124" s="190"/>
      <c r="X124" s="190"/>
      <c r="Y124" s="190"/>
      <c r="Z124" s="190"/>
      <c r="AA124" s="190"/>
      <c r="AB124" s="190"/>
      <c r="AC124" s="190"/>
      <c r="AD124" s="39">
        <f t="shared" ref="AD124:AD141" si="389">COUNTIF($C$12:$AF$13,K124)+COUNTIF($B$36:$AE$37,K124)+COUNTIF($B$28:$AF$29,K124)+COUNTIF($B$44:$AF$45,K124)+COUNTIF($B$52:$AE$53,K124)+COUNTIF($B$92:$AE$93,K124)+COUNTIF($B$60:$AF$61,K124)+COUNTIF($B$68:$AF$69,K124)+COUNTIF($B$20:$AC$21,K124)+COUNTIF($B$76:$AE$77,K124)+COUNTIF($B$84:$AF$85,K124)+COUNTIF($B$100:$AF$101,K124)+COUNTIF($B$108:$AF$109,K124)+COUNTIF($B$116:$AC$117,K124)</f>
        <v>1</v>
      </c>
      <c r="AE124" s="7">
        <f t="shared" ref="AE124:AE141" si="390">P124-AD124</f>
        <v>0</v>
      </c>
      <c r="AF124" s="32" t="str">
        <f t="shared" ref="AF124:AF141" si="391">IF(AD124=P124,"OK","")</f>
        <v>OK</v>
      </c>
      <c r="AI124" s="6" t="str">
        <f t="shared" ref="AI124:BI133" ca="1" si="392">IF($K124=INDIRECT(CONCATENATE("$B$"&amp;AI$122)), INDIRECT(CONCATENATE("$B$"&amp;AI$121)),
IF($K124=INDIRECT(CONCATENATE("$C$"&amp;AI$122)), INDIRECT(CONCATENATE("$C$"&amp;AI$121)),
IF($K124=INDIRECT(CONCATENATE("$D$"&amp;AI$122)), INDIRECT(CONCATENATE("$D$"&amp;AI$121)),
IF($K124=INDIRECT(CONCATENATE("$E$"&amp;AI$122)), INDIRECT(CONCATENATE("$E$"&amp;AI$121)),
IF($K124=INDIRECT(CONCATENATE("$F$"&amp;AI$122)), INDIRECT(CONCATENATE("$F$"&amp;AI$121)),
IF($K124=INDIRECT(CONCATENATE("$G$"&amp;AI$122)), INDIRECT(CONCATENATE("$G$"&amp;AI$121)),
IF($K124=INDIRECT(CONCATENATE("$H$"&amp;AI$122)), INDIRECT(CONCATENATE("$H$"&amp;AI$121)),
IF($K124=INDIRECT(CONCATENATE("$I$"&amp;AI$122)), INDIRECT(CONCATENATE("$I$"&amp;AI$121)),
IF($K124=INDIRECT(CONCATENATE("$J$"&amp;AI$122)), INDIRECT(CONCATENATE("$J$"&amp;AI$121)),
IF($K124=INDIRECT(CONCATENATE("$K$"&amp;AI$122)), INDIRECT(CONCATENATE("$K$"&amp;AI$121)),
IF($K124=INDIRECT(CONCATENATE("$L$"&amp;AI$122)), INDIRECT(CONCATENATE("$L$"&amp;AI$121)),
IF($K124=INDIRECT(CONCATENATE("$M$"&amp;AI$122)), INDIRECT(CONCATENATE("$M$"&amp;AI$121)),
IF($K124=INDIRECT(CONCATENATE("$N$"&amp;AI$122)), INDIRECT(CONCATENATE("$N$"&amp;AI$121)),
IF($K124=INDIRECT(CONCATENATE("$O$"&amp;AI$122)), INDIRECT(CONCATENATE("$O$"&amp;AI$121)),
IF($K124=INDIRECT(CONCATENATE("$P$"&amp;AI$122)), INDIRECT(CONCATENATE("$P$"&amp;AI$121)),
IF($K124=INDIRECT(CONCATENATE("$Q$"&amp;AI$122)), INDIRECT(CONCATENATE("$Q$"&amp;AI$121)),
IF($K124=INDIRECT(CONCATENATE("$R$"&amp;AI$122)), INDIRECT(CONCATENATE("$R$"&amp;AI$121)),
IF($K124=INDIRECT(CONCATENATE("$S$"&amp;AI$122)), INDIRECT(CONCATENATE("$S$"&amp;AI$121)),
IF($K124=INDIRECT(CONCATENATE("$T$"&amp;AI$122)), INDIRECT(CONCATENATE("$T$"&amp;AI$121)),
IF($K124=INDIRECT(CONCATENATE("$U$"&amp;AI$122)), INDIRECT(CONCATENATE("$U$"&amp;AI$121)),
IF($K124=INDIRECT(CONCATENATE("$V$"&amp;AI$122)), INDIRECT(CONCATENATE("$V$"&amp;AI$121)),
IF($K124=INDIRECT(CONCATENATE("$W$"&amp;AI$122)), INDIRECT(CONCATENATE("$W$"&amp;AI$121)),
IF($K124=INDIRECT(CONCATENATE("$X$"&amp;AI$122)), INDIRECT(CONCATENATE("$X$"&amp;AI$121)),
IF($K124=INDIRECT(CONCATENATE("$Y$"&amp;AI$122)), INDIRECT(CONCATENATE("$Y$"&amp;AI$121)),
IF($K124=INDIRECT(CONCATENATE("$Z$"&amp;AI$122)), INDIRECT(CONCATENATE("$Z$"&amp;AI$121)),
IF($K124=INDIRECT(CONCATENATE("$AA$"&amp;AI$122)), INDIRECT(CONCATENATE("$AA$"&amp;AI$121)),
IF($K124=INDIRECT(CONCATENATE("$AB$"&amp;AI$122)), INDIRECT(CONCATENATE("$AB$"&amp;AI$121)),
IF($K124=INDIRECT(CONCATENATE("$AC$"&amp;AI$122)), INDIRECT(CONCATENATE("$AC$"&amp;AI$121)),
IF($K124=INDIRECT(CONCATENATE("$AD$"&amp;AI$122)), INDIRECT(CONCATENATE("$AD$"&amp;AI$121)),
IF($K124=INDIRECT(CONCATENATE("$AE$"&amp;AI$122)), INDIRECT(CONCATENATE("$AE$"&amp;AI$121)),
IF($K124=INDIRECT(CONCATENATE("$AF$"&amp;AI$122)), INDIRECT(CONCATENATE("$AF$"&amp;AI$121)),"X")))))))))))))))))))))))))))))))</f>
        <v>X</v>
      </c>
      <c r="AJ124" s="6" t="str">
        <f t="shared" ca="1" si="392"/>
        <v>X</v>
      </c>
      <c r="AK124" s="6" t="str">
        <f t="shared" ca="1" si="392"/>
        <v>X</v>
      </c>
      <c r="AL124" s="6" t="str">
        <f t="shared" ca="1" si="392"/>
        <v>X</v>
      </c>
      <c r="AM124" s="6" t="str">
        <f t="shared" ca="1" si="392"/>
        <v>X</v>
      </c>
      <c r="AN124" s="6" t="str">
        <f t="shared" ca="1" si="392"/>
        <v>X</v>
      </c>
      <c r="AO124" s="6" t="str">
        <f t="shared" ca="1" si="392"/>
        <v>X</v>
      </c>
      <c r="AP124" s="6" t="str">
        <f t="shared" ca="1" si="392"/>
        <v>X</v>
      </c>
      <c r="AQ124" s="6" t="str">
        <f t="shared" ca="1" si="392"/>
        <v>X</v>
      </c>
      <c r="AR124" s="6" t="str">
        <f t="shared" ca="1" si="392"/>
        <v>X</v>
      </c>
      <c r="AS124" s="6" t="str">
        <f t="shared" ca="1" si="392"/>
        <v>X</v>
      </c>
      <c r="AT124" s="6" t="str">
        <f t="shared" ca="1" si="392"/>
        <v>X</v>
      </c>
      <c r="AU124" s="6" t="str">
        <f t="shared" ca="1" si="392"/>
        <v>X</v>
      </c>
      <c r="AV124" s="6" t="str">
        <f t="shared" ca="1" si="392"/>
        <v>X</v>
      </c>
      <c r="AW124" s="6">
        <f t="shared" ca="1" si="392"/>
        <v>46244</v>
      </c>
      <c r="AX124" s="6" t="str">
        <f t="shared" ca="1" si="392"/>
        <v>X</v>
      </c>
      <c r="AY124" s="6" t="str">
        <f t="shared" ca="1" si="392"/>
        <v>X</v>
      </c>
      <c r="AZ124" s="6" t="str">
        <f t="shared" ca="1" si="392"/>
        <v>X</v>
      </c>
      <c r="BA124" s="6" t="str">
        <f t="shared" ca="1" si="392"/>
        <v>X</v>
      </c>
      <c r="BB124" s="6" t="str">
        <f t="shared" ca="1" si="392"/>
        <v>X</v>
      </c>
      <c r="BC124" s="6" t="str">
        <f t="shared" ca="1" si="392"/>
        <v>X</v>
      </c>
      <c r="BD124" s="6" t="str">
        <f t="shared" ca="1" si="392"/>
        <v>X</v>
      </c>
      <c r="BE124" s="6" t="str">
        <f t="shared" ca="1" si="392"/>
        <v>X</v>
      </c>
      <c r="BF124" s="6" t="str">
        <f t="shared" ref="BF124:BF139" ca="1" si="393">IF($K124=INDIRECT(CONCATENATE("$B$"&amp;BF$122)), INDIRECT(CONCATENATE("$B$"&amp;BF$121)),
IF($K124=INDIRECT(CONCATENATE("$C$"&amp;BF$122)), INDIRECT(CONCATENATE("$C$"&amp;BF$121)),
IF($K124=INDIRECT(CONCATENATE("$D$"&amp;BF$122)), INDIRECT(CONCATENATE("$D$"&amp;BF$121)),
IF($K124=INDIRECT(CONCATENATE("$E$"&amp;BF$122)), INDIRECT(CONCATENATE("$E$"&amp;BF$121)),
IF($K124=INDIRECT(CONCATENATE("$F$"&amp;BF$122)), INDIRECT(CONCATENATE("$F$"&amp;BF$121)),
IF($K124=INDIRECT(CONCATENATE("$G$"&amp;BF$122)), INDIRECT(CONCATENATE("$G$"&amp;BF$121)),
IF($K124=INDIRECT(CONCATENATE("$H$"&amp;BF$122)), INDIRECT(CONCATENATE("$H$"&amp;BF$121)),
IF($K124=INDIRECT(CONCATENATE("$I$"&amp;BF$122)), INDIRECT(CONCATENATE("$I$"&amp;BF$121)),
IF($K124=INDIRECT(CONCATENATE("$J$"&amp;BF$122)), INDIRECT(CONCATENATE("$J$"&amp;BF$121)),
IF($K124=INDIRECT(CONCATENATE("$K$"&amp;BF$122)), INDIRECT(CONCATENATE("$K$"&amp;BF$121)),
IF($K124=INDIRECT(CONCATENATE("$L$"&amp;BF$122)), INDIRECT(CONCATENATE("$L$"&amp;BF$121)),
IF($K124=INDIRECT(CONCATENATE("$M$"&amp;BF$122)), INDIRECT(CONCATENATE("$M$"&amp;BF$121)),
IF($K124=INDIRECT(CONCATENATE("$N$"&amp;BF$122)), INDIRECT(CONCATENATE("$N$"&amp;BF$121)),
IF($K124=INDIRECT(CONCATENATE("$O$"&amp;BF$122)), INDIRECT(CONCATENATE("$O$"&amp;BF$121)),
IF($K124=INDIRECT(CONCATENATE("$P$"&amp;BF$122)), INDIRECT(CONCATENATE("$P$"&amp;BF$121)),
IF($K124=INDIRECT(CONCATENATE("$Q$"&amp;BF$122)), INDIRECT(CONCATENATE("$Q$"&amp;BF$121)),
IF($K124=INDIRECT(CONCATENATE("$R$"&amp;BF$122)), INDIRECT(CONCATENATE("$R$"&amp;BF$121)),
IF($K124=INDIRECT(CONCATENATE("$S$"&amp;BF$122)), INDIRECT(CONCATENATE("$S$"&amp;BF$121)),
IF($K124=INDIRECT(CONCATENATE("$T$"&amp;BF$122)), INDIRECT(CONCATENATE("$T$"&amp;BF$121)),
IF($K124=INDIRECT(CONCATENATE("$U$"&amp;BF$122)), INDIRECT(CONCATENATE("$U$"&amp;BF$121)),
IF($K124=INDIRECT(CONCATENATE("$V$"&amp;BF$122)), INDIRECT(CONCATENATE("$V$"&amp;BF$121)),
IF($K124=INDIRECT(CONCATENATE("$W$"&amp;BF$122)), INDIRECT(CONCATENATE("$W$"&amp;BF$121)),
IF($K124=INDIRECT(CONCATENATE("$X$"&amp;BF$122)), INDIRECT(CONCATENATE("$X$"&amp;BF$121)),
IF($K124=INDIRECT(CONCATENATE("$Y$"&amp;BF$122)), INDIRECT(CONCATENATE("$Y$"&amp;BF$121)),
IF($K124=INDIRECT(CONCATENATE("$Z$"&amp;BF$122)), INDIRECT(CONCATENATE("$Z$"&amp;BF$121)),
IF($K124=INDIRECT(CONCATENATE("$AA$"&amp;BF$122)), INDIRECT(CONCATENATE("$AA$"&amp;BF$121)),
IF($K124=INDIRECT(CONCATENATE("$AB$"&amp;BF$122)), INDIRECT(CONCATENATE("$AB$"&amp;BF$121)),
IF($K124=INDIRECT(CONCATENATE("$AC$"&amp;BF$122)), INDIRECT(CONCATENATE("$AC$"&amp;BF$121)),
IF($K124=INDIRECT(CONCATENATE("$AD$"&amp;BF$122)), INDIRECT(CONCATENATE("$AD$"&amp;BF$121)),
IF($K124=INDIRECT(CONCATENATE("$AE$"&amp;BF$122)), INDIRECT(CONCATENATE("$AE$"&amp;BF$121)),
IF($K124=INDIRECT(CONCATENATE("$AF$"&amp;BF$122)), INDIRECT(CONCATENATE("$AF$"&amp;BF$121)),"X")))))))))))))))))))))))))))))))</f>
        <v>X</v>
      </c>
      <c r="BG124" s="6" t="str">
        <f t="shared" ca="1" si="392"/>
        <v>X</v>
      </c>
      <c r="BH124" s="6" t="str">
        <f t="shared" ref="BH124:BH139" ca="1" si="394">IF($K124=INDIRECT(CONCATENATE("$B$"&amp;BH$122)), INDIRECT(CONCATENATE("$B$"&amp;BH$121)),
IF($K124=INDIRECT(CONCATENATE("$C$"&amp;BH$122)), INDIRECT(CONCATENATE("$C$"&amp;BH$121)),
IF($K124=INDIRECT(CONCATENATE("$D$"&amp;BH$122)), INDIRECT(CONCATENATE("$D$"&amp;BH$121)),
IF($K124=INDIRECT(CONCATENATE("$E$"&amp;BH$122)), INDIRECT(CONCATENATE("$E$"&amp;BH$121)),
IF($K124=INDIRECT(CONCATENATE("$F$"&amp;BH$122)), INDIRECT(CONCATENATE("$F$"&amp;BH$121)),
IF($K124=INDIRECT(CONCATENATE("$G$"&amp;BH$122)), INDIRECT(CONCATENATE("$G$"&amp;BH$121)),
IF($K124=INDIRECT(CONCATENATE("$H$"&amp;BH$122)), INDIRECT(CONCATENATE("$H$"&amp;BH$121)),
IF($K124=INDIRECT(CONCATENATE("$I$"&amp;BH$122)), INDIRECT(CONCATENATE("$I$"&amp;BH$121)),
IF($K124=INDIRECT(CONCATENATE("$J$"&amp;BH$122)), INDIRECT(CONCATENATE("$J$"&amp;BH$121)),
IF($K124=INDIRECT(CONCATENATE("$K$"&amp;BH$122)), INDIRECT(CONCATENATE("$K$"&amp;BH$121)),
IF($K124=INDIRECT(CONCATENATE("$L$"&amp;BH$122)), INDIRECT(CONCATENATE("$L$"&amp;BH$121)),
IF($K124=INDIRECT(CONCATENATE("$M$"&amp;BH$122)), INDIRECT(CONCATENATE("$M$"&amp;BH$121)),
IF($K124=INDIRECT(CONCATENATE("$N$"&amp;BH$122)), INDIRECT(CONCATENATE("$N$"&amp;BH$121)),
IF($K124=INDIRECT(CONCATENATE("$O$"&amp;BH$122)), INDIRECT(CONCATENATE("$O$"&amp;BH$121)),
IF($K124=INDIRECT(CONCATENATE("$P$"&amp;BH$122)), INDIRECT(CONCATENATE("$P$"&amp;BH$121)),
IF($K124=INDIRECT(CONCATENATE("$Q$"&amp;BH$122)), INDIRECT(CONCATENATE("$Q$"&amp;BH$121)),
IF($K124=INDIRECT(CONCATENATE("$R$"&amp;BH$122)), INDIRECT(CONCATENATE("$R$"&amp;BH$121)),
IF($K124=INDIRECT(CONCATENATE("$S$"&amp;BH$122)), INDIRECT(CONCATENATE("$S$"&amp;BH$121)),
IF($K124=INDIRECT(CONCATENATE("$T$"&amp;BH$122)), INDIRECT(CONCATENATE("$T$"&amp;BH$121)),
IF($K124=INDIRECT(CONCATENATE("$U$"&amp;BH$122)), INDIRECT(CONCATENATE("$U$"&amp;BH$121)),
IF($K124=INDIRECT(CONCATENATE("$V$"&amp;BH$122)), INDIRECT(CONCATENATE("$V$"&amp;BH$121)),
IF($K124=INDIRECT(CONCATENATE("$W$"&amp;BH$122)), INDIRECT(CONCATENATE("$W$"&amp;BH$121)),
IF($K124=INDIRECT(CONCATENATE("$X$"&amp;BH$122)), INDIRECT(CONCATENATE("$X$"&amp;BH$121)),
IF($K124=INDIRECT(CONCATENATE("$Y$"&amp;BH$122)), INDIRECT(CONCATENATE("$Y$"&amp;BH$121)),
IF($K124=INDIRECT(CONCATENATE("$Z$"&amp;BH$122)), INDIRECT(CONCATENATE("$Z$"&amp;BH$121)),
IF($K124=INDIRECT(CONCATENATE("$AA$"&amp;BH$122)), INDIRECT(CONCATENATE("$AA$"&amp;BH$121)),
IF($K124=INDIRECT(CONCATENATE("$AB$"&amp;BH$122)), INDIRECT(CONCATENATE("$AB$"&amp;BH$121)),
IF($K124=INDIRECT(CONCATENATE("$AC$"&amp;BH$122)), INDIRECT(CONCATENATE("$AC$"&amp;BH$121)),
IF($K124=INDIRECT(CONCATENATE("$AD$"&amp;BH$122)), INDIRECT(CONCATENATE("$AD$"&amp;BH$121)),
IF($K124=INDIRECT(CONCATENATE("$AE$"&amp;BH$122)), INDIRECT(CONCATENATE("$AE$"&amp;BH$121)),
IF($K124=INDIRECT(CONCATENATE("$AF$"&amp;BH$122)), INDIRECT(CONCATENATE("$AF$"&amp;BH$121)),"X")))))))))))))))))))))))))))))))</f>
        <v>X</v>
      </c>
      <c r="BI124" s="6" t="str">
        <f t="shared" ca="1" si="392"/>
        <v>X</v>
      </c>
      <c r="BJ124" s="6" t="str">
        <f t="shared" ref="BJ124:BJ139" ca="1" si="395">IF($K124=INDIRECT(CONCATENATE("$B$"&amp;BJ$122)), INDIRECT(CONCATENATE("$B$"&amp;BJ$121)),
IF($K124=INDIRECT(CONCATENATE("$C$"&amp;BJ$122)), INDIRECT(CONCATENATE("$C$"&amp;BJ$121)),
IF($K124=INDIRECT(CONCATENATE("$D$"&amp;BJ$122)), INDIRECT(CONCATENATE("$D$"&amp;BJ$121)),
IF($K124=INDIRECT(CONCATENATE("$E$"&amp;BJ$122)), INDIRECT(CONCATENATE("$E$"&amp;BJ$121)),
IF($K124=INDIRECT(CONCATENATE("$F$"&amp;BJ$122)), INDIRECT(CONCATENATE("$F$"&amp;BJ$121)),
IF($K124=INDIRECT(CONCATENATE("$G$"&amp;BJ$122)), INDIRECT(CONCATENATE("$G$"&amp;BJ$121)),
IF($K124=INDIRECT(CONCATENATE("$H$"&amp;BJ$122)), INDIRECT(CONCATENATE("$H$"&amp;BJ$121)),
IF($K124=INDIRECT(CONCATENATE("$I$"&amp;BJ$122)), INDIRECT(CONCATENATE("$I$"&amp;BJ$121)),
IF($K124=INDIRECT(CONCATENATE("$J$"&amp;BJ$122)), INDIRECT(CONCATENATE("$J$"&amp;BJ$121)),
IF($K124=INDIRECT(CONCATENATE("$K$"&amp;BJ$122)), INDIRECT(CONCATENATE("$K$"&amp;BJ$121)),
IF($K124=INDIRECT(CONCATENATE("$L$"&amp;BJ$122)), INDIRECT(CONCATENATE("$L$"&amp;BJ$121)),
IF($K124=INDIRECT(CONCATENATE("$M$"&amp;BJ$122)), INDIRECT(CONCATENATE("$M$"&amp;BJ$121)),
IF($K124=INDIRECT(CONCATENATE("$N$"&amp;BJ$122)), INDIRECT(CONCATENATE("$N$"&amp;BJ$121)),
IF($K124=INDIRECT(CONCATENATE("$O$"&amp;BJ$122)), INDIRECT(CONCATENATE("$O$"&amp;BJ$121)),
IF($K124=INDIRECT(CONCATENATE("$P$"&amp;BJ$122)), INDIRECT(CONCATENATE("$P$"&amp;BJ$121)),
IF($K124=INDIRECT(CONCATENATE("$Q$"&amp;BJ$122)), INDIRECT(CONCATENATE("$Q$"&amp;BJ$121)),
IF($K124=INDIRECT(CONCATENATE("$R$"&amp;BJ$122)), INDIRECT(CONCATENATE("$R$"&amp;BJ$121)),
IF($K124=INDIRECT(CONCATENATE("$S$"&amp;BJ$122)), INDIRECT(CONCATENATE("$S$"&amp;BJ$121)),
IF($K124=INDIRECT(CONCATENATE("$T$"&amp;BJ$122)), INDIRECT(CONCATENATE("$T$"&amp;BJ$121)),
IF($K124=INDIRECT(CONCATENATE("$U$"&amp;BJ$122)), INDIRECT(CONCATENATE("$U$"&amp;BJ$121)),
IF($K124=INDIRECT(CONCATENATE("$V$"&amp;BJ$122)), INDIRECT(CONCATENATE("$V$"&amp;BJ$121)),
IF($K124=INDIRECT(CONCATENATE("$W$"&amp;BJ$122)), INDIRECT(CONCATENATE("$W$"&amp;BJ$121)),
IF($K124=INDIRECT(CONCATENATE("$X$"&amp;BJ$122)), INDIRECT(CONCATENATE("$X$"&amp;BJ$121)),
IF($K124=INDIRECT(CONCATENATE("$Y$"&amp;BJ$122)), INDIRECT(CONCATENATE("$Y$"&amp;BJ$121)),
IF($K124=INDIRECT(CONCATENATE("$Z$"&amp;BJ$122)), INDIRECT(CONCATENATE("$Z$"&amp;BJ$121)),
IF($K124=INDIRECT(CONCATENATE("$AA$"&amp;BJ$122)), INDIRECT(CONCATENATE("$AA$"&amp;BJ$121)),
IF($K124=INDIRECT(CONCATENATE("$AB$"&amp;BJ$122)), INDIRECT(CONCATENATE("$AB$"&amp;BJ$121)),
IF($K124=INDIRECT(CONCATENATE("$AC$"&amp;BJ$122)), INDIRECT(CONCATENATE("$AC$"&amp;BJ$121)),
IF($K124=INDIRECT(CONCATENATE("$AD$"&amp;BJ$122)), INDIRECT(CONCATENATE("$AD$"&amp;BJ$121)),
IF($K124=INDIRECT(CONCATENATE("$AE$"&amp;BJ$122)), INDIRECT(CONCATENATE("$AE$"&amp;BJ$121)),
IF($K124=INDIRECT(CONCATENATE("$AF$"&amp;BJ$122)), INDIRECT(CONCATENATE("$AF$"&amp;BJ$121)),"X")))))))))))))))))))))))))))))))</f>
        <v>X</v>
      </c>
      <c r="BK124" s="12" t="str">
        <f t="shared" ref="BK124:BL128" ca="1" si="396">IF($K124=INDIRECT(CONCATENATE("$AF$"&amp;AI$122)),INDIRECT(CONCATENATE("$AF$"&amp;AI$121)),IF($K124=INDIRECT(CONCATENATE("$AE$"&amp;AI$122)),INDIRECT(CONCATENATE("$AE$"&amp;AI$121)),IF($K124=INDIRECT(CONCATENATE("$AD$"&amp;AI$122)),INDIRECT(CONCATENATE("$AD$"&amp;AI$121)),IF($K124=INDIRECT(CONCATENATE("$AC$"&amp;AI$122)),INDIRECT(CONCATENATE("$AC$"&amp;AI$121)),IF($K124=INDIRECT(CONCATENATE("$AB$"&amp;AI$122)),INDIRECT(CONCATENATE("$AB$"&amp;AI$121)),IF($K124=INDIRECT(CONCATENATE("$AA$"&amp;AI$122)),INDIRECT(CONCATENATE("$AA$"&amp;AI$121)),IF($K124=INDIRECT(CONCATENATE("$Z$"&amp;AI$122)),INDIRECT(CONCATENATE("$Z$"&amp;AI$121)),
IF($K124=INDIRECT(CONCATENATE("$Y$"&amp;AI$122)),INDIRECT(CONCATENATE("$Y$"&amp;AI$121)),IF($K124=INDIRECT(CONCATENATE("$X$"&amp;AI$122)),INDIRECT(CONCATENATE("$X$"&amp;AI$121)),IF($K124=INDIRECT(CONCATENATE("$W$"&amp;AI$122)),INDIRECT(CONCATENATE("$W$"&amp;AI$121)),IF($K124=INDIRECT(CONCATENATE("$V$"&amp;AI$122)),INDIRECT(CONCATENATE("$V$"&amp;AI$121)),IF($K124=INDIRECT(CONCATENATE("$U$"&amp;AI$122)),INDIRECT(CONCATENATE("$U$"&amp;AI$121)),IF($K124=INDIRECT(CONCATENATE("$T$"&amp;AI$122)),INDIRECT(CONCATENATE("$T$"&amp;AI$121)),IF($K124=INDIRECT(CONCATENATE("$S$"&amp;AI$122)),INDIRECT(CONCATENATE("$S$"&amp;AI$121)),IF($K124=INDIRECT(CONCATENATE("$R$"&amp;AI$122)),INDIRECT(CONCATENATE("$R$"&amp;AI$121)),IF($K124=INDIRECT(CONCATENATE("$Q$"&amp;AI$122)),INDIRECT(CONCATENATE("$Q$"&amp;AI$121)),
IF($K124=INDIRECT(CONCATENATE("$P$"&amp;AI$122)),INDIRECT(CONCATENATE("$P$"&amp;AI$121)),IF($K124=INDIRECT(CONCATENATE("$O$"&amp;AI$122)),INDIRECT(CONCATENATE("$O$"&amp;AI$121)),IF($K124=INDIRECT(CONCATENATE("$N$"&amp;AI$122)),INDIRECT(CONCATENATE("$N$"&amp;AI$121)),IF($K124=INDIRECT(CONCATENATE("$M$"&amp;AI$122)),INDIRECT(CONCATENATE("$M$"&amp;AI$121)),IF($K124=INDIRECT(CONCATENATE("$L$"&amp;AI$122)),INDIRECT(CONCATENATE("$L$"&amp;AI$121)),IF($K124=INDIRECT(CONCATENATE("$K$"&amp;AI$122)),INDIRECT(CONCATENATE("$K$"&amp;AI$121)),IF($K124=INDIRECT(CONCATENATE("$J$"&amp;AI$122)),INDIRECT(CONCATENATE("$J$"&amp;AI$121)),IF($K124=INDIRECT(CONCATENATE("$I$"&amp;AI$122)),INDIRECT(CONCATENATE("$I$"&amp;AI$121)),IF($K124=INDIRECT(CONCATENATE("$H$"&amp;AI$122)),INDIRECT(CONCATENATE("$H$"&amp;AI$121)),IF($K124=INDIRECT(CONCATENATE("$G$"&amp;AI$122)),INDIRECT(CONCATENATE("$G$"&amp;AI$121)),IF($K124=INDIRECT(CONCATENATE("$F$"&amp;AI$122)),INDIRECT(CONCATENATE("$F$"&amp;AI$121)),IF($K124=INDIRECT(CONCATENATE("$E$"&amp;AI$122)),INDIRECT(CONCATENATE("$E$"&amp;AI$121)),IF($K124=INDIRECT(CONCATENATE("$D$"&amp;AI$122)),INDIRECT(CONCATENATE("$D$"&amp;AI$121)),IF($K124=INDIRECT(CONCATENATE("$C$"&amp;AI$122)),INDIRECT(CONCATENATE("$C$"&amp;AI$121)),IF($K124=INDIRECT(CONCATENATE("$B$"&amp;AI$122)),INDIRECT(CONCATENATE("$B$"&amp;AI$121)),"X")))))))))))))))))))))))))))))))</f>
        <v>X</v>
      </c>
      <c r="BL124" s="6" t="str">
        <f t="shared" ca="1" si="396"/>
        <v>X</v>
      </c>
      <c r="BM124" s="6" t="str">
        <f t="shared" ref="BM124:BN128" ca="1" si="397">IF($K124=INDIRECT(CONCATENATE("$AF$"&amp;AK$122)),INDIRECT(CONCATENATE("$AF$"&amp;AK$121)),IF($K124=INDIRECT(CONCATENATE("$AE$"&amp;AK$122)),INDIRECT(CONCATENATE("$AE$"&amp;AK$121)),IF($K124=INDIRECT(CONCATENATE("$AD$"&amp;AK$122)),INDIRECT(CONCATENATE("$AD$"&amp;AK$121)),IF($K124=INDIRECT(CONCATENATE("$AC$"&amp;AK$122)),INDIRECT(CONCATENATE("$AC$"&amp;AK$121)),IF($K124=INDIRECT(CONCATENATE("$AB$"&amp;AK$122)),INDIRECT(CONCATENATE("$AB$"&amp;AK$121)),IF($K124=INDIRECT(CONCATENATE("$AA$"&amp;AK$122)),INDIRECT(CONCATENATE("$AA$"&amp;AK$121)),IF($K124=INDIRECT(CONCATENATE("$Z$"&amp;AK$122)),INDIRECT(CONCATENATE("$Z$"&amp;AK$121)),
IF($K124=INDIRECT(CONCATENATE("$Y$"&amp;AK$122)),INDIRECT(CONCATENATE("$Y$"&amp;AK$121)),IF($K124=INDIRECT(CONCATENATE("$X$"&amp;AK$122)),INDIRECT(CONCATENATE("$X$"&amp;AK$121)),IF($K124=INDIRECT(CONCATENATE("$W$"&amp;AK$122)),INDIRECT(CONCATENATE("$W$"&amp;AK$121)),IF($K124=INDIRECT(CONCATENATE("$V$"&amp;AK$122)),INDIRECT(CONCATENATE("$V$"&amp;AK$121)),IF($K124=INDIRECT(CONCATENATE("$U$"&amp;AK$122)),INDIRECT(CONCATENATE("$U$"&amp;AK$121)),IF($K124=INDIRECT(CONCATENATE("$T$"&amp;AK$122)),INDIRECT(CONCATENATE("$T$"&amp;AK$121)),IF($K124=INDIRECT(CONCATENATE("$S$"&amp;AK$122)),INDIRECT(CONCATENATE("$S$"&amp;AK$121)),IF($K124=INDIRECT(CONCATENATE("$R$"&amp;AK$122)),INDIRECT(CONCATENATE("$R$"&amp;AK$121)),IF($K124=INDIRECT(CONCATENATE("$Q$"&amp;AK$122)),INDIRECT(CONCATENATE("$Q$"&amp;AK$121)),
IF($K124=INDIRECT(CONCATENATE("$P$"&amp;AK$122)),INDIRECT(CONCATENATE("$P$"&amp;AK$121)),IF($K124=INDIRECT(CONCATENATE("$O$"&amp;AK$122)),INDIRECT(CONCATENATE("$O$"&amp;AK$121)),IF($K124=INDIRECT(CONCATENATE("$N$"&amp;AK$122)),INDIRECT(CONCATENATE("$N$"&amp;AK$121)),IF($K124=INDIRECT(CONCATENATE("$M$"&amp;AK$122)),INDIRECT(CONCATENATE("$M$"&amp;AK$121)),IF($K124=INDIRECT(CONCATENATE("$L$"&amp;AK$122)),INDIRECT(CONCATENATE("$L$"&amp;AK$121)),IF($K124=INDIRECT(CONCATENATE("$K$"&amp;AK$122)),INDIRECT(CONCATENATE("$K$"&amp;AK$121)),IF($K124=INDIRECT(CONCATENATE("$J$"&amp;AK$122)),INDIRECT(CONCATENATE("$J$"&amp;AK$121)),IF($K124=INDIRECT(CONCATENATE("$I$"&amp;AK$122)),INDIRECT(CONCATENATE("$I$"&amp;AK$121)),IF($K124=INDIRECT(CONCATENATE("$H$"&amp;AK$122)),INDIRECT(CONCATENATE("$H$"&amp;AK$121)),IF($K124=INDIRECT(CONCATENATE("$G$"&amp;AK$122)),INDIRECT(CONCATENATE("$G$"&amp;AK$121)),IF($K124=INDIRECT(CONCATENATE("$F$"&amp;AK$122)),INDIRECT(CONCATENATE("$F$"&amp;AK$121)),IF($K124=INDIRECT(CONCATENATE("$E$"&amp;AK$122)),INDIRECT(CONCATENATE("$E$"&amp;AK$121)),IF($K124=INDIRECT(CONCATENATE("$D$"&amp;AK$122)),INDIRECT(CONCATENATE("$D$"&amp;AK$121)),IF($K124=INDIRECT(CONCATENATE("$C$"&amp;AK$122)),INDIRECT(CONCATENATE("$C$"&amp;AK$121)),IF($K124=INDIRECT(CONCATENATE("$B$"&amp;AK$122)),INDIRECT(CONCATENATE("$B$"&amp;AK$121)),"X")))))))))))))))))))))))))))))))</f>
        <v>X</v>
      </c>
      <c r="BN124" s="6" t="str">
        <f t="shared" ca="1" si="397"/>
        <v>X</v>
      </c>
      <c r="BO124" s="6" t="str">
        <f t="shared" ref="BO124:BP128" ca="1" si="398">IF($K124=INDIRECT(CONCATENATE("$AF$"&amp;AM$122)),INDIRECT(CONCATENATE("$AF$"&amp;AM$121)),IF($K124=INDIRECT(CONCATENATE("$AE$"&amp;AM$122)),INDIRECT(CONCATENATE("$AE$"&amp;AM$121)),IF($K124=INDIRECT(CONCATENATE("$AD$"&amp;AM$122)),INDIRECT(CONCATENATE("$AD$"&amp;AM$121)),IF($K124=INDIRECT(CONCATENATE("$AC$"&amp;AM$122)),INDIRECT(CONCATENATE("$AC$"&amp;AM$121)),IF($K124=INDIRECT(CONCATENATE("$AB$"&amp;AM$122)),INDIRECT(CONCATENATE("$AB$"&amp;AM$121)),IF($K124=INDIRECT(CONCATENATE("$AA$"&amp;AM$122)),INDIRECT(CONCATENATE("$AA$"&amp;AM$121)),IF($K124=INDIRECT(CONCATENATE("$Z$"&amp;AM$122)),INDIRECT(CONCATENATE("$Z$"&amp;AM$121)),
IF($K124=INDIRECT(CONCATENATE("$Y$"&amp;AM$122)),INDIRECT(CONCATENATE("$Y$"&amp;AM$121)),IF($K124=INDIRECT(CONCATENATE("$X$"&amp;AM$122)),INDIRECT(CONCATENATE("$X$"&amp;AM$121)),IF($K124=INDIRECT(CONCATENATE("$W$"&amp;AM$122)),INDIRECT(CONCATENATE("$W$"&amp;AM$121)),IF($K124=INDIRECT(CONCATENATE("$V$"&amp;AM$122)),INDIRECT(CONCATENATE("$V$"&amp;AM$121)),IF($K124=INDIRECT(CONCATENATE("$U$"&amp;AM$122)),INDIRECT(CONCATENATE("$U$"&amp;AM$121)),IF($K124=INDIRECT(CONCATENATE("$T$"&amp;AM$122)),INDIRECT(CONCATENATE("$T$"&amp;AM$121)),IF($K124=INDIRECT(CONCATENATE("$S$"&amp;AM$122)),INDIRECT(CONCATENATE("$S$"&amp;AM$121)),IF($K124=INDIRECT(CONCATENATE("$R$"&amp;AM$122)),INDIRECT(CONCATENATE("$R$"&amp;AM$121)),IF($K124=INDIRECT(CONCATENATE("$Q$"&amp;AM$122)),INDIRECT(CONCATENATE("$Q$"&amp;AM$121)),
IF($K124=INDIRECT(CONCATENATE("$P$"&amp;AM$122)),INDIRECT(CONCATENATE("$P$"&amp;AM$121)),IF($K124=INDIRECT(CONCATENATE("$O$"&amp;AM$122)),INDIRECT(CONCATENATE("$O$"&amp;AM$121)),IF($K124=INDIRECT(CONCATENATE("$N$"&amp;AM$122)),INDIRECT(CONCATENATE("$N$"&amp;AM$121)),IF($K124=INDIRECT(CONCATENATE("$M$"&amp;AM$122)),INDIRECT(CONCATENATE("$M$"&amp;AM$121)),IF($K124=INDIRECT(CONCATENATE("$L$"&amp;AM$122)),INDIRECT(CONCATENATE("$L$"&amp;AM$121)),IF($K124=INDIRECT(CONCATENATE("$K$"&amp;AM$122)),INDIRECT(CONCATENATE("$K$"&amp;AM$121)),IF($K124=INDIRECT(CONCATENATE("$J$"&amp;AM$122)),INDIRECT(CONCATENATE("$J$"&amp;AM$121)),IF($K124=INDIRECT(CONCATENATE("$I$"&amp;AM$122)),INDIRECT(CONCATENATE("$I$"&amp;AM$121)),IF($K124=INDIRECT(CONCATENATE("$H$"&amp;AM$122)),INDIRECT(CONCATENATE("$H$"&amp;AM$121)),IF($K124=INDIRECT(CONCATENATE("$G$"&amp;AM$122)),INDIRECT(CONCATENATE("$G$"&amp;AM$121)),IF($K124=INDIRECT(CONCATENATE("$F$"&amp;AM$122)),INDIRECT(CONCATENATE("$F$"&amp;AM$121)),IF($K124=INDIRECT(CONCATENATE("$E$"&amp;AM$122)),INDIRECT(CONCATENATE("$E$"&amp;AM$121)),IF($K124=INDIRECT(CONCATENATE("$D$"&amp;AM$122)),INDIRECT(CONCATENATE("$D$"&amp;AM$121)),IF($K124=INDIRECT(CONCATENATE("$C$"&amp;AM$122)),INDIRECT(CONCATENATE("$C$"&amp;AM$121)),IF($K124=INDIRECT(CONCATENATE("$B$"&amp;AM$122)),INDIRECT(CONCATENATE("$B$"&amp;AM$121)),"X")))))))))))))))))))))))))))))))</f>
        <v>X</v>
      </c>
      <c r="BP124" s="6" t="str">
        <f t="shared" ca="1" si="398"/>
        <v>X</v>
      </c>
      <c r="BQ124" s="6" t="str">
        <f t="shared" ref="BQ124:BR128" ca="1" si="399">IF($K124=INDIRECT(CONCATENATE("$AF$"&amp;AO$122)),INDIRECT(CONCATENATE("$AF$"&amp;AO$121)),IF($K124=INDIRECT(CONCATENATE("$AE$"&amp;AO$122)),INDIRECT(CONCATENATE("$AE$"&amp;AO$121)),IF($K124=INDIRECT(CONCATENATE("$AD$"&amp;AO$122)),INDIRECT(CONCATENATE("$AD$"&amp;AO$121)),IF($K124=INDIRECT(CONCATENATE("$AC$"&amp;AO$122)),INDIRECT(CONCATENATE("$AC$"&amp;AO$121)),IF($K124=INDIRECT(CONCATENATE("$AB$"&amp;AO$122)),INDIRECT(CONCATENATE("$AB$"&amp;AO$121)),IF($K124=INDIRECT(CONCATENATE("$AA$"&amp;AO$122)),INDIRECT(CONCATENATE("$AA$"&amp;AO$121)),IF($K124=INDIRECT(CONCATENATE("$Z$"&amp;AO$122)),INDIRECT(CONCATENATE("$Z$"&amp;AO$121)),
IF($K124=INDIRECT(CONCATENATE("$Y$"&amp;AO$122)),INDIRECT(CONCATENATE("$Y$"&amp;AO$121)),IF($K124=INDIRECT(CONCATENATE("$X$"&amp;AO$122)),INDIRECT(CONCATENATE("$X$"&amp;AO$121)),IF($K124=INDIRECT(CONCATENATE("$W$"&amp;AO$122)),INDIRECT(CONCATENATE("$W$"&amp;AO$121)),IF($K124=INDIRECT(CONCATENATE("$V$"&amp;AO$122)),INDIRECT(CONCATENATE("$V$"&amp;AO$121)),IF($K124=INDIRECT(CONCATENATE("$U$"&amp;AO$122)),INDIRECT(CONCATENATE("$U$"&amp;AO$121)),IF($K124=INDIRECT(CONCATENATE("$T$"&amp;AO$122)),INDIRECT(CONCATENATE("$T$"&amp;AO$121)),IF($K124=INDIRECT(CONCATENATE("$S$"&amp;AO$122)),INDIRECT(CONCATENATE("$S$"&amp;AO$121)),IF($K124=INDIRECT(CONCATENATE("$R$"&amp;AO$122)),INDIRECT(CONCATENATE("$R$"&amp;AO$121)),IF($K124=INDIRECT(CONCATENATE("$Q$"&amp;AO$122)),INDIRECT(CONCATENATE("$Q$"&amp;AO$121)),
IF($K124=INDIRECT(CONCATENATE("$P$"&amp;AO$122)),INDIRECT(CONCATENATE("$P$"&amp;AO$121)),IF($K124=INDIRECT(CONCATENATE("$O$"&amp;AO$122)),INDIRECT(CONCATENATE("$O$"&amp;AO$121)),IF($K124=INDIRECT(CONCATENATE("$N$"&amp;AO$122)),INDIRECT(CONCATENATE("$N$"&amp;AO$121)),IF($K124=INDIRECT(CONCATENATE("$M$"&amp;AO$122)),INDIRECT(CONCATENATE("$M$"&amp;AO$121)),IF($K124=INDIRECT(CONCATENATE("$L$"&amp;AO$122)),INDIRECT(CONCATENATE("$L$"&amp;AO$121)),IF($K124=INDIRECT(CONCATENATE("$K$"&amp;AO$122)),INDIRECT(CONCATENATE("$K$"&amp;AO$121)),IF($K124=INDIRECT(CONCATENATE("$J$"&amp;AO$122)),INDIRECT(CONCATENATE("$J$"&amp;AO$121)),IF($K124=INDIRECT(CONCATENATE("$I$"&amp;AO$122)),INDIRECT(CONCATENATE("$I$"&amp;AO$121)),IF($K124=INDIRECT(CONCATENATE("$H$"&amp;AO$122)),INDIRECT(CONCATENATE("$H$"&amp;AO$121)),IF($K124=INDIRECT(CONCATENATE("$G$"&amp;AO$122)),INDIRECT(CONCATENATE("$G$"&amp;AO$121)),IF($K124=INDIRECT(CONCATENATE("$F$"&amp;AO$122)),INDIRECT(CONCATENATE("$F$"&amp;AO$121)),IF($K124=INDIRECT(CONCATENATE("$E$"&amp;AO$122)),INDIRECT(CONCATENATE("$E$"&amp;AO$121)),IF($K124=INDIRECT(CONCATENATE("$D$"&amp;AO$122)),INDIRECT(CONCATENATE("$D$"&amp;AO$121)),IF($K124=INDIRECT(CONCATENATE("$C$"&amp;AO$122)),INDIRECT(CONCATENATE("$C$"&amp;AO$121)),IF($K124=INDIRECT(CONCATENATE("$B$"&amp;AO$122)),INDIRECT(CONCATENATE("$B$"&amp;AO$121)),"X")))))))))))))))))))))))))))))))</f>
        <v>X</v>
      </c>
      <c r="BR124" s="6" t="str">
        <f t="shared" ca="1" si="399"/>
        <v>X</v>
      </c>
      <c r="BS124" s="6" t="str">
        <f t="shared" ref="BS124:BT128" ca="1" si="400">IF($K124=INDIRECT(CONCATENATE("$AF$"&amp;AQ$122)),INDIRECT(CONCATENATE("$AF$"&amp;AQ$121)),IF($K124=INDIRECT(CONCATENATE("$AE$"&amp;AQ$122)),INDIRECT(CONCATENATE("$AE$"&amp;AQ$121)),IF($K124=INDIRECT(CONCATENATE("$AD$"&amp;AQ$122)),INDIRECT(CONCATENATE("$AD$"&amp;AQ$121)),IF($K124=INDIRECT(CONCATENATE("$AC$"&amp;AQ$122)),INDIRECT(CONCATENATE("$AC$"&amp;AQ$121)),IF($K124=INDIRECT(CONCATENATE("$AB$"&amp;AQ$122)),INDIRECT(CONCATENATE("$AB$"&amp;AQ$121)),IF($K124=INDIRECT(CONCATENATE("$AA$"&amp;AQ$122)),INDIRECT(CONCATENATE("$AA$"&amp;AQ$121)),IF($K124=INDIRECT(CONCATENATE("$Z$"&amp;AQ$122)),INDIRECT(CONCATENATE("$Z$"&amp;AQ$121)),
IF($K124=INDIRECT(CONCATENATE("$Y$"&amp;AQ$122)),INDIRECT(CONCATENATE("$Y$"&amp;AQ$121)),IF($K124=INDIRECT(CONCATENATE("$X$"&amp;AQ$122)),INDIRECT(CONCATENATE("$X$"&amp;AQ$121)),IF($K124=INDIRECT(CONCATENATE("$W$"&amp;AQ$122)),INDIRECT(CONCATENATE("$W$"&amp;AQ$121)),IF($K124=INDIRECT(CONCATENATE("$V$"&amp;AQ$122)),INDIRECT(CONCATENATE("$V$"&amp;AQ$121)),IF($K124=INDIRECT(CONCATENATE("$U$"&amp;AQ$122)),INDIRECT(CONCATENATE("$U$"&amp;AQ$121)),IF($K124=INDIRECT(CONCATENATE("$T$"&amp;AQ$122)),INDIRECT(CONCATENATE("$T$"&amp;AQ$121)),IF($K124=INDIRECT(CONCATENATE("$S$"&amp;AQ$122)),INDIRECT(CONCATENATE("$S$"&amp;AQ$121)),IF($K124=INDIRECT(CONCATENATE("$R$"&amp;AQ$122)),INDIRECT(CONCATENATE("$R$"&amp;AQ$121)),IF($K124=INDIRECT(CONCATENATE("$Q$"&amp;AQ$122)),INDIRECT(CONCATENATE("$Q$"&amp;AQ$121)),
IF($K124=INDIRECT(CONCATENATE("$P$"&amp;AQ$122)),INDIRECT(CONCATENATE("$P$"&amp;AQ$121)),IF($K124=INDIRECT(CONCATENATE("$O$"&amp;AQ$122)),INDIRECT(CONCATENATE("$O$"&amp;AQ$121)),IF($K124=INDIRECT(CONCATENATE("$N$"&amp;AQ$122)),INDIRECT(CONCATENATE("$N$"&amp;AQ$121)),IF($K124=INDIRECT(CONCATENATE("$M$"&amp;AQ$122)),INDIRECT(CONCATENATE("$M$"&amp;AQ$121)),IF($K124=INDIRECT(CONCATENATE("$L$"&amp;AQ$122)),INDIRECT(CONCATENATE("$L$"&amp;AQ$121)),IF($K124=INDIRECT(CONCATENATE("$K$"&amp;AQ$122)),INDIRECT(CONCATENATE("$K$"&amp;AQ$121)),IF($K124=INDIRECT(CONCATENATE("$J$"&amp;AQ$122)),INDIRECT(CONCATENATE("$J$"&amp;AQ$121)),IF($K124=INDIRECT(CONCATENATE("$I$"&amp;AQ$122)),INDIRECT(CONCATENATE("$I$"&amp;AQ$121)),IF($K124=INDIRECT(CONCATENATE("$H$"&amp;AQ$122)),INDIRECT(CONCATENATE("$H$"&amp;AQ$121)),IF($K124=INDIRECT(CONCATENATE("$G$"&amp;AQ$122)),INDIRECT(CONCATENATE("$G$"&amp;AQ$121)),IF($K124=INDIRECT(CONCATENATE("$F$"&amp;AQ$122)),INDIRECT(CONCATENATE("$F$"&amp;AQ$121)),IF($K124=INDIRECT(CONCATENATE("$E$"&amp;AQ$122)),INDIRECT(CONCATENATE("$E$"&amp;AQ$121)),IF($K124=INDIRECT(CONCATENATE("$D$"&amp;AQ$122)),INDIRECT(CONCATENATE("$D$"&amp;AQ$121)),IF($K124=INDIRECT(CONCATENATE("$C$"&amp;AQ$122)),INDIRECT(CONCATENATE("$C$"&amp;AQ$121)),IF($K124=INDIRECT(CONCATENATE("$B$"&amp;AQ$122)),INDIRECT(CONCATENATE("$B$"&amp;AQ$121)),"X")))))))))))))))))))))))))))))))</f>
        <v>X</v>
      </c>
      <c r="BT124" s="6" t="str">
        <f t="shared" ca="1" si="400"/>
        <v>X</v>
      </c>
      <c r="BU124" s="6" t="str">
        <f t="shared" ref="BU124:BV128" ca="1" si="401">IF($K124=INDIRECT(CONCATENATE("$AF$"&amp;AS$122)),INDIRECT(CONCATENATE("$AF$"&amp;AS$121)),IF($K124=INDIRECT(CONCATENATE("$AE$"&amp;AS$122)),INDIRECT(CONCATENATE("$AE$"&amp;AS$121)),IF($K124=INDIRECT(CONCATENATE("$AD$"&amp;AS$122)),INDIRECT(CONCATENATE("$AD$"&amp;AS$121)),IF($K124=INDIRECT(CONCATENATE("$AC$"&amp;AS$122)),INDIRECT(CONCATENATE("$AC$"&amp;AS$121)),IF($K124=INDIRECT(CONCATENATE("$AB$"&amp;AS$122)),INDIRECT(CONCATENATE("$AB$"&amp;AS$121)),IF($K124=INDIRECT(CONCATENATE("$AA$"&amp;AS$122)),INDIRECT(CONCATENATE("$AA$"&amp;AS$121)),IF($K124=INDIRECT(CONCATENATE("$Z$"&amp;AS$122)),INDIRECT(CONCATENATE("$Z$"&amp;AS$121)),
IF($K124=INDIRECT(CONCATENATE("$Y$"&amp;AS$122)),INDIRECT(CONCATENATE("$Y$"&amp;AS$121)),IF($K124=INDIRECT(CONCATENATE("$X$"&amp;AS$122)),INDIRECT(CONCATENATE("$X$"&amp;AS$121)),IF($K124=INDIRECT(CONCATENATE("$W$"&amp;AS$122)),INDIRECT(CONCATENATE("$W$"&amp;AS$121)),IF($K124=INDIRECT(CONCATENATE("$V$"&amp;AS$122)),INDIRECT(CONCATENATE("$V$"&amp;AS$121)),IF($K124=INDIRECT(CONCATENATE("$U$"&amp;AS$122)),INDIRECT(CONCATENATE("$U$"&amp;AS$121)),IF($K124=INDIRECT(CONCATENATE("$T$"&amp;AS$122)),INDIRECT(CONCATENATE("$T$"&amp;AS$121)),IF($K124=INDIRECT(CONCATENATE("$S$"&amp;AS$122)),INDIRECT(CONCATENATE("$S$"&amp;AS$121)),IF($K124=INDIRECT(CONCATENATE("$R$"&amp;AS$122)),INDIRECT(CONCATENATE("$R$"&amp;AS$121)),IF($K124=INDIRECT(CONCATENATE("$Q$"&amp;AS$122)),INDIRECT(CONCATENATE("$Q$"&amp;AS$121)),
IF($K124=INDIRECT(CONCATENATE("$P$"&amp;AS$122)),INDIRECT(CONCATENATE("$P$"&amp;AS$121)),IF($K124=INDIRECT(CONCATENATE("$O$"&amp;AS$122)),INDIRECT(CONCATENATE("$O$"&amp;AS$121)),IF($K124=INDIRECT(CONCATENATE("$N$"&amp;AS$122)),INDIRECT(CONCATENATE("$N$"&amp;AS$121)),IF($K124=INDIRECT(CONCATENATE("$M$"&amp;AS$122)),INDIRECT(CONCATENATE("$M$"&amp;AS$121)),IF($K124=INDIRECT(CONCATENATE("$L$"&amp;AS$122)),INDIRECT(CONCATENATE("$L$"&amp;AS$121)),IF($K124=INDIRECT(CONCATENATE("$K$"&amp;AS$122)),INDIRECT(CONCATENATE("$K$"&amp;AS$121)),IF($K124=INDIRECT(CONCATENATE("$J$"&amp;AS$122)),INDIRECT(CONCATENATE("$J$"&amp;AS$121)),IF($K124=INDIRECT(CONCATENATE("$I$"&amp;AS$122)),INDIRECT(CONCATENATE("$I$"&amp;AS$121)),IF($K124=INDIRECT(CONCATENATE("$H$"&amp;AS$122)),INDIRECT(CONCATENATE("$H$"&amp;AS$121)),IF($K124=INDIRECT(CONCATENATE("$G$"&amp;AS$122)),INDIRECT(CONCATENATE("$G$"&amp;AS$121)),IF($K124=INDIRECT(CONCATENATE("$F$"&amp;AS$122)),INDIRECT(CONCATENATE("$F$"&amp;AS$121)),IF($K124=INDIRECT(CONCATENATE("$E$"&amp;AS$122)),INDIRECT(CONCATENATE("$E$"&amp;AS$121)),IF($K124=INDIRECT(CONCATENATE("$D$"&amp;AS$122)),INDIRECT(CONCATENATE("$D$"&amp;AS$121)),IF($K124=INDIRECT(CONCATENATE("$C$"&amp;AS$122)),INDIRECT(CONCATENATE("$C$"&amp;AS$121)),IF($K124=INDIRECT(CONCATENATE("$B$"&amp;AS$122)),INDIRECT(CONCATENATE("$B$"&amp;AS$121)),"X")))))))))))))))))))))))))))))))</f>
        <v>X</v>
      </c>
      <c r="BV124" s="6" t="str">
        <f t="shared" ca="1" si="401"/>
        <v>X</v>
      </c>
      <c r="BW124" s="6" t="str">
        <f t="shared" ref="BW124:BX128" ca="1" si="402">IF($K124=INDIRECT(CONCATENATE("$AF$"&amp;AU$122)),INDIRECT(CONCATENATE("$AF$"&amp;AU$121)),IF($K124=INDIRECT(CONCATENATE("$AE$"&amp;AU$122)),INDIRECT(CONCATENATE("$AE$"&amp;AU$121)),IF($K124=INDIRECT(CONCATENATE("$AD$"&amp;AU$122)),INDIRECT(CONCATENATE("$AD$"&amp;AU$121)),IF($K124=INDIRECT(CONCATENATE("$AC$"&amp;AU$122)),INDIRECT(CONCATENATE("$AC$"&amp;AU$121)),IF($K124=INDIRECT(CONCATENATE("$AB$"&amp;AU$122)),INDIRECT(CONCATENATE("$AB$"&amp;AU$121)),IF($K124=INDIRECT(CONCATENATE("$AA$"&amp;AU$122)),INDIRECT(CONCATENATE("$AA$"&amp;AU$121)),IF($K124=INDIRECT(CONCATENATE("$Z$"&amp;AU$122)),INDIRECT(CONCATENATE("$Z$"&amp;AU$121)),
IF($K124=INDIRECT(CONCATENATE("$Y$"&amp;AU$122)),INDIRECT(CONCATENATE("$Y$"&amp;AU$121)),IF($K124=INDIRECT(CONCATENATE("$X$"&amp;AU$122)),INDIRECT(CONCATENATE("$X$"&amp;AU$121)),IF($K124=INDIRECT(CONCATENATE("$W$"&amp;AU$122)),INDIRECT(CONCATENATE("$W$"&amp;AU$121)),IF($K124=INDIRECT(CONCATENATE("$V$"&amp;AU$122)),INDIRECT(CONCATENATE("$V$"&amp;AU$121)),IF($K124=INDIRECT(CONCATENATE("$U$"&amp;AU$122)),INDIRECT(CONCATENATE("$U$"&amp;AU$121)),IF($K124=INDIRECT(CONCATENATE("$T$"&amp;AU$122)),INDIRECT(CONCATENATE("$T$"&amp;AU$121)),IF($K124=INDIRECT(CONCATENATE("$S$"&amp;AU$122)),INDIRECT(CONCATENATE("$S$"&amp;AU$121)),IF($K124=INDIRECT(CONCATENATE("$R$"&amp;AU$122)),INDIRECT(CONCATENATE("$R$"&amp;AU$121)),IF($K124=INDIRECT(CONCATENATE("$Q$"&amp;AU$122)),INDIRECT(CONCATENATE("$Q$"&amp;AU$121)),
IF($K124=INDIRECT(CONCATENATE("$P$"&amp;AU$122)),INDIRECT(CONCATENATE("$P$"&amp;AU$121)),IF($K124=INDIRECT(CONCATENATE("$O$"&amp;AU$122)),INDIRECT(CONCATENATE("$O$"&amp;AU$121)),IF($K124=INDIRECT(CONCATENATE("$N$"&amp;AU$122)),INDIRECT(CONCATENATE("$N$"&amp;AU$121)),IF($K124=INDIRECT(CONCATENATE("$M$"&amp;AU$122)),INDIRECT(CONCATENATE("$M$"&amp;AU$121)),IF($K124=INDIRECT(CONCATENATE("$L$"&amp;AU$122)),INDIRECT(CONCATENATE("$L$"&amp;AU$121)),IF($K124=INDIRECT(CONCATENATE("$K$"&amp;AU$122)),INDIRECT(CONCATENATE("$K$"&amp;AU$121)),IF($K124=INDIRECT(CONCATENATE("$J$"&amp;AU$122)),INDIRECT(CONCATENATE("$J$"&amp;AU$121)),IF($K124=INDIRECT(CONCATENATE("$I$"&amp;AU$122)),INDIRECT(CONCATENATE("$I$"&amp;AU$121)),IF($K124=INDIRECT(CONCATENATE("$H$"&amp;AU$122)),INDIRECT(CONCATENATE("$H$"&amp;AU$121)),IF($K124=INDIRECT(CONCATENATE("$G$"&amp;AU$122)),INDIRECT(CONCATENATE("$G$"&amp;AU$121)),IF($K124=INDIRECT(CONCATENATE("$F$"&amp;AU$122)),INDIRECT(CONCATENATE("$F$"&amp;AU$121)),IF($K124=INDIRECT(CONCATENATE("$E$"&amp;AU$122)),INDIRECT(CONCATENATE("$E$"&amp;AU$121)),IF($K124=INDIRECT(CONCATENATE("$D$"&amp;AU$122)),INDIRECT(CONCATENATE("$D$"&amp;AU$121)),IF($K124=INDIRECT(CONCATENATE("$C$"&amp;AU$122)),INDIRECT(CONCATENATE("$C$"&amp;AU$121)),IF($K124=INDIRECT(CONCATENATE("$B$"&amp;AU$122)),INDIRECT(CONCATENATE("$B$"&amp;AU$121)),"X")))))))))))))))))))))))))))))))</f>
        <v>X</v>
      </c>
      <c r="BX124" s="6" t="str">
        <f t="shared" ca="1" si="402"/>
        <v>X</v>
      </c>
      <c r="BY124" s="6">
        <f t="shared" ref="BY124:BZ128" ca="1" si="403">IF($K124=INDIRECT(CONCATENATE("$AF$"&amp;AW$122)),INDIRECT(CONCATENATE("$AF$"&amp;AW$121)),IF($K124=INDIRECT(CONCATENATE("$AE$"&amp;AW$122)),INDIRECT(CONCATENATE("$AE$"&amp;AW$121)),IF($K124=INDIRECT(CONCATENATE("$AD$"&amp;AW$122)),INDIRECT(CONCATENATE("$AD$"&amp;AW$121)),IF($K124=INDIRECT(CONCATENATE("$AC$"&amp;AW$122)),INDIRECT(CONCATENATE("$AC$"&amp;AW$121)),IF($K124=INDIRECT(CONCATENATE("$AB$"&amp;AW$122)),INDIRECT(CONCATENATE("$AB$"&amp;AW$121)),IF($K124=INDIRECT(CONCATENATE("$AA$"&amp;AW$122)),INDIRECT(CONCATENATE("$AA$"&amp;AW$121)),IF($K124=INDIRECT(CONCATENATE("$Z$"&amp;AW$122)),INDIRECT(CONCATENATE("$Z$"&amp;AW$121)),
IF($K124=INDIRECT(CONCATENATE("$Y$"&amp;AW$122)),INDIRECT(CONCATENATE("$Y$"&amp;AW$121)),IF($K124=INDIRECT(CONCATENATE("$X$"&amp;AW$122)),INDIRECT(CONCATENATE("$X$"&amp;AW$121)),IF($K124=INDIRECT(CONCATENATE("$W$"&amp;AW$122)),INDIRECT(CONCATENATE("$W$"&amp;AW$121)),IF($K124=INDIRECT(CONCATENATE("$V$"&amp;AW$122)),INDIRECT(CONCATENATE("$V$"&amp;AW$121)),IF($K124=INDIRECT(CONCATENATE("$U$"&amp;AW$122)),INDIRECT(CONCATENATE("$U$"&amp;AW$121)),IF($K124=INDIRECT(CONCATENATE("$T$"&amp;AW$122)),INDIRECT(CONCATENATE("$T$"&amp;AW$121)),IF($K124=INDIRECT(CONCATENATE("$S$"&amp;AW$122)),INDIRECT(CONCATENATE("$S$"&amp;AW$121)),IF($K124=INDIRECT(CONCATENATE("$R$"&amp;AW$122)),INDIRECT(CONCATENATE("$R$"&amp;AW$121)),IF($K124=INDIRECT(CONCATENATE("$Q$"&amp;AW$122)),INDIRECT(CONCATENATE("$Q$"&amp;AW$121)),
IF($K124=INDIRECT(CONCATENATE("$P$"&amp;AW$122)),INDIRECT(CONCATENATE("$P$"&amp;AW$121)),IF($K124=INDIRECT(CONCATENATE("$O$"&amp;AW$122)),INDIRECT(CONCATENATE("$O$"&amp;AW$121)),IF($K124=INDIRECT(CONCATENATE("$N$"&amp;AW$122)),INDIRECT(CONCATENATE("$N$"&amp;AW$121)),IF($K124=INDIRECT(CONCATENATE("$M$"&amp;AW$122)),INDIRECT(CONCATENATE("$M$"&amp;AW$121)),IF($K124=INDIRECT(CONCATENATE("$L$"&amp;AW$122)),INDIRECT(CONCATENATE("$L$"&amp;AW$121)),IF($K124=INDIRECT(CONCATENATE("$K$"&amp;AW$122)),INDIRECT(CONCATENATE("$K$"&amp;AW$121)),IF($K124=INDIRECT(CONCATENATE("$J$"&amp;AW$122)),INDIRECT(CONCATENATE("$J$"&amp;AW$121)),IF($K124=INDIRECT(CONCATENATE("$I$"&amp;AW$122)),INDIRECT(CONCATENATE("$I$"&amp;AW$121)),IF($K124=INDIRECT(CONCATENATE("$H$"&amp;AW$122)),INDIRECT(CONCATENATE("$H$"&amp;AW$121)),IF($K124=INDIRECT(CONCATENATE("$G$"&amp;AW$122)),INDIRECT(CONCATENATE("$G$"&amp;AW$121)),IF($K124=INDIRECT(CONCATENATE("$F$"&amp;AW$122)),INDIRECT(CONCATENATE("$F$"&amp;AW$121)),IF($K124=INDIRECT(CONCATENATE("$E$"&amp;AW$122)),INDIRECT(CONCATENATE("$E$"&amp;AW$121)),IF($K124=INDIRECT(CONCATENATE("$D$"&amp;AW$122)),INDIRECT(CONCATENATE("$D$"&amp;AW$121)),IF($K124=INDIRECT(CONCATENATE("$C$"&amp;AW$122)),INDIRECT(CONCATENATE("$C$"&amp;AW$121)),IF($K124=INDIRECT(CONCATENATE("$B$"&amp;AW$122)),INDIRECT(CONCATENATE("$B$"&amp;AW$121)),"X")))))))))))))))))))))))))))))))</f>
        <v>46244</v>
      </c>
      <c r="BZ124" s="6" t="str">
        <f t="shared" ca="1" si="403"/>
        <v>X</v>
      </c>
      <c r="CA124" s="6" t="str">
        <f t="shared" ref="CA124:CB128" ca="1" si="404">IF($K124=INDIRECT(CONCATENATE("$AF$"&amp;AY$122)),INDIRECT(CONCATENATE("$AF$"&amp;AY$121)),IF($K124=INDIRECT(CONCATENATE("$AE$"&amp;AY$122)),INDIRECT(CONCATENATE("$AE$"&amp;AY$121)),IF($K124=INDIRECT(CONCATENATE("$AD$"&amp;AY$122)),INDIRECT(CONCATENATE("$AD$"&amp;AY$121)),IF($K124=INDIRECT(CONCATENATE("$AC$"&amp;AY$122)),INDIRECT(CONCATENATE("$AC$"&amp;AY$121)),IF($K124=INDIRECT(CONCATENATE("$AB$"&amp;AY$122)),INDIRECT(CONCATENATE("$AB$"&amp;AY$121)),IF($K124=INDIRECT(CONCATENATE("$AA$"&amp;AY$122)),INDIRECT(CONCATENATE("$AA$"&amp;AY$121)),IF($K124=INDIRECT(CONCATENATE("$Z$"&amp;AY$122)),INDIRECT(CONCATENATE("$Z$"&amp;AY$121)),
IF($K124=INDIRECT(CONCATENATE("$Y$"&amp;AY$122)),INDIRECT(CONCATENATE("$Y$"&amp;AY$121)),IF($K124=INDIRECT(CONCATENATE("$X$"&amp;AY$122)),INDIRECT(CONCATENATE("$X$"&amp;AY$121)),IF($K124=INDIRECT(CONCATENATE("$W$"&amp;AY$122)),INDIRECT(CONCATENATE("$W$"&amp;AY$121)),IF($K124=INDIRECT(CONCATENATE("$V$"&amp;AY$122)),INDIRECT(CONCATENATE("$V$"&amp;AY$121)),IF($K124=INDIRECT(CONCATENATE("$U$"&amp;AY$122)),INDIRECT(CONCATENATE("$U$"&amp;AY$121)),IF($K124=INDIRECT(CONCATENATE("$T$"&amp;AY$122)),INDIRECT(CONCATENATE("$T$"&amp;AY$121)),IF($K124=INDIRECT(CONCATENATE("$S$"&amp;AY$122)),INDIRECT(CONCATENATE("$S$"&amp;AY$121)),IF($K124=INDIRECT(CONCATENATE("$R$"&amp;AY$122)),INDIRECT(CONCATENATE("$R$"&amp;AY$121)),IF($K124=INDIRECT(CONCATENATE("$Q$"&amp;AY$122)),INDIRECT(CONCATENATE("$Q$"&amp;AY$121)),
IF($K124=INDIRECT(CONCATENATE("$P$"&amp;AY$122)),INDIRECT(CONCATENATE("$P$"&amp;AY$121)),IF($K124=INDIRECT(CONCATENATE("$O$"&amp;AY$122)),INDIRECT(CONCATENATE("$O$"&amp;AY$121)),IF($K124=INDIRECT(CONCATENATE("$N$"&amp;AY$122)),INDIRECT(CONCATENATE("$N$"&amp;AY$121)),IF($K124=INDIRECT(CONCATENATE("$M$"&amp;AY$122)),INDIRECT(CONCATENATE("$M$"&amp;AY$121)),IF($K124=INDIRECT(CONCATENATE("$L$"&amp;AY$122)),INDIRECT(CONCATENATE("$L$"&amp;AY$121)),IF($K124=INDIRECT(CONCATENATE("$K$"&amp;AY$122)),INDIRECT(CONCATENATE("$K$"&amp;AY$121)),IF($K124=INDIRECT(CONCATENATE("$J$"&amp;AY$122)),INDIRECT(CONCATENATE("$J$"&amp;AY$121)),IF($K124=INDIRECT(CONCATENATE("$I$"&amp;AY$122)),INDIRECT(CONCATENATE("$I$"&amp;AY$121)),IF($K124=INDIRECT(CONCATENATE("$H$"&amp;AY$122)),INDIRECT(CONCATENATE("$H$"&amp;AY$121)),IF($K124=INDIRECT(CONCATENATE("$G$"&amp;AY$122)),INDIRECT(CONCATENATE("$G$"&amp;AY$121)),IF($K124=INDIRECT(CONCATENATE("$F$"&amp;AY$122)),INDIRECT(CONCATENATE("$F$"&amp;AY$121)),IF($K124=INDIRECT(CONCATENATE("$E$"&amp;AY$122)),INDIRECT(CONCATENATE("$E$"&amp;AY$121)),IF($K124=INDIRECT(CONCATENATE("$D$"&amp;AY$122)),INDIRECT(CONCATENATE("$D$"&amp;AY$121)),IF($K124=INDIRECT(CONCATENATE("$C$"&amp;AY$122)),INDIRECT(CONCATENATE("$C$"&amp;AY$121)),IF($K124=INDIRECT(CONCATENATE("$B$"&amp;AY$122)),INDIRECT(CONCATENATE("$B$"&amp;AY$121)),"X")))))))))))))))))))))))))))))))</f>
        <v>X</v>
      </c>
      <c r="CB124" s="6" t="str">
        <f t="shared" ca="1" si="404"/>
        <v>X</v>
      </c>
      <c r="CC124" s="6" t="str">
        <f t="shared" ref="CC124:CD128" ca="1" si="405">IF($K124=INDIRECT(CONCATENATE("$AF$"&amp;BA$122)),INDIRECT(CONCATENATE("$AF$"&amp;BA$121)),IF($K124=INDIRECT(CONCATENATE("$AE$"&amp;BA$122)),INDIRECT(CONCATENATE("$AE$"&amp;BA$121)),IF($K124=INDIRECT(CONCATENATE("$AD$"&amp;BA$122)),INDIRECT(CONCATENATE("$AD$"&amp;BA$121)),IF($K124=INDIRECT(CONCATENATE("$AC$"&amp;BA$122)),INDIRECT(CONCATENATE("$AC$"&amp;BA$121)),IF($K124=INDIRECT(CONCATENATE("$AB$"&amp;BA$122)),INDIRECT(CONCATENATE("$AB$"&amp;BA$121)),IF($K124=INDIRECT(CONCATENATE("$AA$"&amp;BA$122)),INDIRECT(CONCATENATE("$AA$"&amp;BA$121)),IF($K124=INDIRECT(CONCATENATE("$Z$"&amp;BA$122)),INDIRECT(CONCATENATE("$Z$"&amp;BA$121)),
IF($K124=INDIRECT(CONCATENATE("$Y$"&amp;BA$122)),INDIRECT(CONCATENATE("$Y$"&amp;BA$121)),IF($K124=INDIRECT(CONCATENATE("$X$"&amp;BA$122)),INDIRECT(CONCATENATE("$X$"&amp;BA$121)),IF($K124=INDIRECT(CONCATENATE("$W$"&amp;BA$122)),INDIRECT(CONCATENATE("$W$"&amp;BA$121)),IF($K124=INDIRECT(CONCATENATE("$V$"&amp;BA$122)),INDIRECT(CONCATENATE("$V$"&amp;BA$121)),IF($K124=INDIRECT(CONCATENATE("$U$"&amp;BA$122)),INDIRECT(CONCATENATE("$U$"&amp;BA$121)),IF($K124=INDIRECT(CONCATENATE("$T$"&amp;BA$122)),INDIRECT(CONCATENATE("$T$"&amp;BA$121)),IF($K124=INDIRECT(CONCATENATE("$S$"&amp;BA$122)),INDIRECT(CONCATENATE("$S$"&amp;BA$121)),IF($K124=INDIRECT(CONCATENATE("$R$"&amp;BA$122)),INDIRECT(CONCATENATE("$R$"&amp;BA$121)),IF($K124=INDIRECT(CONCATENATE("$Q$"&amp;BA$122)),INDIRECT(CONCATENATE("$Q$"&amp;BA$121)),
IF($K124=INDIRECT(CONCATENATE("$P$"&amp;BA$122)),INDIRECT(CONCATENATE("$P$"&amp;BA$121)),IF($K124=INDIRECT(CONCATENATE("$O$"&amp;BA$122)),INDIRECT(CONCATENATE("$O$"&amp;BA$121)),IF($K124=INDIRECT(CONCATENATE("$N$"&amp;BA$122)),INDIRECT(CONCATENATE("$N$"&amp;BA$121)),IF($K124=INDIRECT(CONCATENATE("$M$"&amp;BA$122)),INDIRECT(CONCATENATE("$M$"&amp;BA$121)),IF($K124=INDIRECT(CONCATENATE("$L$"&amp;BA$122)),INDIRECT(CONCATENATE("$L$"&amp;BA$121)),IF($K124=INDIRECT(CONCATENATE("$K$"&amp;BA$122)),INDIRECT(CONCATENATE("$K$"&amp;BA$121)),IF($K124=INDIRECT(CONCATENATE("$J$"&amp;BA$122)),INDIRECT(CONCATENATE("$J$"&amp;BA$121)),IF($K124=INDIRECT(CONCATENATE("$I$"&amp;BA$122)),INDIRECT(CONCATENATE("$I$"&amp;BA$121)),IF($K124=INDIRECT(CONCATENATE("$H$"&amp;BA$122)),INDIRECT(CONCATENATE("$H$"&amp;BA$121)),IF($K124=INDIRECT(CONCATENATE("$G$"&amp;BA$122)),INDIRECT(CONCATENATE("$G$"&amp;BA$121)),IF($K124=INDIRECT(CONCATENATE("$F$"&amp;BA$122)),INDIRECT(CONCATENATE("$F$"&amp;BA$121)),IF($K124=INDIRECT(CONCATENATE("$E$"&amp;BA$122)),INDIRECT(CONCATENATE("$E$"&amp;BA$121)),IF($K124=INDIRECT(CONCATENATE("$D$"&amp;BA$122)),INDIRECT(CONCATENATE("$D$"&amp;BA$121)),IF($K124=INDIRECT(CONCATENATE("$C$"&amp;BA$122)),INDIRECT(CONCATENATE("$C$"&amp;BA$121)),IF($K124=INDIRECT(CONCATENATE("$B$"&amp;BA$122)),INDIRECT(CONCATENATE("$B$"&amp;BA$121)),"X")))))))))))))))))))))))))))))))</f>
        <v>X</v>
      </c>
      <c r="CD124" s="6" t="str">
        <f t="shared" ca="1" si="405"/>
        <v>X</v>
      </c>
      <c r="CE124" s="6" t="str">
        <f t="shared" ref="CE124:CF128" ca="1" si="406">IF($K124=INDIRECT(CONCATENATE("$AF$"&amp;BC$122)),INDIRECT(CONCATENATE("$AF$"&amp;BC$121)),IF($K124=INDIRECT(CONCATENATE("$AE$"&amp;BC$122)),INDIRECT(CONCATENATE("$AE$"&amp;BC$121)),IF($K124=INDIRECT(CONCATENATE("$AD$"&amp;BC$122)),INDIRECT(CONCATENATE("$AD$"&amp;BC$121)),IF($K124=INDIRECT(CONCATENATE("$AC$"&amp;BC$122)),INDIRECT(CONCATENATE("$AC$"&amp;BC$121)),IF($K124=INDIRECT(CONCATENATE("$AB$"&amp;BC$122)),INDIRECT(CONCATENATE("$AB$"&amp;BC$121)),IF($K124=INDIRECT(CONCATENATE("$AA$"&amp;BC$122)),INDIRECT(CONCATENATE("$AA$"&amp;BC$121)),IF($K124=INDIRECT(CONCATENATE("$Z$"&amp;BC$122)),INDIRECT(CONCATENATE("$Z$"&amp;BC$121)),
IF($K124=INDIRECT(CONCATENATE("$Y$"&amp;BC$122)),INDIRECT(CONCATENATE("$Y$"&amp;BC$121)),IF($K124=INDIRECT(CONCATENATE("$X$"&amp;BC$122)),INDIRECT(CONCATENATE("$X$"&amp;BC$121)),IF($K124=INDIRECT(CONCATENATE("$W$"&amp;BC$122)),INDIRECT(CONCATENATE("$W$"&amp;BC$121)),IF($K124=INDIRECT(CONCATENATE("$V$"&amp;BC$122)),INDIRECT(CONCATENATE("$V$"&amp;BC$121)),IF($K124=INDIRECT(CONCATENATE("$U$"&amp;BC$122)),INDIRECT(CONCATENATE("$U$"&amp;BC$121)),IF($K124=INDIRECT(CONCATENATE("$T$"&amp;BC$122)),INDIRECT(CONCATENATE("$T$"&amp;BC$121)),IF($K124=INDIRECT(CONCATENATE("$S$"&amp;BC$122)),INDIRECT(CONCATENATE("$S$"&amp;BC$121)),IF($K124=INDIRECT(CONCATENATE("$R$"&amp;BC$122)),INDIRECT(CONCATENATE("$R$"&amp;BC$121)),IF($K124=INDIRECT(CONCATENATE("$Q$"&amp;BC$122)),INDIRECT(CONCATENATE("$Q$"&amp;BC$121)),
IF($K124=INDIRECT(CONCATENATE("$P$"&amp;BC$122)),INDIRECT(CONCATENATE("$P$"&amp;BC$121)),IF($K124=INDIRECT(CONCATENATE("$O$"&amp;BC$122)),INDIRECT(CONCATENATE("$O$"&amp;BC$121)),IF($K124=INDIRECT(CONCATENATE("$N$"&amp;BC$122)),INDIRECT(CONCATENATE("$N$"&amp;BC$121)),IF($K124=INDIRECT(CONCATENATE("$M$"&amp;BC$122)),INDIRECT(CONCATENATE("$M$"&amp;BC$121)),IF($K124=INDIRECT(CONCATENATE("$L$"&amp;BC$122)),INDIRECT(CONCATENATE("$L$"&amp;BC$121)),IF($K124=INDIRECT(CONCATENATE("$K$"&amp;BC$122)),INDIRECT(CONCATENATE("$K$"&amp;BC$121)),IF($K124=INDIRECT(CONCATENATE("$J$"&amp;BC$122)),INDIRECT(CONCATENATE("$J$"&amp;BC$121)),IF($K124=INDIRECT(CONCATENATE("$I$"&amp;BC$122)),INDIRECT(CONCATENATE("$I$"&amp;BC$121)),IF($K124=INDIRECT(CONCATENATE("$H$"&amp;BC$122)),INDIRECT(CONCATENATE("$H$"&amp;BC$121)),IF($K124=INDIRECT(CONCATENATE("$G$"&amp;BC$122)),INDIRECT(CONCATENATE("$G$"&amp;BC$121)),IF($K124=INDIRECT(CONCATENATE("$F$"&amp;BC$122)),INDIRECT(CONCATENATE("$F$"&amp;BC$121)),IF($K124=INDIRECT(CONCATENATE("$E$"&amp;BC$122)),INDIRECT(CONCATENATE("$E$"&amp;BC$121)),IF($K124=INDIRECT(CONCATENATE("$D$"&amp;BC$122)),INDIRECT(CONCATENATE("$D$"&amp;BC$121)),IF($K124=INDIRECT(CONCATENATE("$C$"&amp;BC$122)),INDIRECT(CONCATENATE("$C$"&amp;BC$121)),IF($K124=INDIRECT(CONCATENATE("$B$"&amp;BC$122)),INDIRECT(CONCATENATE("$B$"&amp;BC$121)),"X")))))))))))))))))))))))))))))))</f>
        <v>X</v>
      </c>
      <c r="CF124" s="6" t="str">
        <f t="shared" ca="1" si="406"/>
        <v>X</v>
      </c>
      <c r="CG124" s="6" t="str">
        <f t="shared" ref="CG124:CG141" ca="1" si="407">IF($K124=INDIRECT(CONCATENATE("$AF$"&amp;BE$122)),INDIRECT(CONCATENATE("$AF$"&amp;BE$121)),IF($K124=INDIRECT(CONCATENATE("$AE$"&amp;BE$122)),INDIRECT(CONCATENATE("$AE$"&amp;BE$121)),IF($K124=INDIRECT(CONCATENATE("$AD$"&amp;BE$122)),INDIRECT(CONCATENATE("$AD$"&amp;BE$121)),IF($K124=INDIRECT(CONCATENATE("$AC$"&amp;BE$122)),INDIRECT(CONCATENATE("$AC$"&amp;BE$121)),IF($K124=INDIRECT(CONCATENATE("$AB$"&amp;BE$122)),INDIRECT(CONCATENATE("$AB$"&amp;BE$121)),IF($K124=INDIRECT(CONCATENATE("$AA$"&amp;BE$122)),INDIRECT(CONCATENATE("$AA$"&amp;BE$121)),IF($K124=INDIRECT(CONCATENATE("$Z$"&amp;BE$122)),INDIRECT(CONCATENATE("$Z$"&amp;BE$121)),
IF($K124=INDIRECT(CONCATENATE("$Y$"&amp;BE$122)),INDIRECT(CONCATENATE("$Y$"&amp;BE$121)),IF($K124=INDIRECT(CONCATENATE("$X$"&amp;BE$122)),INDIRECT(CONCATENATE("$X$"&amp;BE$121)),IF($K124=INDIRECT(CONCATENATE("$W$"&amp;BE$122)),INDIRECT(CONCATENATE("$W$"&amp;BE$121)),IF($K124=INDIRECT(CONCATENATE("$V$"&amp;BE$122)),INDIRECT(CONCATENATE("$V$"&amp;BE$121)),IF($K124=INDIRECT(CONCATENATE("$U$"&amp;BE$122)),INDIRECT(CONCATENATE("$U$"&amp;BE$121)),IF($K124=INDIRECT(CONCATENATE("$T$"&amp;BE$122)),INDIRECT(CONCATENATE("$T$"&amp;BE$121)),IF($K124=INDIRECT(CONCATENATE("$S$"&amp;BE$122)),INDIRECT(CONCATENATE("$S$"&amp;BE$121)),IF($K124=INDIRECT(CONCATENATE("$R$"&amp;BE$122)),INDIRECT(CONCATENATE("$R$"&amp;BE$121)),IF($K124=INDIRECT(CONCATENATE("$Q$"&amp;BE$122)),INDIRECT(CONCATENATE("$Q$"&amp;BE$121)),
IF($K124=INDIRECT(CONCATENATE("$P$"&amp;BE$122)),INDIRECT(CONCATENATE("$P$"&amp;BE$121)),IF($K124=INDIRECT(CONCATENATE("$O$"&amp;BE$122)),INDIRECT(CONCATENATE("$O$"&amp;BE$121)),IF($K124=INDIRECT(CONCATENATE("$N$"&amp;BE$122)),INDIRECT(CONCATENATE("$N$"&amp;BE$121)),IF($K124=INDIRECT(CONCATENATE("$M$"&amp;BE$122)),INDIRECT(CONCATENATE("$M$"&amp;BE$121)),IF($K124=INDIRECT(CONCATENATE("$L$"&amp;BE$122)),INDIRECT(CONCATENATE("$L$"&amp;BE$121)),IF($K124=INDIRECT(CONCATENATE("$K$"&amp;BE$122)),INDIRECT(CONCATENATE("$K$"&amp;BE$121)),IF($K124=INDIRECT(CONCATENATE("$J$"&amp;BE$122)),INDIRECT(CONCATENATE("$J$"&amp;BE$121)),IF($K124=INDIRECT(CONCATENATE("$I$"&amp;BE$122)),INDIRECT(CONCATENATE("$I$"&amp;BE$121)),IF($K124=INDIRECT(CONCATENATE("$H$"&amp;BE$122)),INDIRECT(CONCATENATE("$H$"&amp;BE$121)),IF($K124=INDIRECT(CONCATENATE("$G$"&amp;BE$122)),INDIRECT(CONCATENATE("$G$"&amp;BE$121)),IF($K124=INDIRECT(CONCATENATE("$F$"&amp;BE$122)),INDIRECT(CONCATENATE("$F$"&amp;BE$121)),IF($K124=INDIRECT(CONCATENATE("$E$"&amp;BE$122)),INDIRECT(CONCATENATE("$E$"&amp;BE$121)),IF($K124=INDIRECT(CONCATENATE("$D$"&amp;BE$122)),INDIRECT(CONCATENATE("$D$"&amp;BE$121)),IF($K124=INDIRECT(CONCATENATE("$C$"&amp;BE$122)),INDIRECT(CONCATENATE("$C$"&amp;BE$121)),IF($K124=INDIRECT(CONCATENATE("$B$"&amp;BE$122)),INDIRECT(CONCATENATE("$B$"&amp;BE$121)),"X")))))))))))))))))))))))))))))))</f>
        <v>X</v>
      </c>
      <c r="CH124" s="6" t="str">
        <f t="shared" ref="CH124:CH141" ca="1" si="408">IF($K124=INDIRECT(CONCATENATE("$AF$"&amp;BF$122)),INDIRECT(CONCATENATE("$AF$"&amp;BF$121)),IF($K124=INDIRECT(CONCATENATE("$AE$"&amp;BF$122)),INDIRECT(CONCATENATE("$AE$"&amp;BF$121)),IF($K124=INDIRECT(CONCATENATE("$AD$"&amp;BF$122)),INDIRECT(CONCATENATE("$AD$"&amp;BF$121)),IF($K124=INDIRECT(CONCATENATE("$AC$"&amp;BF$122)),INDIRECT(CONCATENATE("$AC$"&amp;BF$121)),IF($K124=INDIRECT(CONCATENATE("$AB$"&amp;BF$122)),INDIRECT(CONCATENATE("$AB$"&amp;BF$121)),IF($K124=INDIRECT(CONCATENATE("$AA$"&amp;BF$122)),INDIRECT(CONCATENATE("$AA$"&amp;BF$121)),IF($K124=INDIRECT(CONCATENATE("$Z$"&amp;BF$122)),INDIRECT(CONCATENATE("$Z$"&amp;BF$121)),
IF($K124=INDIRECT(CONCATENATE("$Y$"&amp;BF$122)),INDIRECT(CONCATENATE("$Y$"&amp;BF$121)),IF($K124=INDIRECT(CONCATENATE("$X$"&amp;BF$122)),INDIRECT(CONCATENATE("$X$"&amp;BF$121)),IF($K124=INDIRECT(CONCATENATE("$W$"&amp;BF$122)),INDIRECT(CONCATENATE("$W$"&amp;BF$121)),IF($K124=INDIRECT(CONCATENATE("$V$"&amp;BF$122)),INDIRECT(CONCATENATE("$V$"&amp;BF$121)),IF($K124=INDIRECT(CONCATENATE("$U$"&amp;BF$122)),INDIRECT(CONCATENATE("$U$"&amp;BF$121)),IF($K124=INDIRECT(CONCATENATE("$T$"&amp;BF$122)),INDIRECT(CONCATENATE("$T$"&amp;BF$121)),IF($K124=INDIRECT(CONCATENATE("$S$"&amp;BF$122)),INDIRECT(CONCATENATE("$S$"&amp;BF$121)),IF($K124=INDIRECT(CONCATENATE("$R$"&amp;BF$122)),INDIRECT(CONCATENATE("$R$"&amp;BF$121)),IF($K124=INDIRECT(CONCATENATE("$Q$"&amp;BF$122)),INDIRECT(CONCATENATE("$Q$"&amp;BF$121)),
IF($K124=INDIRECT(CONCATENATE("$P$"&amp;BF$122)),INDIRECT(CONCATENATE("$P$"&amp;BF$121)),IF($K124=INDIRECT(CONCATENATE("$O$"&amp;BF$122)),INDIRECT(CONCATENATE("$O$"&amp;BF$121)),IF($K124=INDIRECT(CONCATENATE("$N$"&amp;BF$122)),INDIRECT(CONCATENATE("$N$"&amp;BF$121)),IF($K124=INDIRECT(CONCATENATE("$M$"&amp;BF$122)),INDIRECT(CONCATENATE("$M$"&amp;BF$121)),IF($K124=INDIRECT(CONCATENATE("$L$"&amp;BF$122)),INDIRECT(CONCATENATE("$L$"&amp;BF$121)),IF($K124=INDIRECT(CONCATENATE("$K$"&amp;BF$122)),INDIRECT(CONCATENATE("$K$"&amp;BF$121)),IF($K124=INDIRECT(CONCATENATE("$J$"&amp;BF$122)),INDIRECT(CONCATENATE("$J$"&amp;BF$121)),IF($K124=INDIRECT(CONCATENATE("$I$"&amp;BF$122)),INDIRECT(CONCATENATE("$I$"&amp;BF$121)),IF($K124=INDIRECT(CONCATENATE("$H$"&amp;BF$122)),INDIRECT(CONCATENATE("$H$"&amp;BF$121)),IF($K124=INDIRECT(CONCATENATE("$G$"&amp;BF$122)),INDIRECT(CONCATENATE("$G$"&amp;BF$121)),IF($K124=INDIRECT(CONCATENATE("$F$"&amp;BF$122)),INDIRECT(CONCATENATE("$F$"&amp;BF$121)),IF($K124=INDIRECT(CONCATENATE("$E$"&amp;BF$122)),INDIRECT(CONCATENATE("$E$"&amp;BF$121)),IF($K124=INDIRECT(CONCATENATE("$D$"&amp;BF$122)),INDIRECT(CONCATENATE("$D$"&amp;BF$121)),IF($K124=INDIRECT(CONCATENATE("$C$"&amp;BF$122)),INDIRECT(CONCATENATE("$C$"&amp;BF$121)),IF($K124=INDIRECT(CONCATENATE("$B$"&amp;BF$122)),INDIRECT(CONCATENATE("$B$"&amp;BF$121)),"X")))))))))))))))))))))))))))))))</f>
        <v>X</v>
      </c>
      <c r="CI124" s="6" t="str">
        <f t="shared" ref="CI124:CI141" ca="1" si="409">IF($K124=INDIRECT(CONCATENATE("$AF$"&amp;BG$122)),INDIRECT(CONCATENATE("$AF$"&amp;BG$121)),IF($K124=INDIRECT(CONCATENATE("$AE$"&amp;BG$122)),INDIRECT(CONCATENATE("$AE$"&amp;BG$121)),IF($K124=INDIRECT(CONCATENATE("$AD$"&amp;BG$122)),INDIRECT(CONCATENATE("$AD$"&amp;BG$121)),IF($K124=INDIRECT(CONCATENATE("$AC$"&amp;BG$122)),INDIRECT(CONCATENATE("$AC$"&amp;BG$121)),IF($K124=INDIRECT(CONCATENATE("$AB$"&amp;BG$122)),INDIRECT(CONCATENATE("$AB$"&amp;BG$121)),IF($K124=INDIRECT(CONCATENATE("$AA$"&amp;BG$122)),INDIRECT(CONCATENATE("$AA$"&amp;BG$121)),IF($K124=INDIRECT(CONCATENATE("$Z$"&amp;BG$122)),INDIRECT(CONCATENATE("$Z$"&amp;BG$121)),
IF($K124=INDIRECT(CONCATENATE("$Y$"&amp;BG$122)),INDIRECT(CONCATENATE("$Y$"&amp;BG$121)),IF($K124=INDIRECT(CONCATENATE("$X$"&amp;BG$122)),INDIRECT(CONCATENATE("$X$"&amp;BG$121)),IF($K124=INDIRECT(CONCATENATE("$W$"&amp;BG$122)),INDIRECT(CONCATENATE("$W$"&amp;BG$121)),IF($K124=INDIRECT(CONCATENATE("$V$"&amp;BG$122)),INDIRECT(CONCATENATE("$V$"&amp;BG$121)),IF($K124=INDIRECT(CONCATENATE("$U$"&amp;BG$122)),INDIRECT(CONCATENATE("$U$"&amp;BG$121)),IF($K124=INDIRECT(CONCATENATE("$T$"&amp;BG$122)),INDIRECT(CONCATENATE("$T$"&amp;BG$121)),IF($K124=INDIRECT(CONCATENATE("$S$"&amp;BG$122)),INDIRECT(CONCATENATE("$S$"&amp;BG$121)),IF($K124=INDIRECT(CONCATENATE("$R$"&amp;BG$122)),INDIRECT(CONCATENATE("$R$"&amp;BG$121)),IF($K124=INDIRECT(CONCATENATE("$Q$"&amp;BG$122)),INDIRECT(CONCATENATE("$Q$"&amp;BG$121)),
IF($K124=INDIRECT(CONCATENATE("$P$"&amp;BG$122)),INDIRECT(CONCATENATE("$P$"&amp;BG$121)),IF($K124=INDIRECT(CONCATENATE("$O$"&amp;BG$122)),INDIRECT(CONCATENATE("$O$"&amp;BG$121)),IF($K124=INDIRECT(CONCATENATE("$N$"&amp;BG$122)),INDIRECT(CONCATENATE("$N$"&amp;BG$121)),IF($K124=INDIRECT(CONCATENATE("$M$"&amp;BG$122)),INDIRECT(CONCATENATE("$M$"&amp;BG$121)),IF($K124=INDIRECT(CONCATENATE("$L$"&amp;BG$122)),INDIRECT(CONCATENATE("$L$"&amp;BG$121)),IF($K124=INDIRECT(CONCATENATE("$K$"&amp;BG$122)),INDIRECT(CONCATENATE("$K$"&amp;BG$121)),IF($K124=INDIRECT(CONCATENATE("$J$"&amp;BG$122)),INDIRECT(CONCATENATE("$J$"&amp;BG$121)),IF($K124=INDIRECT(CONCATENATE("$I$"&amp;BG$122)),INDIRECT(CONCATENATE("$I$"&amp;BG$121)),IF($K124=INDIRECT(CONCATENATE("$H$"&amp;BG$122)),INDIRECT(CONCATENATE("$H$"&amp;BG$121)),IF($K124=INDIRECT(CONCATENATE("$G$"&amp;BG$122)),INDIRECT(CONCATENATE("$G$"&amp;BG$121)),IF($K124=INDIRECT(CONCATENATE("$F$"&amp;BG$122)),INDIRECT(CONCATENATE("$F$"&amp;BG$121)),IF($K124=INDIRECT(CONCATENATE("$E$"&amp;BG$122)),INDIRECT(CONCATENATE("$E$"&amp;BG$121)),IF($K124=INDIRECT(CONCATENATE("$D$"&amp;BG$122)),INDIRECT(CONCATENATE("$D$"&amp;BG$121)),IF($K124=INDIRECT(CONCATENATE("$C$"&amp;BG$122)),INDIRECT(CONCATENATE("$C$"&amp;BG$121)),IF($K124=INDIRECT(CONCATENATE("$B$"&amp;BG$122)),INDIRECT(CONCATENATE("$B$"&amp;BG$121)),"X")))))))))))))))))))))))))))))))</f>
        <v>X</v>
      </c>
      <c r="CJ124" s="6" t="str">
        <f t="shared" ref="CJ124:CJ141" ca="1" si="410">IF($K124=INDIRECT(CONCATENATE("$AF$"&amp;BH$122)),INDIRECT(CONCATENATE("$AF$"&amp;BH$121)),IF($K124=INDIRECT(CONCATENATE("$AE$"&amp;BH$122)),INDIRECT(CONCATENATE("$AE$"&amp;BH$121)),IF($K124=INDIRECT(CONCATENATE("$AD$"&amp;BH$122)),INDIRECT(CONCATENATE("$AD$"&amp;BH$121)),IF($K124=INDIRECT(CONCATENATE("$AC$"&amp;BH$122)),INDIRECT(CONCATENATE("$AC$"&amp;BH$121)),IF($K124=INDIRECT(CONCATENATE("$AB$"&amp;BH$122)),INDIRECT(CONCATENATE("$AB$"&amp;BH$121)),IF($K124=INDIRECT(CONCATENATE("$AA$"&amp;BH$122)),INDIRECT(CONCATENATE("$AA$"&amp;BH$121)),IF($K124=INDIRECT(CONCATENATE("$Z$"&amp;BH$122)),INDIRECT(CONCATENATE("$Z$"&amp;BH$121)),
IF($K124=INDIRECT(CONCATENATE("$Y$"&amp;BH$122)),INDIRECT(CONCATENATE("$Y$"&amp;BH$121)),IF($K124=INDIRECT(CONCATENATE("$X$"&amp;BH$122)),INDIRECT(CONCATENATE("$X$"&amp;BH$121)),IF($K124=INDIRECT(CONCATENATE("$W$"&amp;BH$122)),INDIRECT(CONCATENATE("$W$"&amp;BH$121)),IF($K124=INDIRECT(CONCATENATE("$V$"&amp;BH$122)),INDIRECT(CONCATENATE("$V$"&amp;BH$121)),IF($K124=INDIRECT(CONCATENATE("$U$"&amp;BH$122)),INDIRECT(CONCATENATE("$U$"&amp;BH$121)),IF($K124=INDIRECT(CONCATENATE("$T$"&amp;BH$122)),INDIRECT(CONCATENATE("$T$"&amp;BH$121)),IF($K124=INDIRECT(CONCATENATE("$S$"&amp;BH$122)),INDIRECT(CONCATENATE("$S$"&amp;BH$121)),IF($K124=INDIRECT(CONCATENATE("$R$"&amp;BH$122)),INDIRECT(CONCATENATE("$R$"&amp;BH$121)),IF($K124=INDIRECT(CONCATENATE("$Q$"&amp;BH$122)),INDIRECT(CONCATENATE("$Q$"&amp;BH$121)),
IF($K124=INDIRECT(CONCATENATE("$P$"&amp;BH$122)),INDIRECT(CONCATENATE("$P$"&amp;BH$121)),IF($K124=INDIRECT(CONCATENATE("$O$"&amp;BH$122)),INDIRECT(CONCATENATE("$O$"&amp;BH$121)),IF($K124=INDIRECT(CONCATENATE("$N$"&amp;BH$122)),INDIRECT(CONCATENATE("$N$"&amp;BH$121)),IF($K124=INDIRECT(CONCATENATE("$M$"&amp;BH$122)),INDIRECT(CONCATENATE("$M$"&amp;BH$121)),IF($K124=INDIRECT(CONCATENATE("$L$"&amp;BH$122)),INDIRECT(CONCATENATE("$L$"&amp;BH$121)),IF($K124=INDIRECT(CONCATENATE("$K$"&amp;BH$122)),INDIRECT(CONCATENATE("$K$"&amp;BH$121)),IF($K124=INDIRECT(CONCATENATE("$J$"&amp;BH$122)),INDIRECT(CONCATENATE("$J$"&amp;BH$121)),IF($K124=INDIRECT(CONCATENATE("$I$"&amp;BH$122)),INDIRECT(CONCATENATE("$I$"&amp;BH$121)),IF($K124=INDIRECT(CONCATENATE("$H$"&amp;BH$122)),INDIRECT(CONCATENATE("$H$"&amp;BH$121)),IF($K124=INDIRECT(CONCATENATE("$G$"&amp;BH$122)),INDIRECT(CONCATENATE("$G$"&amp;BH$121)),IF($K124=INDIRECT(CONCATENATE("$F$"&amp;BH$122)),INDIRECT(CONCATENATE("$F$"&amp;BH$121)),IF($K124=INDIRECT(CONCATENATE("$E$"&amp;BH$122)),INDIRECT(CONCATENATE("$E$"&amp;BH$121)),IF($K124=INDIRECT(CONCATENATE("$D$"&amp;BH$122)),INDIRECT(CONCATENATE("$D$"&amp;BH$121)),IF($K124=INDIRECT(CONCATENATE("$C$"&amp;BH$122)),INDIRECT(CONCATENATE("$C$"&amp;BH$121)),IF($K124=INDIRECT(CONCATENATE("$B$"&amp;BH$122)),INDIRECT(CONCATENATE("$B$"&amp;BH$121)),"X")))))))))))))))))))))))))))))))</f>
        <v>X</v>
      </c>
      <c r="CK124" s="6" t="str">
        <f t="shared" ref="CK124:CL128" ca="1" si="411">IF($K124=INDIRECT(CONCATENATE("$AF$"&amp;BI$122)),INDIRECT(CONCATENATE("$AF$"&amp;BI$121)),IF($K124=INDIRECT(CONCATENATE("$AE$"&amp;BI$122)),INDIRECT(CONCATENATE("$AE$"&amp;BI$121)),IF($K124=INDIRECT(CONCATENATE("$AD$"&amp;BI$122)),INDIRECT(CONCATENATE("$AD$"&amp;BI$121)),IF($K124=INDIRECT(CONCATENATE("$AC$"&amp;BI$122)),INDIRECT(CONCATENATE("$AC$"&amp;BI$121)),IF($K124=INDIRECT(CONCATENATE("$AB$"&amp;BI$122)),INDIRECT(CONCATENATE("$AB$"&amp;BI$121)),IF($K124=INDIRECT(CONCATENATE("$AA$"&amp;BI$122)),INDIRECT(CONCATENATE("$AA$"&amp;BI$121)),IF($K124=INDIRECT(CONCATENATE("$Z$"&amp;BI$122)),INDIRECT(CONCATENATE("$Z$"&amp;BI$121)),
IF($K124=INDIRECT(CONCATENATE("$Y$"&amp;BI$122)),INDIRECT(CONCATENATE("$Y$"&amp;BI$121)),IF($K124=INDIRECT(CONCATENATE("$X$"&amp;BI$122)),INDIRECT(CONCATENATE("$X$"&amp;BI$121)),IF($K124=INDIRECT(CONCATENATE("$W$"&amp;BI$122)),INDIRECT(CONCATENATE("$W$"&amp;BI$121)),IF($K124=INDIRECT(CONCATENATE("$V$"&amp;BI$122)),INDIRECT(CONCATENATE("$V$"&amp;BI$121)),IF($K124=INDIRECT(CONCATENATE("$U$"&amp;BI$122)),INDIRECT(CONCATENATE("$U$"&amp;BI$121)),IF($K124=INDIRECT(CONCATENATE("$T$"&amp;BI$122)),INDIRECT(CONCATENATE("$T$"&amp;BI$121)),IF($K124=INDIRECT(CONCATENATE("$S$"&amp;BI$122)),INDIRECT(CONCATENATE("$S$"&amp;BI$121)),IF($K124=INDIRECT(CONCATENATE("$R$"&amp;BI$122)),INDIRECT(CONCATENATE("$R$"&amp;BI$121)),IF($K124=INDIRECT(CONCATENATE("$Q$"&amp;BI$122)),INDIRECT(CONCATENATE("$Q$"&amp;BI$121)),
IF($K124=INDIRECT(CONCATENATE("$P$"&amp;BI$122)),INDIRECT(CONCATENATE("$P$"&amp;BI$121)),IF($K124=INDIRECT(CONCATENATE("$O$"&amp;BI$122)),INDIRECT(CONCATENATE("$O$"&amp;BI$121)),IF($K124=INDIRECT(CONCATENATE("$N$"&amp;BI$122)),INDIRECT(CONCATENATE("$N$"&amp;BI$121)),IF($K124=INDIRECT(CONCATENATE("$M$"&amp;BI$122)),INDIRECT(CONCATENATE("$M$"&amp;BI$121)),IF($K124=INDIRECT(CONCATENATE("$L$"&amp;BI$122)),INDIRECT(CONCATENATE("$L$"&amp;BI$121)),IF($K124=INDIRECT(CONCATENATE("$K$"&amp;BI$122)),INDIRECT(CONCATENATE("$K$"&amp;BI$121)),IF($K124=INDIRECT(CONCATENATE("$J$"&amp;BI$122)),INDIRECT(CONCATENATE("$J$"&amp;BI$121)),IF($K124=INDIRECT(CONCATENATE("$I$"&amp;BI$122)),INDIRECT(CONCATENATE("$I$"&amp;BI$121)),IF($K124=INDIRECT(CONCATENATE("$H$"&amp;BI$122)),INDIRECT(CONCATENATE("$H$"&amp;BI$121)),IF($K124=INDIRECT(CONCATENATE("$G$"&amp;BI$122)),INDIRECT(CONCATENATE("$G$"&amp;BI$121)),IF($K124=INDIRECT(CONCATENATE("$F$"&amp;BI$122)),INDIRECT(CONCATENATE("$F$"&amp;BI$121)),IF($K124=INDIRECT(CONCATENATE("$E$"&amp;BI$122)),INDIRECT(CONCATENATE("$E$"&amp;BI$121)),IF($K124=INDIRECT(CONCATENATE("$D$"&amp;BI$122)),INDIRECT(CONCATENATE("$D$"&amp;BI$121)),IF($K124=INDIRECT(CONCATENATE("$C$"&amp;BI$122)),INDIRECT(CONCATENATE("$C$"&amp;BI$121)),IF($K124=INDIRECT(CONCATENATE("$B$"&amp;BI$122)),INDIRECT(CONCATENATE("$B$"&amp;BI$121)),"X")))))))))))))))))))))))))))))))</f>
        <v>X</v>
      </c>
      <c r="CL124" s="6" t="str">
        <f t="shared" ca="1" si="411"/>
        <v>X</v>
      </c>
    </row>
    <row r="125" spans="1:90" ht="18.75" customHeight="1">
      <c r="A125" s="264" t="s">
        <v>80</v>
      </c>
      <c r="B125" s="265"/>
      <c r="C125" s="265"/>
      <c r="D125" s="265"/>
      <c r="E125" s="265"/>
      <c r="F125" s="265"/>
      <c r="G125" s="265"/>
      <c r="H125" s="265"/>
      <c r="I125" s="265"/>
      <c r="J125" s="266"/>
      <c r="K125" s="262" t="s">
        <v>81</v>
      </c>
      <c r="L125" s="263"/>
      <c r="M125" s="107">
        <v>40</v>
      </c>
      <c r="N125" s="267" t="str">
        <f t="shared" ca="1" si="383"/>
        <v>PLANEJADA</v>
      </c>
      <c r="O125" s="267"/>
      <c r="P125" s="10">
        <f t="shared" si="384"/>
        <v>10</v>
      </c>
      <c r="Q125" s="10">
        <f t="shared" si="385"/>
        <v>40</v>
      </c>
      <c r="R125" s="8">
        <f t="shared" si="386"/>
        <v>10</v>
      </c>
      <c r="S125" s="9" t="str">
        <f t="shared" ca="1" si="387"/>
        <v>-</v>
      </c>
      <c r="T125" s="9" t="str">
        <f t="shared" ca="1" si="388"/>
        <v>-</v>
      </c>
      <c r="U125" s="91"/>
      <c r="V125" s="190"/>
      <c r="W125" s="190"/>
      <c r="X125" s="190"/>
      <c r="Y125" s="190"/>
      <c r="Z125" s="190"/>
      <c r="AA125" s="190"/>
      <c r="AB125" s="190"/>
      <c r="AC125" s="190"/>
      <c r="AD125" s="39">
        <f t="shared" si="389"/>
        <v>0</v>
      </c>
      <c r="AE125" s="7">
        <f t="shared" si="390"/>
        <v>10</v>
      </c>
      <c r="AF125" s="32" t="str">
        <f t="shared" si="391"/>
        <v/>
      </c>
      <c r="AI125" s="6" t="str">
        <f t="shared" ca="1" si="392"/>
        <v>X</v>
      </c>
      <c r="AJ125" s="6" t="str">
        <f t="shared" ca="1" si="392"/>
        <v>X</v>
      </c>
      <c r="AK125" s="6" t="str">
        <f t="shared" ca="1" si="392"/>
        <v>X</v>
      </c>
      <c r="AL125" s="6" t="str">
        <f t="shared" ca="1" si="392"/>
        <v>X</v>
      </c>
      <c r="AM125" s="6" t="str">
        <f t="shared" ca="1" si="392"/>
        <v>X</v>
      </c>
      <c r="AN125" s="6" t="str">
        <f t="shared" ca="1" si="392"/>
        <v>X</v>
      </c>
      <c r="AO125" s="6" t="str">
        <f t="shared" ca="1" si="392"/>
        <v>X</v>
      </c>
      <c r="AP125" s="6" t="str">
        <f t="shared" ca="1" si="392"/>
        <v>X</v>
      </c>
      <c r="AQ125" s="6" t="str">
        <f t="shared" ca="1" si="392"/>
        <v>X</v>
      </c>
      <c r="AR125" s="6" t="str">
        <f t="shared" ca="1" si="392"/>
        <v>X</v>
      </c>
      <c r="AS125" s="6" t="str">
        <f t="shared" ca="1" si="392"/>
        <v>X</v>
      </c>
      <c r="AT125" s="6" t="str">
        <f t="shared" ca="1" si="392"/>
        <v>X</v>
      </c>
      <c r="AU125" s="6" t="str">
        <f t="shared" ca="1" si="392"/>
        <v>X</v>
      </c>
      <c r="AV125" s="6" t="str">
        <f t="shared" ca="1" si="392"/>
        <v>X</v>
      </c>
      <c r="AW125" s="6" t="str">
        <f t="shared" ca="1" si="392"/>
        <v>X</v>
      </c>
      <c r="AX125" s="6" t="str">
        <f t="shared" ca="1" si="392"/>
        <v>X</v>
      </c>
      <c r="AY125" s="6" t="str">
        <f t="shared" ca="1" si="392"/>
        <v>X</v>
      </c>
      <c r="AZ125" s="6" t="str">
        <f t="shared" ca="1" si="392"/>
        <v>X</v>
      </c>
      <c r="BA125" s="6" t="str">
        <f t="shared" ca="1" si="392"/>
        <v>X</v>
      </c>
      <c r="BB125" s="6" t="str">
        <f t="shared" ca="1" si="392"/>
        <v>X</v>
      </c>
      <c r="BC125" s="6" t="str">
        <f t="shared" ca="1" si="392"/>
        <v>X</v>
      </c>
      <c r="BD125" s="6" t="str">
        <f t="shared" ca="1" si="392"/>
        <v>X</v>
      </c>
      <c r="BE125" s="6" t="str">
        <f t="shared" ca="1" si="392"/>
        <v>X</v>
      </c>
      <c r="BF125" s="6" t="str">
        <f t="shared" ca="1" si="393"/>
        <v>X</v>
      </c>
      <c r="BG125" s="6" t="str">
        <f t="shared" ca="1" si="392"/>
        <v>X</v>
      </c>
      <c r="BH125" s="6" t="str">
        <f t="shared" ca="1" si="394"/>
        <v>X</v>
      </c>
      <c r="BI125" s="6" t="str">
        <f t="shared" ca="1" si="392"/>
        <v>X</v>
      </c>
      <c r="BJ125" s="6" t="str">
        <f t="shared" ca="1" si="395"/>
        <v>X</v>
      </c>
      <c r="BK125" s="12" t="str">
        <f t="shared" ca="1" si="396"/>
        <v>X</v>
      </c>
      <c r="BL125" s="6" t="str">
        <f t="shared" ca="1" si="396"/>
        <v>X</v>
      </c>
      <c r="BM125" s="6" t="str">
        <f t="shared" ca="1" si="397"/>
        <v>X</v>
      </c>
      <c r="BN125" s="6" t="str">
        <f t="shared" ca="1" si="397"/>
        <v>X</v>
      </c>
      <c r="BO125" s="6" t="str">
        <f t="shared" ca="1" si="398"/>
        <v>X</v>
      </c>
      <c r="BP125" s="6" t="str">
        <f t="shared" ca="1" si="398"/>
        <v>X</v>
      </c>
      <c r="BQ125" s="6" t="str">
        <f t="shared" ca="1" si="399"/>
        <v>X</v>
      </c>
      <c r="BR125" s="6" t="str">
        <f t="shared" ca="1" si="399"/>
        <v>X</v>
      </c>
      <c r="BS125" s="6" t="str">
        <f t="shared" ca="1" si="400"/>
        <v>X</v>
      </c>
      <c r="BT125" s="6" t="str">
        <f t="shared" ca="1" si="400"/>
        <v>X</v>
      </c>
      <c r="BU125" s="6" t="str">
        <f t="shared" ca="1" si="401"/>
        <v>X</v>
      </c>
      <c r="BV125" s="6" t="str">
        <f t="shared" ca="1" si="401"/>
        <v>X</v>
      </c>
      <c r="BW125" s="6" t="str">
        <f t="shared" ca="1" si="402"/>
        <v>X</v>
      </c>
      <c r="BX125" s="6" t="str">
        <f t="shared" ca="1" si="402"/>
        <v>X</v>
      </c>
      <c r="BY125" s="6" t="str">
        <f t="shared" ca="1" si="403"/>
        <v>X</v>
      </c>
      <c r="BZ125" s="6" t="str">
        <f t="shared" ca="1" si="403"/>
        <v>X</v>
      </c>
      <c r="CA125" s="6" t="str">
        <f t="shared" ca="1" si="404"/>
        <v>X</v>
      </c>
      <c r="CB125" s="6" t="str">
        <f t="shared" ca="1" si="404"/>
        <v>X</v>
      </c>
      <c r="CC125" s="6" t="str">
        <f t="shared" ca="1" si="405"/>
        <v>X</v>
      </c>
      <c r="CD125" s="6" t="str">
        <f t="shared" ca="1" si="405"/>
        <v>X</v>
      </c>
      <c r="CE125" s="6" t="str">
        <f t="shared" ca="1" si="406"/>
        <v>X</v>
      </c>
      <c r="CF125" s="6" t="str">
        <f t="shared" ca="1" si="406"/>
        <v>X</v>
      </c>
      <c r="CG125" s="6" t="str">
        <f t="shared" ca="1" si="407"/>
        <v>X</v>
      </c>
      <c r="CH125" s="6" t="str">
        <f t="shared" ca="1" si="408"/>
        <v>X</v>
      </c>
      <c r="CI125" s="6" t="str">
        <f t="shared" ca="1" si="409"/>
        <v>X</v>
      </c>
      <c r="CJ125" s="6" t="str">
        <f t="shared" ca="1" si="410"/>
        <v>X</v>
      </c>
      <c r="CK125" s="6" t="str">
        <f t="shared" ca="1" si="411"/>
        <v>X</v>
      </c>
      <c r="CL125" s="6" t="str">
        <f t="shared" ca="1" si="411"/>
        <v>X</v>
      </c>
    </row>
    <row r="126" spans="1:90" ht="18.75" customHeight="1">
      <c r="A126" s="268" t="s">
        <v>82</v>
      </c>
      <c r="B126" s="269"/>
      <c r="C126" s="269"/>
      <c r="D126" s="269"/>
      <c r="E126" s="269"/>
      <c r="F126" s="269"/>
      <c r="G126" s="269"/>
      <c r="H126" s="269"/>
      <c r="I126" s="269"/>
      <c r="J126" s="270"/>
      <c r="K126" s="271" t="s">
        <v>40</v>
      </c>
      <c r="L126" s="272"/>
      <c r="M126" s="106">
        <v>18</v>
      </c>
      <c r="N126" s="267" t="str">
        <f t="shared" ca="1" si="383"/>
        <v>EM ANDAMENTO</v>
      </c>
      <c r="O126" s="267"/>
      <c r="P126" s="10">
        <f t="shared" si="384"/>
        <v>5</v>
      </c>
      <c r="Q126" s="10">
        <f t="shared" si="385"/>
        <v>18</v>
      </c>
      <c r="R126" s="8">
        <f t="shared" si="386"/>
        <v>4</v>
      </c>
      <c r="S126" s="9">
        <f t="shared" ca="1" si="387"/>
        <v>46290</v>
      </c>
      <c r="T126" s="9">
        <f t="shared" ca="1" si="388"/>
        <v>46318</v>
      </c>
      <c r="U126" s="91"/>
      <c r="V126" s="190" t="s">
        <v>83</v>
      </c>
      <c r="W126" s="190"/>
      <c r="X126" s="190"/>
      <c r="Y126" s="190"/>
      <c r="Z126" s="190"/>
      <c r="AA126" s="190"/>
      <c r="AB126" s="190"/>
      <c r="AC126" s="190"/>
      <c r="AD126" s="39">
        <f t="shared" si="389"/>
        <v>5</v>
      </c>
      <c r="AE126" s="7">
        <f t="shared" si="390"/>
        <v>0</v>
      </c>
      <c r="AF126" s="32" t="str">
        <f t="shared" si="391"/>
        <v>OK</v>
      </c>
      <c r="AI126" s="6" t="str">
        <f t="shared" ca="1" si="392"/>
        <v>X</v>
      </c>
      <c r="AJ126" s="6" t="str">
        <f t="shared" ca="1" si="392"/>
        <v>X</v>
      </c>
      <c r="AK126" s="6" t="str">
        <f t="shared" ca="1" si="392"/>
        <v>X</v>
      </c>
      <c r="AL126" s="6" t="str">
        <f t="shared" ca="1" si="392"/>
        <v>X</v>
      </c>
      <c r="AM126" s="6" t="str">
        <f t="shared" ca="1" si="392"/>
        <v>X</v>
      </c>
      <c r="AN126" s="6" t="str">
        <f t="shared" ca="1" si="392"/>
        <v>X</v>
      </c>
      <c r="AO126" s="6" t="str">
        <f t="shared" ca="1" si="392"/>
        <v>X</v>
      </c>
      <c r="AP126" s="6" t="str">
        <f t="shared" ca="1" si="392"/>
        <v>X</v>
      </c>
      <c r="AQ126" s="6" t="str">
        <f t="shared" ca="1" si="392"/>
        <v>X</v>
      </c>
      <c r="AR126" s="6" t="str">
        <f t="shared" ca="1" si="392"/>
        <v>X</v>
      </c>
      <c r="AS126" s="6" t="str">
        <f t="shared" ca="1" si="392"/>
        <v>X</v>
      </c>
      <c r="AT126" s="6" t="str">
        <f t="shared" ca="1" si="392"/>
        <v>X</v>
      </c>
      <c r="AU126" s="6" t="str">
        <f t="shared" ca="1" si="392"/>
        <v>X</v>
      </c>
      <c r="AV126" s="6" t="str">
        <f t="shared" ca="1" si="392"/>
        <v>X</v>
      </c>
      <c r="AW126" s="6" t="str">
        <f t="shared" ca="1" si="392"/>
        <v>X</v>
      </c>
      <c r="AX126" s="6" t="str">
        <f t="shared" ca="1" si="392"/>
        <v>X</v>
      </c>
      <c r="AY126" s="6">
        <f t="shared" ca="1" si="392"/>
        <v>46290</v>
      </c>
      <c r="AZ126" s="6" t="str">
        <f t="shared" ca="1" si="392"/>
        <v>X</v>
      </c>
      <c r="BA126" s="6">
        <f t="shared" ca="1" si="392"/>
        <v>46297</v>
      </c>
      <c r="BB126" s="6" t="str">
        <f t="shared" ca="1" si="392"/>
        <v>X</v>
      </c>
      <c r="BC126" s="6" t="str">
        <f t="shared" ca="1" si="392"/>
        <v>X</v>
      </c>
      <c r="BD126" s="6" t="str">
        <f t="shared" ref="BD126:BD139" ca="1" si="412">IF($K126=INDIRECT(CONCATENATE("$B$"&amp;BD$122)), INDIRECT(CONCATENATE("$B$"&amp;BD$121)),
IF($K126=INDIRECT(CONCATENATE("$C$"&amp;BD$122)), INDIRECT(CONCATENATE("$C$"&amp;BD$121)),
IF($K126=INDIRECT(CONCATENATE("$D$"&amp;BD$122)), INDIRECT(CONCATENATE("$D$"&amp;BD$121)),
IF($K126=INDIRECT(CONCATENATE("$E$"&amp;BD$122)), INDIRECT(CONCATENATE("$E$"&amp;BD$121)),
IF($K126=INDIRECT(CONCATENATE("$F$"&amp;BD$122)), INDIRECT(CONCATENATE("$F$"&amp;BD$121)),
IF($K126=INDIRECT(CONCATENATE("$G$"&amp;BD$122)), INDIRECT(CONCATENATE("$G$"&amp;BD$121)),
IF($K126=INDIRECT(CONCATENATE("$H$"&amp;BD$122)), INDIRECT(CONCATENATE("$H$"&amp;BD$121)),
IF($K126=INDIRECT(CONCATENATE("$I$"&amp;BD$122)), INDIRECT(CONCATENATE("$I$"&amp;BD$121)),
IF($K126=INDIRECT(CONCATENATE("$J$"&amp;BD$122)), INDIRECT(CONCATENATE("$J$"&amp;BD$121)),
IF($K126=INDIRECT(CONCATENATE("$K$"&amp;BD$122)), INDIRECT(CONCATENATE("$K$"&amp;BD$121)),
IF($K126=INDIRECT(CONCATENATE("$L$"&amp;BD$122)), INDIRECT(CONCATENATE("$L$"&amp;BD$121)),
IF($K126=INDIRECT(CONCATENATE("$M$"&amp;BD$122)), INDIRECT(CONCATENATE("$M$"&amp;BD$121)),
IF($K126=INDIRECT(CONCATENATE("$N$"&amp;BD$122)), INDIRECT(CONCATENATE("$N$"&amp;BD$121)),
IF($K126=INDIRECT(CONCATENATE("$O$"&amp;BD$122)), INDIRECT(CONCATENATE("$O$"&amp;BD$121)),
IF($K126=INDIRECT(CONCATENATE("$P$"&amp;BD$122)), INDIRECT(CONCATENATE("$P$"&amp;BD$121)),
IF($K126=INDIRECT(CONCATENATE("$Q$"&amp;BD$122)), INDIRECT(CONCATENATE("$Q$"&amp;BD$121)),
IF($K126=INDIRECT(CONCATENATE("$R$"&amp;BD$122)), INDIRECT(CONCATENATE("$R$"&amp;BD$121)),
IF($K126=INDIRECT(CONCATENATE("$S$"&amp;BD$122)), INDIRECT(CONCATENATE("$S$"&amp;BD$121)),
IF($K126=INDIRECT(CONCATENATE("$T$"&amp;BD$122)), INDIRECT(CONCATENATE("$T$"&amp;BD$121)),
IF($K126=INDIRECT(CONCATENATE("$U$"&amp;BD$122)), INDIRECT(CONCATENATE("$U$"&amp;BD$121)),
IF($K126=INDIRECT(CONCATENATE("$V$"&amp;BD$122)), INDIRECT(CONCATENATE("$V$"&amp;BD$121)),
IF($K126=INDIRECT(CONCATENATE("$W$"&amp;BD$122)), INDIRECT(CONCATENATE("$W$"&amp;BD$121)),
IF($K126=INDIRECT(CONCATENATE("$X$"&amp;BD$122)), INDIRECT(CONCATENATE("$X$"&amp;BD$121)),
IF($K126=INDIRECT(CONCATENATE("$Y$"&amp;BD$122)), INDIRECT(CONCATENATE("$Y$"&amp;BD$121)),
IF($K126=INDIRECT(CONCATENATE("$Z$"&amp;BD$122)), INDIRECT(CONCATENATE("$Z$"&amp;BD$121)),
IF($K126=INDIRECT(CONCATENATE("$AA$"&amp;BD$122)), INDIRECT(CONCATENATE("$AA$"&amp;BD$121)),
IF($K126=INDIRECT(CONCATENATE("$AB$"&amp;BD$122)), INDIRECT(CONCATENATE("$AB$"&amp;BD$121)),
IF($K126=INDIRECT(CONCATENATE("$AC$"&amp;BD$122)), INDIRECT(CONCATENATE("$AC$"&amp;BD$121)),
IF($K126=INDIRECT(CONCATENATE("$AD$"&amp;BD$122)), INDIRECT(CONCATENATE("$AD$"&amp;BD$121)),
IF($K126=INDIRECT(CONCATENATE("$AE$"&amp;BD$122)), INDIRECT(CONCATENATE("$AE$"&amp;BD$121)),
IF($K126=INDIRECT(CONCATENATE("$AF$"&amp;BD$122)), INDIRECT(CONCATENATE("$AF$"&amp;BD$121)),"X")))))))))))))))))))))))))))))))</f>
        <v>X</v>
      </c>
      <c r="BE126" s="6" t="str">
        <f t="shared" ca="1" si="392"/>
        <v>X</v>
      </c>
      <c r="BF126" s="6" t="str">
        <f t="shared" ca="1" si="393"/>
        <v>X</v>
      </c>
      <c r="BG126" s="6" t="str">
        <f t="shared" ca="1" si="392"/>
        <v>X</v>
      </c>
      <c r="BH126" s="6" t="str">
        <f t="shared" ca="1" si="394"/>
        <v>X</v>
      </c>
      <c r="BI126" s="6" t="str">
        <f t="shared" ca="1" si="392"/>
        <v>X</v>
      </c>
      <c r="BJ126" s="6" t="str">
        <f t="shared" ca="1" si="395"/>
        <v>X</v>
      </c>
      <c r="BK126" s="12" t="str">
        <f t="shared" ca="1" si="396"/>
        <v>X</v>
      </c>
      <c r="BL126" s="6" t="str">
        <f t="shared" ca="1" si="396"/>
        <v>X</v>
      </c>
      <c r="BM126" s="6" t="str">
        <f t="shared" ca="1" si="397"/>
        <v>X</v>
      </c>
      <c r="BN126" s="6" t="str">
        <f t="shared" ca="1" si="397"/>
        <v>X</v>
      </c>
      <c r="BO126" s="6" t="str">
        <f t="shared" ca="1" si="398"/>
        <v>X</v>
      </c>
      <c r="BP126" s="6" t="str">
        <f t="shared" ca="1" si="398"/>
        <v>X</v>
      </c>
      <c r="BQ126" s="6" t="str">
        <f t="shared" ca="1" si="399"/>
        <v>X</v>
      </c>
      <c r="BR126" s="6" t="str">
        <f t="shared" ca="1" si="399"/>
        <v>X</v>
      </c>
      <c r="BS126" s="6" t="str">
        <f t="shared" ca="1" si="400"/>
        <v>X</v>
      </c>
      <c r="BT126" s="6" t="str">
        <f t="shared" ca="1" si="400"/>
        <v>X</v>
      </c>
      <c r="BU126" s="6" t="str">
        <f t="shared" ca="1" si="401"/>
        <v>X</v>
      </c>
      <c r="BV126" s="6" t="str">
        <f t="shared" ca="1" si="401"/>
        <v>X</v>
      </c>
      <c r="BW126" s="6" t="str">
        <f t="shared" ca="1" si="402"/>
        <v>X</v>
      </c>
      <c r="BX126" s="6" t="str">
        <f t="shared" ca="1" si="402"/>
        <v>X</v>
      </c>
      <c r="BY126" s="6" t="str">
        <f t="shared" ca="1" si="403"/>
        <v>X</v>
      </c>
      <c r="BZ126" s="6" t="str">
        <f t="shared" ca="1" si="403"/>
        <v>X</v>
      </c>
      <c r="CA126" s="6">
        <f t="shared" ca="1" si="404"/>
        <v>46290</v>
      </c>
      <c r="CB126" s="6" t="str">
        <f t="shared" ca="1" si="404"/>
        <v>X</v>
      </c>
      <c r="CC126" s="6">
        <f t="shared" ca="1" si="405"/>
        <v>46318</v>
      </c>
      <c r="CD126" s="6" t="str">
        <f t="shared" ca="1" si="405"/>
        <v>X</v>
      </c>
      <c r="CE126" s="6" t="str">
        <f t="shared" ca="1" si="406"/>
        <v>X</v>
      </c>
      <c r="CF126" s="6" t="str">
        <f t="shared" ca="1" si="406"/>
        <v>X</v>
      </c>
      <c r="CG126" s="6" t="str">
        <f t="shared" ca="1" si="407"/>
        <v>X</v>
      </c>
      <c r="CH126" s="6" t="str">
        <f t="shared" ca="1" si="408"/>
        <v>X</v>
      </c>
      <c r="CI126" s="6" t="str">
        <f t="shared" ca="1" si="409"/>
        <v>X</v>
      </c>
      <c r="CJ126" s="6" t="str">
        <f t="shared" ca="1" si="410"/>
        <v>X</v>
      </c>
      <c r="CK126" s="6" t="str">
        <f t="shared" ca="1" si="411"/>
        <v>X</v>
      </c>
      <c r="CL126" s="6" t="str">
        <f t="shared" ca="1" si="411"/>
        <v>X</v>
      </c>
    </row>
    <row r="127" spans="1:90" ht="18.75" customHeight="1">
      <c r="A127" s="268" t="s">
        <v>84</v>
      </c>
      <c r="B127" s="269"/>
      <c r="C127" s="269"/>
      <c r="D127" s="269"/>
      <c r="E127" s="269"/>
      <c r="F127" s="269"/>
      <c r="G127" s="269"/>
      <c r="H127" s="269"/>
      <c r="I127" s="269"/>
      <c r="J127" s="270"/>
      <c r="K127" s="273" t="s">
        <v>38</v>
      </c>
      <c r="L127" s="274"/>
      <c r="M127" s="106">
        <v>162</v>
      </c>
      <c r="N127" s="267" t="str">
        <f t="shared" ca="1" si="383"/>
        <v>EM ANDAMENTO</v>
      </c>
      <c r="O127" s="267"/>
      <c r="P127" s="10">
        <f t="shared" si="384"/>
        <v>41</v>
      </c>
      <c r="Q127" s="10">
        <f t="shared" si="385"/>
        <v>162</v>
      </c>
      <c r="R127" s="8">
        <f t="shared" si="386"/>
        <v>40</v>
      </c>
      <c r="S127" s="9">
        <f t="shared" ca="1" si="387"/>
        <v>46245</v>
      </c>
      <c r="T127" s="9">
        <f t="shared" ca="1" si="388"/>
        <v>46373</v>
      </c>
      <c r="U127" s="91"/>
      <c r="V127" s="190" t="s">
        <v>85</v>
      </c>
      <c r="W127" s="190"/>
      <c r="X127" s="190"/>
      <c r="Y127" s="190"/>
      <c r="Z127" s="190"/>
      <c r="AA127" s="190"/>
      <c r="AB127" s="190"/>
      <c r="AC127" s="190"/>
      <c r="AD127" s="39">
        <f t="shared" si="389"/>
        <v>41</v>
      </c>
      <c r="AE127" s="7">
        <f t="shared" si="390"/>
        <v>0</v>
      </c>
      <c r="AF127" s="32" t="str">
        <f t="shared" si="391"/>
        <v>OK</v>
      </c>
      <c r="AI127" s="6" t="str">
        <f t="shared" ca="1" si="392"/>
        <v>X</v>
      </c>
      <c r="AJ127" s="6" t="str">
        <f t="shared" ca="1" si="392"/>
        <v>X</v>
      </c>
      <c r="AK127" s="6" t="str">
        <f t="shared" ca="1" si="392"/>
        <v>X</v>
      </c>
      <c r="AL127" s="6" t="str">
        <f t="shared" ca="1" si="392"/>
        <v>X</v>
      </c>
      <c r="AM127" s="6" t="str">
        <f t="shared" ca="1" si="392"/>
        <v>X</v>
      </c>
      <c r="AN127" s="6" t="str">
        <f t="shared" ca="1" si="392"/>
        <v>X</v>
      </c>
      <c r="AO127" s="6" t="str">
        <f t="shared" ca="1" si="392"/>
        <v>X</v>
      </c>
      <c r="AP127" s="6" t="str">
        <f t="shared" ca="1" si="392"/>
        <v>X</v>
      </c>
      <c r="AQ127" s="6" t="str">
        <f t="shared" ca="1" si="392"/>
        <v>X</v>
      </c>
      <c r="AR127" s="6" t="str">
        <f t="shared" ca="1" si="392"/>
        <v>X</v>
      </c>
      <c r="AS127" s="6" t="str">
        <f t="shared" ca="1" si="392"/>
        <v>X</v>
      </c>
      <c r="AT127" s="6" t="str">
        <f t="shared" ca="1" si="392"/>
        <v>X</v>
      </c>
      <c r="AU127" s="6" t="str">
        <f t="shared" ca="1" si="392"/>
        <v>X</v>
      </c>
      <c r="AV127" s="6" t="str">
        <f t="shared" ca="1" si="392"/>
        <v>X</v>
      </c>
      <c r="AW127" s="6">
        <f t="shared" ca="1" si="392"/>
        <v>46245</v>
      </c>
      <c r="AX127" s="6" t="str">
        <f t="shared" ca="1" si="392"/>
        <v>X</v>
      </c>
      <c r="AY127" s="6">
        <f t="shared" ca="1" si="392"/>
        <v>46266</v>
      </c>
      <c r="AZ127" s="6" t="str">
        <f t="shared" ca="1" si="392"/>
        <v>X</v>
      </c>
      <c r="BA127" s="6">
        <f t="shared" ca="1" si="392"/>
        <v>46300</v>
      </c>
      <c r="BB127" s="6" t="str">
        <f t="shared" ca="1" si="392"/>
        <v>X</v>
      </c>
      <c r="BC127" s="6">
        <f t="shared" ca="1" si="392"/>
        <v>46329</v>
      </c>
      <c r="BD127" s="6" t="str">
        <f t="shared" ca="1" si="412"/>
        <v>X</v>
      </c>
      <c r="BE127" s="6">
        <f t="shared" ca="1" si="392"/>
        <v>46357</v>
      </c>
      <c r="BF127" s="6" t="str">
        <f t="shared" ca="1" si="393"/>
        <v>X</v>
      </c>
      <c r="BG127" s="6" t="str">
        <f t="shared" ca="1" si="392"/>
        <v>X</v>
      </c>
      <c r="BH127" s="6" t="str">
        <f t="shared" ca="1" si="394"/>
        <v>X</v>
      </c>
      <c r="BI127" s="6" t="str">
        <f t="shared" ca="1" si="392"/>
        <v>X</v>
      </c>
      <c r="BJ127" s="6" t="str">
        <f t="shared" ca="1" si="395"/>
        <v>X</v>
      </c>
      <c r="BK127" s="12" t="str">
        <f t="shared" ca="1" si="396"/>
        <v>X</v>
      </c>
      <c r="BL127" s="6" t="str">
        <f t="shared" ca="1" si="396"/>
        <v>X</v>
      </c>
      <c r="BM127" s="6" t="str">
        <f t="shared" ca="1" si="397"/>
        <v>X</v>
      </c>
      <c r="BN127" s="6" t="str">
        <f t="shared" ca="1" si="397"/>
        <v>X</v>
      </c>
      <c r="BO127" s="6" t="str">
        <f t="shared" ca="1" si="398"/>
        <v>X</v>
      </c>
      <c r="BP127" s="6" t="str">
        <f t="shared" ca="1" si="398"/>
        <v>X</v>
      </c>
      <c r="BQ127" s="6" t="str">
        <f t="shared" ca="1" si="399"/>
        <v>X</v>
      </c>
      <c r="BR127" s="6" t="str">
        <f t="shared" ca="1" si="399"/>
        <v>X</v>
      </c>
      <c r="BS127" s="6" t="str">
        <f t="shared" ca="1" si="400"/>
        <v>X</v>
      </c>
      <c r="BT127" s="6" t="str">
        <f t="shared" ca="1" si="400"/>
        <v>X</v>
      </c>
      <c r="BU127" s="6" t="str">
        <f t="shared" ca="1" si="401"/>
        <v>X</v>
      </c>
      <c r="BV127" s="6" t="str">
        <f t="shared" ca="1" si="401"/>
        <v>X</v>
      </c>
      <c r="BW127" s="6" t="str">
        <f t="shared" ca="1" si="402"/>
        <v>X</v>
      </c>
      <c r="BX127" s="6" t="str">
        <f t="shared" ca="1" si="402"/>
        <v>X</v>
      </c>
      <c r="BY127" s="6">
        <f t="shared" ca="1" si="403"/>
        <v>46265</v>
      </c>
      <c r="BZ127" s="6" t="str">
        <f t="shared" ca="1" si="403"/>
        <v>X</v>
      </c>
      <c r="CA127" s="6">
        <f t="shared" ca="1" si="404"/>
        <v>46294</v>
      </c>
      <c r="CB127" s="6" t="str">
        <f t="shared" ca="1" si="404"/>
        <v>X</v>
      </c>
      <c r="CC127" s="6">
        <f t="shared" ca="1" si="405"/>
        <v>46322</v>
      </c>
      <c r="CD127" s="6" t="str">
        <f t="shared" ca="1" si="405"/>
        <v>X</v>
      </c>
      <c r="CE127" s="6">
        <f t="shared" ca="1" si="406"/>
        <v>46350</v>
      </c>
      <c r="CF127" s="6" t="str">
        <f t="shared" ca="1" si="406"/>
        <v>X</v>
      </c>
      <c r="CG127" s="6">
        <f t="shared" ca="1" si="407"/>
        <v>46373</v>
      </c>
      <c r="CH127" s="6" t="str">
        <f t="shared" ca="1" si="408"/>
        <v>X</v>
      </c>
      <c r="CI127" s="6" t="str">
        <f t="shared" ca="1" si="409"/>
        <v>X</v>
      </c>
      <c r="CJ127" s="6" t="str">
        <f t="shared" ca="1" si="410"/>
        <v>X</v>
      </c>
      <c r="CK127" s="6" t="str">
        <f t="shared" ca="1" si="411"/>
        <v>X</v>
      </c>
      <c r="CL127" s="6" t="str">
        <f t="shared" ca="1" si="411"/>
        <v>X</v>
      </c>
    </row>
    <row r="128" spans="1:90" ht="20.25" customHeight="1">
      <c r="A128" s="268" t="s">
        <v>86</v>
      </c>
      <c r="B128" s="269"/>
      <c r="C128" s="269"/>
      <c r="D128" s="269"/>
      <c r="E128" s="269"/>
      <c r="F128" s="269"/>
      <c r="G128" s="269"/>
      <c r="H128" s="269"/>
      <c r="I128" s="269"/>
      <c r="J128" s="270"/>
      <c r="K128" s="275" t="s">
        <v>39</v>
      </c>
      <c r="L128" s="276"/>
      <c r="M128" s="106">
        <v>80</v>
      </c>
      <c r="N128" s="267" t="str">
        <f t="shared" ca="1" si="383"/>
        <v>EM ANDAMENTO</v>
      </c>
      <c r="O128" s="267"/>
      <c r="P128" s="10">
        <f>ROUNDUP((Q128/$W$2),0)</f>
        <v>20</v>
      </c>
      <c r="Q128" s="10">
        <f t="shared" si="385"/>
        <v>80</v>
      </c>
      <c r="R128" s="8">
        <f t="shared" si="386"/>
        <v>20</v>
      </c>
      <c r="S128" s="9">
        <f t="shared" ca="1" si="387"/>
        <v>46247</v>
      </c>
      <c r="T128" s="9">
        <f t="shared" ca="1" si="388"/>
        <v>46366</v>
      </c>
      <c r="U128" s="92"/>
      <c r="V128" s="190" t="s">
        <v>85</v>
      </c>
      <c r="W128" s="190"/>
      <c r="X128" s="190"/>
      <c r="Y128" s="190"/>
      <c r="Z128" s="190"/>
      <c r="AA128" s="190"/>
      <c r="AB128" s="190"/>
      <c r="AC128" s="190"/>
      <c r="AD128" s="39">
        <f t="shared" si="389"/>
        <v>20</v>
      </c>
      <c r="AE128" s="7">
        <f t="shared" si="390"/>
        <v>0</v>
      </c>
      <c r="AF128" s="32" t="str">
        <f>IF(AD128=P128,"OK","")</f>
        <v>OK</v>
      </c>
      <c r="AI128" s="6" t="str">
        <f t="shared" ca="1" si="392"/>
        <v>X</v>
      </c>
      <c r="AJ128" s="6" t="str">
        <f t="shared" ca="1" si="392"/>
        <v>X</v>
      </c>
      <c r="AK128" s="6" t="str">
        <f t="shared" ca="1" si="392"/>
        <v>X</v>
      </c>
      <c r="AL128" s="6" t="str">
        <f t="shared" ca="1" si="392"/>
        <v>X</v>
      </c>
      <c r="AM128" s="6" t="str">
        <f t="shared" ca="1" si="392"/>
        <v>X</v>
      </c>
      <c r="AN128" s="6" t="str">
        <f t="shared" ca="1" si="392"/>
        <v>X</v>
      </c>
      <c r="AO128" s="6" t="str">
        <f t="shared" ca="1" si="392"/>
        <v>X</v>
      </c>
      <c r="AP128" s="6" t="str">
        <f t="shared" ca="1" si="392"/>
        <v>X</v>
      </c>
      <c r="AQ128" s="6" t="str">
        <f t="shared" ca="1" si="392"/>
        <v>X</v>
      </c>
      <c r="AR128" s="6" t="str">
        <f t="shared" ca="1" si="392"/>
        <v>X</v>
      </c>
      <c r="AS128" s="6" t="str">
        <f t="shared" ca="1" si="392"/>
        <v>X</v>
      </c>
      <c r="AT128" s="6" t="str">
        <f t="shared" ca="1" si="392"/>
        <v>X</v>
      </c>
      <c r="AU128" s="6" t="str">
        <f t="shared" ca="1" si="392"/>
        <v>X</v>
      </c>
      <c r="AV128" s="6" t="str">
        <f t="shared" ca="1" si="392"/>
        <v>X</v>
      </c>
      <c r="AW128" s="6">
        <f t="shared" ca="1" si="392"/>
        <v>46247</v>
      </c>
      <c r="AX128" s="6" t="str">
        <f t="shared" ca="1" si="392"/>
        <v>X</v>
      </c>
      <c r="AY128" s="6">
        <f t="shared" ca="1" si="392"/>
        <v>46267</v>
      </c>
      <c r="AZ128" s="6" t="str">
        <f t="shared" ca="1" si="392"/>
        <v>X</v>
      </c>
      <c r="BA128" s="6">
        <f t="shared" ca="1" si="392"/>
        <v>46302</v>
      </c>
      <c r="BB128" s="6" t="str">
        <f t="shared" ca="1" si="392"/>
        <v>X</v>
      </c>
      <c r="BC128" s="6">
        <f t="shared" ca="1" si="392"/>
        <v>46337</v>
      </c>
      <c r="BD128" s="6" t="str">
        <f t="shared" ca="1" si="412"/>
        <v>X</v>
      </c>
      <c r="BE128" s="6">
        <f t="shared" ca="1" si="392"/>
        <v>46359</v>
      </c>
      <c r="BF128" s="6" t="str">
        <f t="shared" ca="1" si="393"/>
        <v>X</v>
      </c>
      <c r="BG128" s="6" t="str">
        <f t="shared" ca="1" si="392"/>
        <v>X</v>
      </c>
      <c r="BH128" s="6" t="str">
        <f t="shared" ca="1" si="394"/>
        <v>X</v>
      </c>
      <c r="BI128" s="6" t="str">
        <f t="shared" ca="1" si="392"/>
        <v>X</v>
      </c>
      <c r="BJ128" s="6" t="str">
        <f t="shared" ca="1" si="395"/>
        <v>X</v>
      </c>
      <c r="BK128" s="12" t="str">
        <f t="shared" ca="1" si="396"/>
        <v>X</v>
      </c>
      <c r="BL128" s="6" t="str">
        <f t="shared" ca="1" si="396"/>
        <v>X</v>
      </c>
      <c r="BM128" s="6" t="str">
        <f t="shared" ca="1" si="397"/>
        <v>X</v>
      </c>
      <c r="BN128" s="6" t="str">
        <f t="shared" ca="1" si="397"/>
        <v>X</v>
      </c>
      <c r="BO128" s="6" t="str">
        <f t="shared" ca="1" si="398"/>
        <v>X</v>
      </c>
      <c r="BP128" s="6" t="str">
        <f t="shared" ca="1" si="398"/>
        <v>X</v>
      </c>
      <c r="BQ128" s="6" t="str">
        <f t="shared" ca="1" si="399"/>
        <v>X</v>
      </c>
      <c r="BR128" s="6" t="str">
        <f t="shared" ca="1" si="399"/>
        <v>X</v>
      </c>
      <c r="BS128" s="6" t="str">
        <f t="shared" ca="1" si="400"/>
        <v>X</v>
      </c>
      <c r="BT128" s="6" t="str">
        <f t="shared" ca="1" si="400"/>
        <v>X</v>
      </c>
      <c r="BU128" s="6" t="str">
        <f t="shared" ca="1" si="401"/>
        <v>X</v>
      </c>
      <c r="BV128" s="6" t="str">
        <f t="shared" ca="1" si="401"/>
        <v>X</v>
      </c>
      <c r="BW128" s="6" t="str">
        <f t="shared" ca="1" si="402"/>
        <v>X</v>
      </c>
      <c r="BX128" s="6" t="str">
        <f t="shared" ca="1" si="402"/>
        <v>X</v>
      </c>
      <c r="BY128" s="6">
        <f t="shared" ca="1" si="403"/>
        <v>46260</v>
      </c>
      <c r="BZ128" s="6" t="str">
        <f t="shared" ca="1" si="403"/>
        <v>X</v>
      </c>
      <c r="CA128" s="6">
        <f t="shared" ca="1" si="404"/>
        <v>46295</v>
      </c>
      <c r="CB128" s="6" t="str">
        <f t="shared" ca="1" si="404"/>
        <v>X</v>
      </c>
      <c r="CC128" s="6">
        <f t="shared" ca="1" si="405"/>
        <v>46323</v>
      </c>
      <c r="CD128" s="6" t="str">
        <f t="shared" ca="1" si="405"/>
        <v>X</v>
      </c>
      <c r="CE128" s="6">
        <f t="shared" ca="1" si="406"/>
        <v>46352</v>
      </c>
      <c r="CF128" s="6" t="str">
        <f t="shared" ca="1" si="406"/>
        <v>X</v>
      </c>
      <c r="CG128" s="6">
        <f t="shared" ca="1" si="407"/>
        <v>46366</v>
      </c>
      <c r="CH128" s="6" t="str">
        <f t="shared" ca="1" si="408"/>
        <v>X</v>
      </c>
      <c r="CI128" s="6" t="str">
        <f t="shared" ca="1" si="409"/>
        <v>X</v>
      </c>
      <c r="CJ128" s="6" t="str">
        <f t="shared" ca="1" si="410"/>
        <v>X</v>
      </c>
      <c r="CK128" s="6" t="str">
        <f t="shared" ca="1" si="411"/>
        <v>X</v>
      </c>
      <c r="CL128" s="6" t="str">
        <f t="shared" ca="1" si="411"/>
        <v>X</v>
      </c>
    </row>
    <row r="129" spans="1:90" ht="18.75" customHeight="1">
      <c r="A129" s="256"/>
      <c r="B129" s="257"/>
      <c r="C129" s="257"/>
      <c r="D129" s="257"/>
      <c r="E129" s="257"/>
      <c r="F129" s="257"/>
      <c r="G129" s="257"/>
      <c r="H129" s="257"/>
      <c r="I129" s="257"/>
      <c r="J129" s="258"/>
      <c r="K129" s="250" t="s">
        <v>87</v>
      </c>
      <c r="L129" s="251"/>
      <c r="M129" s="90"/>
      <c r="N129" s="267" t="str">
        <f t="shared" ref="N129:N141" ca="1" si="413">IF(AND(TODAY()&gt;=S129,TODAY()&lt;=T129),"EM ANDAMENTO",IF(TODAY()&gt;T129,"CONCLUÍDA","PLANEJADA"))</f>
        <v>PLANEJADA</v>
      </c>
      <c r="O129" s="267"/>
      <c r="P129" s="10">
        <f t="shared" si="384"/>
        <v>0</v>
      </c>
      <c r="Q129" s="10">
        <f t="shared" si="385"/>
        <v>0</v>
      </c>
      <c r="R129" s="8">
        <f t="shared" si="386"/>
        <v>0</v>
      </c>
      <c r="S129" s="9" t="str">
        <f t="shared" ca="1" si="387"/>
        <v>-</v>
      </c>
      <c r="T129" s="9" t="str">
        <f t="shared" ca="1" si="388"/>
        <v>-</v>
      </c>
      <c r="U129" s="92"/>
      <c r="V129" s="190"/>
      <c r="W129" s="190"/>
      <c r="X129" s="190"/>
      <c r="Y129" s="190"/>
      <c r="Z129" s="190"/>
      <c r="AA129" s="190"/>
      <c r="AB129" s="190"/>
      <c r="AC129" s="190"/>
      <c r="AD129" s="39">
        <f t="shared" si="389"/>
        <v>0</v>
      </c>
      <c r="AE129" s="7">
        <f t="shared" si="390"/>
        <v>0</v>
      </c>
      <c r="AF129" s="32" t="str">
        <f t="shared" si="391"/>
        <v>OK</v>
      </c>
      <c r="AI129" s="6" t="str">
        <f t="shared" ref="AI129:BI139" ca="1" si="414">IF($K129=INDIRECT(CONCATENATE("$B$"&amp;AI$122)), INDIRECT(CONCATENATE("$B$"&amp;AI$121)),
IF($K129=INDIRECT(CONCATENATE("$C$"&amp;AI$122)), INDIRECT(CONCATENATE("$C$"&amp;AI$121)),
IF($K129=INDIRECT(CONCATENATE("$D$"&amp;AI$122)), INDIRECT(CONCATENATE("$D$"&amp;AI$121)),
IF($K129=INDIRECT(CONCATENATE("$E$"&amp;AI$122)), INDIRECT(CONCATENATE("$E$"&amp;AI$121)),
IF($K129=INDIRECT(CONCATENATE("$F$"&amp;AI$122)), INDIRECT(CONCATENATE("$F$"&amp;AI$121)),
IF($K129=INDIRECT(CONCATENATE("$G$"&amp;AI$122)), INDIRECT(CONCATENATE("$G$"&amp;AI$121)),
IF($K129=INDIRECT(CONCATENATE("$H$"&amp;AI$122)), INDIRECT(CONCATENATE("$H$"&amp;AI$121)),
IF($K129=INDIRECT(CONCATENATE("$I$"&amp;AI$122)), INDIRECT(CONCATENATE("$I$"&amp;AI$121)),
IF($K129=INDIRECT(CONCATENATE("$J$"&amp;AI$122)), INDIRECT(CONCATENATE("$J$"&amp;AI$121)),
IF($K129=INDIRECT(CONCATENATE("$K$"&amp;AI$122)), INDIRECT(CONCATENATE("$K$"&amp;AI$121)),
IF($K129=INDIRECT(CONCATENATE("$L$"&amp;AI$122)), INDIRECT(CONCATENATE("$L$"&amp;AI$121)),
IF($K129=INDIRECT(CONCATENATE("$M$"&amp;AI$122)), INDIRECT(CONCATENATE("$M$"&amp;AI$121)),
IF($K129=INDIRECT(CONCATENATE("$N$"&amp;AI$122)), INDIRECT(CONCATENATE("$N$"&amp;AI$121)),
IF($K129=INDIRECT(CONCATENATE("$O$"&amp;AI$122)), INDIRECT(CONCATENATE("$O$"&amp;AI$121)),
IF($K129=INDIRECT(CONCATENATE("$P$"&amp;AI$122)), INDIRECT(CONCATENATE("$P$"&amp;AI$121)),
IF($K129=INDIRECT(CONCATENATE("$Q$"&amp;AI$122)), INDIRECT(CONCATENATE("$Q$"&amp;AI$121)),
IF($K129=INDIRECT(CONCATENATE("$R$"&amp;AI$122)), INDIRECT(CONCATENATE("$R$"&amp;AI$121)),
IF($K129=INDIRECT(CONCATENATE("$S$"&amp;AI$122)), INDIRECT(CONCATENATE("$S$"&amp;AI$121)),
IF($K129=INDIRECT(CONCATENATE("$T$"&amp;AI$122)), INDIRECT(CONCATENATE("$T$"&amp;AI$121)),
IF($K129=INDIRECT(CONCATENATE("$U$"&amp;AI$122)), INDIRECT(CONCATENATE("$U$"&amp;AI$121)),
IF($K129=INDIRECT(CONCATENATE("$V$"&amp;AI$122)), INDIRECT(CONCATENATE("$V$"&amp;AI$121)),
IF($K129=INDIRECT(CONCATENATE("$W$"&amp;AI$122)), INDIRECT(CONCATENATE("$W$"&amp;AI$121)),
IF($K129=INDIRECT(CONCATENATE("$X$"&amp;AI$122)), INDIRECT(CONCATENATE("$X$"&amp;AI$121)),
IF($K129=INDIRECT(CONCATENATE("$Y$"&amp;AI$122)), INDIRECT(CONCATENATE("$Y$"&amp;AI$121)),
IF($K129=INDIRECT(CONCATENATE("$Z$"&amp;AI$122)), INDIRECT(CONCATENATE("$Z$"&amp;AI$121)),
IF($K129=INDIRECT(CONCATENATE("$AA$"&amp;AI$122)), INDIRECT(CONCATENATE("$AA$"&amp;AI$121)),
IF($K129=INDIRECT(CONCATENATE("$AB$"&amp;AI$122)), INDIRECT(CONCATENATE("$AB$"&amp;AI$121)),
IF($K129=INDIRECT(CONCATENATE("$AC$"&amp;AI$122)), INDIRECT(CONCATENATE("$AC$"&amp;AI$121)),
IF($K129=INDIRECT(CONCATENATE("$AD$"&amp;AI$122)), INDIRECT(CONCATENATE("$AD$"&amp;AI$121)),
IF($K129=INDIRECT(CONCATENATE("$AE$"&amp;AI$122)), INDIRECT(CONCATENATE("$AE$"&amp;AI$121)),
IF($K129=INDIRECT(CONCATENATE("$AF$"&amp;AI$122)), INDIRECT(CONCATENATE("$AF$"&amp;AI$121)),"X")))))))))))))))))))))))))))))))</f>
        <v>X</v>
      </c>
      <c r="AJ129" s="6" t="str">
        <f t="shared" ca="1" si="414"/>
        <v>X</v>
      </c>
      <c r="AK129" s="6" t="str">
        <f t="shared" ca="1" si="414"/>
        <v>X</v>
      </c>
      <c r="AL129" s="6" t="str">
        <f t="shared" ca="1" si="414"/>
        <v>X</v>
      </c>
      <c r="AM129" s="6" t="str">
        <f t="shared" ca="1" si="414"/>
        <v>X</v>
      </c>
      <c r="AN129" s="6" t="str">
        <f t="shared" ca="1" si="414"/>
        <v>X</v>
      </c>
      <c r="AO129" s="6" t="str">
        <f t="shared" ca="1" si="414"/>
        <v>X</v>
      </c>
      <c r="AP129" s="6" t="str">
        <f t="shared" ca="1" si="414"/>
        <v>X</v>
      </c>
      <c r="AQ129" s="6" t="str">
        <f t="shared" ca="1" si="414"/>
        <v>X</v>
      </c>
      <c r="AR129" s="6" t="str">
        <f t="shared" ca="1" si="414"/>
        <v>X</v>
      </c>
      <c r="AS129" s="6" t="str">
        <f t="shared" ca="1" si="414"/>
        <v>X</v>
      </c>
      <c r="AT129" s="6" t="str">
        <f t="shared" ca="1" si="414"/>
        <v>X</v>
      </c>
      <c r="AU129" s="6" t="str">
        <f t="shared" ca="1" si="414"/>
        <v>X</v>
      </c>
      <c r="AV129" s="6" t="str">
        <f t="shared" ca="1" si="414"/>
        <v>X</v>
      </c>
      <c r="AW129" s="6" t="str">
        <f t="shared" ca="1" si="414"/>
        <v>X</v>
      </c>
      <c r="AX129" s="6" t="str">
        <f t="shared" ca="1" si="414"/>
        <v>X</v>
      </c>
      <c r="AY129" s="6" t="str">
        <f t="shared" ca="1" si="414"/>
        <v>X</v>
      </c>
      <c r="AZ129" s="6" t="str">
        <f t="shared" ca="1" si="392"/>
        <v>X</v>
      </c>
      <c r="BA129" s="6" t="str">
        <f t="shared" ca="1" si="414"/>
        <v>X</v>
      </c>
      <c r="BB129" s="6" t="str">
        <f t="shared" ca="1" si="392"/>
        <v>X</v>
      </c>
      <c r="BC129" s="6" t="str">
        <f t="shared" ca="1" si="414"/>
        <v>X</v>
      </c>
      <c r="BD129" s="6" t="str">
        <f t="shared" ca="1" si="412"/>
        <v>X</v>
      </c>
      <c r="BE129" s="6" t="str">
        <f t="shared" ca="1" si="414"/>
        <v>X</v>
      </c>
      <c r="BF129" s="6" t="str">
        <f t="shared" ca="1" si="393"/>
        <v>X</v>
      </c>
      <c r="BG129" s="6" t="str">
        <f t="shared" ca="1" si="414"/>
        <v>X</v>
      </c>
      <c r="BH129" s="6" t="str">
        <f t="shared" ca="1" si="394"/>
        <v>X</v>
      </c>
      <c r="BI129" s="6" t="str">
        <f t="shared" ca="1" si="414"/>
        <v>X</v>
      </c>
      <c r="BJ129" s="6" t="str">
        <f t="shared" ca="1" si="395"/>
        <v>X</v>
      </c>
      <c r="BK129" s="12" t="str">
        <f t="shared" ref="BK129:BL141" ca="1" si="415">IF($K129=INDIRECT(CONCATENATE("$AF$"&amp;AI$122)),INDIRECT(CONCATENATE("$AF$"&amp;AI$121)),IF($K129=INDIRECT(CONCATENATE("$AE$"&amp;AI$122)),INDIRECT(CONCATENATE("$AE$"&amp;AI$121)),IF($K129=INDIRECT(CONCATENATE("$AD$"&amp;AI$122)),INDIRECT(CONCATENATE("$AD$"&amp;AI$121)),IF($K129=INDIRECT(CONCATENATE("$AC$"&amp;AI$122)),INDIRECT(CONCATENATE("$AC$"&amp;AI$121)),IF($K129=INDIRECT(CONCATENATE("$AB$"&amp;AI$122)),INDIRECT(CONCATENATE("$AB$"&amp;AI$121)),IF($K129=INDIRECT(CONCATENATE("$AA$"&amp;AI$122)),INDIRECT(CONCATENATE("$AA$"&amp;AI$121)),IF($K129=INDIRECT(CONCATENATE("$Z$"&amp;AI$122)),INDIRECT(CONCATENATE("$Z$"&amp;AI$121)),
IF($K129=INDIRECT(CONCATENATE("$Y$"&amp;AI$122)),INDIRECT(CONCATENATE("$Y$"&amp;AI$121)),IF($K129=INDIRECT(CONCATENATE("$X$"&amp;AI$122)),INDIRECT(CONCATENATE("$X$"&amp;AI$121)),IF($K129=INDIRECT(CONCATENATE("$W$"&amp;AI$122)),INDIRECT(CONCATENATE("$W$"&amp;AI$121)),IF($K129=INDIRECT(CONCATENATE("$V$"&amp;AI$122)),INDIRECT(CONCATENATE("$V$"&amp;AI$121)),IF($K129=INDIRECT(CONCATENATE("$U$"&amp;AI$122)),INDIRECT(CONCATENATE("$U$"&amp;AI$121)),IF($K129=INDIRECT(CONCATENATE("$T$"&amp;AI$122)),INDIRECT(CONCATENATE("$T$"&amp;AI$121)),IF($K129=INDIRECT(CONCATENATE("$S$"&amp;AI$122)),INDIRECT(CONCATENATE("$S$"&amp;AI$121)),IF($K129=INDIRECT(CONCATENATE("$R$"&amp;AI$122)),INDIRECT(CONCATENATE("$R$"&amp;AI$121)),IF($K129=INDIRECT(CONCATENATE("$Q$"&amp;AI$122)),INDIRECT(CONCATENATE("$Q$"&amp;AI$121)),
IF($K129=INDIRECT(CONCATENATE("$P$"&amp;AI$122)),INDIRECT(CONCATENATE("$P$"&amp;AI$121)),IF($K129=INDIRECT(CONCATENATE("$O$"&amp;AI$122)),INDIRECT(CONCATENATE("$O$"&amp;AI$121)),IF($K129=INDIRECT(CONCATENATE("$N$"&amp;AI$122)),INDIRECT(CONCATENATE("$N$"&amp;AI$121)),IF($K129=INDIRECT(CONCATENATE("$M$"&amp;AI$122)),INDIRECT(CONCATENATE("$M$"&amp;AI$121)),IF($K129=INDIRECT(CONCATENATE("$L$"&amp;AI$122)),INDIRECT(CONCATENATE("$L$"&amp;AI$121)),IF($K129=INDIRECT(CONCATENATE("$K$"&amp;AI$122)),INDIRECT(CONCATENATE("$K$"&amp;AI$121)),IF($K129=INDIRECT(CONCATENATE("$J$"&amp;AI$122)),INDIRECT(CONCATENATE("$J$"&amp;AI$121)),IF($K129=INDIRECT(CONCATENATE("$I$"&amp;AI$122)),INDIRECT(CONCATENATE("$I$"&amp;AI$121)),IF($K129=INDIRECT(CONCATENATE("$H$"&amp;AI$122)),INDIRECT(CONCATENATE("$H$"&amp;AI$121)),IF($K129=INDIRECT(CONCATENATE("$G$"&amp;AI$122)),INDIRECT(CONCATENATE("$G$"&amp;AI$121)),IF($K129=INDIRECT(CONCATENATE("$F$"&amp;AI$122)),INDIRECT(CONCATENATE("$F$"&amp;AI$121)),IF($K129=INDIRECT(CONCATENATE("$E$"&amp;AI$122)),INDIRECT(CONCATENATE("$E$"&amp;AI$121)),IF($K129=INDIRECT(CONCATENATE("$D$"&amp;AI$122)),INDIRECT(CONCATENATE("$D$"&amp;AI$121)),IF($K129=INDIRECT(CONCATENATE("$C$"&amp;AI$122)),INDIRECT(CONCATENATE("$C$"&amp;AI$121)),IF($K129=INDIRECT(CONCATENATE("$B$"&amp;AI$122)),INDIRECT(CONCATENATE("$B$"&amp;AI$121)),"X")))))))))))))))))))))))))))))))</f>
        <v>X</v>
      </c>
      <c r="BL129" s="6" t="str">
        <f t="shared" ca="1" si="415"/>
        <v>X</v>
      </c>
      <c r="BM129" s="6" t="str">
        <f t="shared" ref="BM129:BN141" ca="1" si="416">IF($K129=INDIRECT(CONCATENATE("$AF$"&amp;AK$122)),INDIRECT(CONCATENATE("$AF$"&amp;AK$121)),IF($K129=INDIRECT(CONCATENATE("$AE$"&amp;AK$122)),INDIRECT(CONCATENATE("$AE$"&amp;AK$121)),IF($K129=INDIRECT(CONCATENATE("$AD$"&amp;AK$122)),INDIRECT(CONCATENATE("$AD$"&amp;AK$121)),IF($K129=INDIRECT(CONCATENATE("$AC$"&amp;AK$122)),INDIRECT(CONCATENATE("$AC$"&amp;AK$121)),IF($K129=INDIRECT(CONCATENATE("$AB$"&amp;AK$122)),INDIRECT(CONCATENATE("$AB$"&amp;AK$121)),IF($K129=INDIRECT(CONCATENATE("$AA$"&amp;AK$122)),INDIRECT(CONCATENATE("$AA$"&amp;AK$121)),IF($K129=INDIRECT(CONCATENATE("$Z$"&amp;AK$122)),INDIRECT(CONCATENATE("$Z$"&amp;AK$121)),
IF($K129=INDIRECT(CONCATENATE("$Y$"&amp;AK$122)),INDIRECT(CONCATENATE("$Y$"&amp;AK$121)),IF($K129=INDIRECT(CONCATENATE("$X$"&amp;AK$122)),INDIRECT(CONCATENATE("$X$"&amp;AK$121)),IF($K129=INDIRECT(CONCATENATE("$W$"&amp;AK$122)),INDIRECT(CONCATENATE("$W$"&amp;AK$121)),IF($K129=INDIRECT(CONCATENATE("$V$"&amp;AK$122)),INDIRECT(CONCATENATE("$V$"&amp;AK$121)),IF($K129=INDIRECT(CONCATENATE("$U$"&amp;AK$122)),INDIRECT(CONCATENATE("$U$"&amp;AK$121)),IF($K129=INDIRECT(CONCATENATE("$T$"&amp;AK$122)),INDIRECT(CONCATENATE("$T$"&amp;AK$121)),IF($K129=INDIRECT(CONCATENATE("$S$"&amp;AK$122)),INDIRECT(CONCATENATE("$S$"&amp;AK$121)),IF($K129=INDIRECT(CONCATENATE("$R$"&amp;AK$122)),INDIRECT(CONCATENATE("$R$"&amp;AK$121)),IF($K129=INDIRECT(CONCATENATE("$Q$"&amp;AK$122)),INDIRECT(CONCATENATE("$Q$"&amp;AK$121)),
IF($K129=INDIRECT(CONCATENATE("$P$"&amp;AK$122)),INDIRECT(CONCATENATE("$P$"&amp;AK$121)),IF($K129=INDIRECT(CONCATENATE("$O$"&amp;AK$122)),INDIRECT(CONCATENATE("$O$"&amp;AK$121)),IF($K129=INDIRECT(CONCATENATE("$N$"&amp;AK$122)),INDIRECT(CONCATENATE("$N$"&amp;AK$121)),IF($K129=INDIRECT(CONCATENATE("$M$"&amp;AK$122)),INDIRECT(CONCATENATE("$M$"&amp;AK$121)),IF($K129=INDIRECT(CONCATENATE("$L$"&amp;AK$122)),INDIRECT(CONCATENATE("$L$"&amp;AK$121)),IF($K129=INDIRECT(CONCATENATE("$K$"&amp;AK$122)),INDIRECT(CONCATENATE("$K$"&amp;AK$121)),IF($K129=INDIRECT(CONCATENATE("$J$"&amp;AK$122)),INDIRECT(CONCATENATE("$J$"&amp;AK$121)),IF($K129=INDIRECT(CONCATENATE("$I$"&amp;AK$122)),INDIRECT(CONCATENATE("$I$"&amp;AK$121)),IF($K129=INDIRECT(CONCATENATE("$H$"&amp;AK$122)),INDIRECT(CONCATENATE("$H$"&amp;AK$121)),IF($K129=INDIRECT(CONCATENATE("$G$"&amp;AK$122)),INDIRECT(CONCATENATE("$G$"&amp;AK$121)),IF($K129=INDIRECT(CONCATENATE("$F$"&amp;AK$122)),INDIRECT(CONCATENATE("$F$"&amp;AK$121)),IF($K129=INDIRECT(CONCATENATE("$E$"&amp;AK$122)),INDIRECT(CONCATENATE("$E$"&amp;AK$121)),IF($K129=INDIRECT(CONCATENATE("$D$"&amp;AK$122)),INDIRECT(CONCATENATE("$D$"&amp;AK$121)),IF($K129=INDIRECT(CONCATENATE("$C$"&amp;AK$122)),INDIRECT(CONCATENATE("$C$"&amp;AK$121)),IF($K129=INDIRECT(CONCATENATE("$B$"&amp;AK$122)),INDIRECT(CONCATENATE("$B$"&amp;AK$121)),"X")))))))))))))))))))))))))))))))</f>
        <v>X</v>
      </c>
      <c r="BN129" s="6" t="str">
        <f t="shared" ca="1" si="416"/>
        <v>X</v>
      </c>
      <c r="BO129" s="6" t="str">
        <f t="shared" ref="BO129:BP141" ca="1" si="417">IF($K129=INDIRECT(CONCATENATE("$AF$"&amp;AM$122)),INDIRECT(CONCATENATE("$AF$"&amp;AM$121)),IF($K129=INDIRECT(CONCATENATE("$AE$"&amp;AM$122)),INDIRECT(CONCATENATE("$AE$"&amp;AM$121)),IF($K129=INDIRECT(CONCATENATE("$AD$"&amp;AM$122)),INDIRECT(CONCATENATE("$AD$"&amp;AM$121)),IF($K129=INDIRECT(CONCATENATE("$AC$"&amp;AM$122)),INDIRECT(CONCATENATE("$AC$"&amp;AM$121)),IF($K129=INDIRECT(CONCATENATE("$AB$"&amp;AM$122)),INDIRECT(CONCATENATE("$AB$"&amp;AM$121)),IF($K129=INDIRECT(CONCATENATE("$AA$"&amp;AM$122)),INDIRECT(CONCATENATE("$AA$"&amp;AM$121)),IF($K129=INDIRECT(CONCATENATE("$Z$"&amp;AM$122)),INDIRECT(CONCATENATE("$Z$"&amp;AM$121)),
IF($K129=INDIRECT(CONCATENATE("$Y$"&amp;AM$122)),INDIRECT(CONCATENATE("$Y$"&amp;AM$121)),IF($K129=INDIRECT(CONCATENATE("$X$"&amp;AM$122)),INDIRECT(CONCATENATE("$X$"&amp;AM$121)),IF($K129=INDIRECT(CONCATENATE("$W$"&amp;AM$122)),INDIRECT(CONCATENATE("$W$"&amp;AM$121)),IF($K129=INDIRECT(CONCATENATE("$V$"&amp;AM$122)),INDIRECT(CONCATENATE("$V$"&amp;AM$121)),IF($K129=INDIRECT(CONCATENATE("$U$"&amp;AM$122)),INDIRECT(CONCATENATE("$U$"&amp;AM$121)),IF($K129=INDIRECT(CONCATENATE("$T$"&amp;AM$122)),INDIRECT(CONCATENATE("$T$"&amp;AM$121)),IF($K129=INDIRECT(CONCATENATE("$S$"&amp;AM$122)),INDIRECT(CONCATENATE("$S$"&amp;AM$121)),IF($K129=INDIRECT(CONCATENATE("$R$"&amp;AM$122)),INDIRECT(CONCATENATE("$R$"&amp;AM$121)),IF($K129=INDIRECT(CONCATENATE("$Q$"&amp;AM$122)),INDIRECT(CONCATENATE("$Q$"&amp;AM$121)),
IF($K129=INDIRECT(CONCATENATE("$P$"&amp;AM$122)),INDIRECT(CONCATENATE("$P$"&amp;AM$121)),IF($K129=INDIRECT(CONCATENATE("$O$"&amp;AM$122)),INDIRECT(CONCATENATE("$O$"&amp;AM$121)),IF($K129=INDIRECT(CONCATENATE("$N$"&amp;AM$122)),INDIRECT(CONCATENATE("$N$"&amp;AM$121)),IF($K129=INDIRECT(CONCATENATE("$M$"&amp;AM$122)),INDIRECT(CONCATENATE("$M$"&amp;AM$121)),IF($K129=INDIRECT(CONCATENATE("$L$"&amp;AM$122)),INDIRECT(CONCATENATE("$L$"&amp;AM$121)),IF($K129=INDIRECT(CONCATENATE("$K$"&amp;AM$122)),INDIRECT(CONCATENATE("$K$"&amp;AM$121)),IF($K129=INDIRECT(CONCATENATE("$J$"&amp;AM$122)),INDIRECT(CONCATENATE("$J$"&amp;AM$121)),IF($K129=INDIRECT(CONCATENATE("$I$"&amp;AM$122)),INDIRECT(CONCATENATE("$I$"&amp;AM$121)),IF($K129=INDIRECT(CONCATENATE("$H$"&amp;AM$122)),INDIRECT(CONCATENATE("$H$"&amp;AM$121)),IF($K129=INDIRECT(CONCATENATE("$G$"&amp;AM$122)),INDIRECT(CONCATENATE("$G$"&amp;AM$121)),IF($K129=INDIRECT(CONCATENATE("$F$"&amp;AM$122)),INDIRECT(CONCATENATE("$F$"&amp;AM$121)),IF($K129=INDIRECT(CONCATENATE("$E$"&amp;AM$122)),INDIRECT(CONCATENATE("$E$"&amp;AM$121)),IF($K129=INDIRECT(CONCATENATE("$D$"&amp;AM$122)),INDIRECT(CONCATENATE("$D$"&amp;AM$121)),IF($K129=INDIRECT(CONCATENATE("$C$"&amp;AM$122)),INDIRECT(CONCATENATE("$C$"&amp;AM$121)),IF($K129=INDIRECT(CONCATENATE("$B$"&amp;AM$122)),INDIRECT(CONCATENATE("$B$"&amp;AM$121)),"X")))))))))))))))))))))))))))))))</f>
        <v>X</v>
      </c>
      <c r="BP129" s="6" t="str">
        <f t="shared" ca="1" si="417"/>
        <v>X</v>
      </c>
      <c r="BQ129" s="6" t="str">
        <f t="shared" ref="BQ129:BR141" ca="1" si="418">IF($K129=INDIRECT(CONCATENATE("$AF$"&amp;AO$122)),INDIRECT(CONCATENATE("$AF$"&amp;AO$121)),IF($K129=INDIRECT(CONCATENATE("$AE$"&amp;AO$122)),INDIRECT(CONCATENATE("$AE$"&amp;AO$121)),IF($K129=INDIRECT(CONCATENATE("$AD$"&amp;AO$122)),INDIRECT(CONCATENATE("$AD$"&amp;AO$121)),IF($K129=INDIRECT(CONCATENATE("$AC$"&amp;AO$122)),INDIRECT(CONCATENATE("$AC$"&amp;AO$121)),IF($K129=INDIRECT(CONCATENATE("$AB$"&amp;AO$122)),INDIRECT(CONCATENATE("$AB$"&amp;AO$121)),IF($K129=INDIRECT(CONCATENATE("$AA$"&amp;AO$122)),INDIRECT(CONCATENATE("$AA$"&amp;AO$121)),IF($K129=INDIRECT(CONCATENATE("$Z$"&amp;AO$122)),INDIRECT(CONCATENATE("$Z$"&amp;AO$121)),
IF($K129=INDIRECT(CONCATENATE("$Y$"&amp;AO$122)),INDIRECT(CONCATENATE("$Y$"&amp;AO$121)),IF($K129=INDIRECT(CONCATENATE("$X$"&amp;AO$122)),INDIRECT(CONCATENATE("$X$"&amp;AO$121)),IF($K129=INDIRECT(CONCATENATE("$W$"&amp;AO$122)),INDIRECT(CONCATENATE("$W$"&amp;AO$121)),IF($K129=INDIRECT(CONCATENATE("$V$"&amp;AO$122)),INDIRECT(CONCATENATE("$V$"&amp;AO$121)),IF($K129=INDIRECT(CONCATENATE("$U$"&amp;AO$122)),INDIRECT(CONCATENATE("$U$"&amp;AO$121)),IF($K129=INDIRECT(CONCATENATE("$T$"&amp;AO$122)),INDIRECT(CONCATENATE("$T$"&amp;AO$121)),IF($K129=INDIRECT(CONCATENATE("$S$"&amp;AO$122)),INDIRECT(CONCATENATE("$S$"&amp;AO$121)),IF($K129=INDIRECT(CONCATENATE("$R$"&amp;AO$122)),INDIRECT(CONCATENATE("$R$"&amp;AO$121)),IF($K129=INDIRECT(CONCATENATE("$Q$"&amp;AO$122)),INDIRECT(CONCATENATE("$Q$"&amp;AO$121)),
IF($K129=INDIRECT(CONCATENATE("$P$"&amp;AO$122)),INDIRECT(CONCATENATE("$P$"&amp;AO$121)),IF($K129=INDIRECT(CONCATENATE("$O$"&amp;AO$122)),INDIRECT(CONCATENATE("$O$"&amp;AO$121)),IF($K129=INDIRECT(CONCATENATE("$N$"&amp;AO$122)),INDIRECT(CONCATENATE("$N$"&amp;AO$121)),IF($K129=INDIRECT(CONCATENATE("$M$"&amp;AO$122)),INDIRECT(CONCATENATE("$M$"&amp;AO$121)),IF($K129=INDIRECT(CONCATENATE("$L$"&amp;AO$122)),INDIRECT(CONCATENATE("$L$"&amp;AO$121)),IF($K129=INDIRECT(CONCATENATE("$K$"&amp;AO$122)),INDIRECT(CONCATENATE("$K$"&amp;AO$121)),IF($K129=INDIRECT(CONCATENATE("$J$"&amp;AO$122)),INDIRECT(CONCATENATE("$J$"&amp;AO$121)),IF($K129=INDIRECT(CONCATENATE("$I$"&amp;AO$122)),INDIRECT(CONCATENATE("$I$"&amp;AO$121)),IF($K129=INDIRECT(CONCATENATE("$H$"&amp;AO$122)),INDIRECT(CONCATENATE("$H$"&amp;AO$121)),IF($K129=INDIRECT(CONCATENATE("$G$"&amp;AO$122)),INDIRECT(CONCATENATE("$G$"&amp;AO$121)),IF($K129=INDIRECT(CONCATENATE("$F$"&amp;AO$122)),INDIRECT(CONCATENATE("$F$"&amp;AO$121)),IF($K129=INDIRECT(CONCATENATE("$E$"&amp;AO$122)),INDIRECT(CONCATENATE("$E$"&amp;AO$121)),IF($K129=INDIRECT(CONCATENATE("$D$"&amp;AO$122)),INDIRECT(CONCATENATE("$D$"&amp;AO$121)),IF($K129=INDIRECT(CONCATENATE("$C$"&amp;AO$122)),INDIRECT(CONCATENATE("$C$"&amp;AO$121)),IF($K129=INDIRECT(CONCATENATE("$B$"&amp;AO$122)),INDIRECT(CONCATENATE("$B$"&amp;AO$121)),"X")))))))))))))))))))))))))))))))</f>
        <v>X</v>
      </c>
      <c r="BR129" s="6" t="str">
        <f t="shared" ca="1" si="418"/>
        <v>X</v>
      </c>
      <c r="BS129" s="6" t="str">
        <f t="shared" ref="BS129:BT141" ca="1" si="419">IF($K129=INDIRECT(CONCATENATE("$AF$"&amp;AQ$122)),INDIRECT(CONCATENATE("$AF$"&amp;AQ$121)),IF($K129=INDIRECT(CONCATENATE("$AE$"&amp;AQ$122)),INDIRECT(CONCATENATE("$AE$"&amp;AQ$121)),IF($K129=INDIRECT(CONCATENATE("$AD$"&amp;AQ$122)),INDIRECT(CONCATENATE("$AD$"&amp;AQ$121)),IF($K129=INDIRECT(CONCATENATE("$AC$"&amp;AQ$122)),INDIRECT(CONCATENATE("$AC$"&amp;AQ$121)),IF($K129=INDIRECT(CONCATENATE("$AB$"&amp;AQ$122)),INDIRECT(CONCATENATE("$AB$"&amp;AQ$121)),IF($K129=INDIRECT(CONCATENATE("$AA$"&amp;AQ$122)),INDIRECT(CONCATENATE("$AA$"&amp;AQ$121)),IF($K129=INDIRECT(CONCATENATE("$Z$"&amp;AQ$122)),INDIRECT(CONCATENATE("$Z$"&amp;AQ$121)),
IF($K129=INDIRECT(CONCATENATE("$Y$"&amp;AQ$122)),INDIRECT(CONCATENATE("$Y$"&amp;AQ$121)),IF($K129=INDIRECT(CONCATENATE("$X$"&amp;AQ$122)),INDIRECT(CONCATENATE("$X$"&amp;AQ$121)),IF($K129=INDIRECT(CONCATENATE("$W$"&amp;AQ$122)),INDIRECT(CONCATENATE("$W$"&amp;AQ$121)),IF($K129=INDIRECT(CONCATENATE("$V$"&amp;AQ$122)),INDIRECT(CONCATENATE("$V$"&amp;AQ$121)),IF($K129=INDIRECT(CONCATENATE("$U$"&amp;AQ$122)),INDIRECT(CONCATENATE("$U$"&amp;AQ$121)),IF($K129=INDIRECT(CONCATENATE("$T$"&amp;AQ$122)),INDIRECT(CONCATENATE("$T$"&amp;AQ$121)),IF($K129=INDIRECT(CONCATENATE("$S$"&amp;AQ$122)),INDIRECT(CONCATENATE("$S$"&amp;AQ$121)),IF($K129=INDIRECT(CONCATENATE("$R$"&amp;AQ$122)),INDIRECT(CONCATENATE("$R$"&amp;AQ$121)),IF($K129=INDIRECT(CONCATENATE("$Q$"&amp;AQ$122)),INDIRECT(CONCATENATE("$Q$"&amp;AQ$121)),
IF($K129=INDIRECT(CONCATENATE("$P$"&amp;AQ$122)),INDIRECT(CONCATENATE("$P$"&amp;AQ$121)),IF($K129=INDIRECT(CONCATENATE("$O$"&amp;AQ$122)),INDIRECT(CONCATENATE("$O$"&amp;AQ$121)),IF($K129=INDIRECT(CONCATENATE("$N$"&amp;AQ$122)),INDIRECT(CONCATENATE("$N$"&amp;AQ$121)),IF($K129=INDIRECT(CONCATENATE("$M$"&amp;AQ$122)),INDIRECT(CONCATENATE("$M$"&amp;AQ$121)),IF($K129=INDIRECT(CONCATENATE("$L$"&amp;AQ$122)),INDIRECT(CONCATENATE("$L$"&amp;AQ$121)),IF($K129=INDIRECT(CONCATENATE("$K$"&amp;AQ$122)),INDIRECT(CONCATENATE("$K$"&amp;AQ$121)),IF($K129=INDIRECT(CONCATENATE("$J$"&amp;AQ$122)),INDIRECT(CONCATENATE("$J$"&amp;AQ$121)),IF($K129=INDIRECT(CONCATENATE("$I$"&amp;AQ$122)),INDIRECT(CONCATENATE("$I$"&amp;AQ$121)),IF($K129=INDIRECT(CONCATENATE("$H$"&amp;AQ$122)),INDIRECT(CONCATENATE("$H$"&amp;AQ$121)),IF($K129=INDIRECT(CONCATENATE("$G$"&amp;AQ$122)),INDIRECT(CONCATENATE("$G$"&amp;AQ$121)),IF($K129=INDIRECT(CONCATENATE("$F$"&amp;AQ$122)),INDIRECT(CONCATENATE("$F$"&amp;AQ$121)),IF($K129=INDIRECT(CONCATENATE("$E$"&amp;AQ$122)),INDIRECT(CONCATENATE("$E$"&amp;AQ$121)),IF($K129=INDIRECT(CONCATENATE("$D$"&amp;AQ$122)),INDIRECT(CONCATENATE("$D$"&amp;AQ$121)),IF($K129=INDIRECT(CONCATENATE("$C$"&amp;AQ$122)),INDIRECT(CONCATENATE("$C$"&amp;AQ$121)),IF($K129=INDIRECT(CONCATENATE("$B$"&amp;AQ$122)),INDIRECT(CONCATENATE("$B$"&amp;AQ$121)),"X")))))))))))))))))))))))))))))))</f>
        <v>X</v>
      </c>
      <c r="BT129" s="6" t="str">
        <f t="shared" ca="1" si="419"/>
        <v>X</v>
      </c>
      <c r="BU129" s="6" t="str">
        <f t="shared" ref="BU129:BV141" ca="1" si="420">IF($K129=INDIRECT(CONCATENATE("$AF$"&amp;AS$122)),INDIRECT(CONCATENATE("$AF$"&amp;AS$121)),IF($K129=INDIRECT(CONCATENATE("$AE$"&amp;AS$122)),INDIRECT(CONCATENATE("$AE$"&amp;AS$121)),IF($K129=INDIRECT(CONCATENATE("$AD$"&amp;AS$122)),INDIRECT(CONCATENATE("$AD$"&amp;AS$121)),IF($K129=INDIRECT(CONCATENATE("$AC$"&amp;AS$122)),INDIRECT(CONCATENATE("$AC$"&amp;AS$121)),IF($K129=INDIRECT(CONCATENATE("$AB$"&amp;AS$122)),INDIRECT(CONCATENATE("$AB$"&amp;AS$121)),IF($K129=INDIRECT(CONCATENATE("$AA$"&amp;AS$122)),INDIRECT(CONCATENATE("$AA$"&amp;AS$121)),IF($K129=INDIRECT(CONCATENATE("$Z$"&amp;AS$122)),INDIRECT(CONCATENATE("$Z$"&amp;AS$121)),
IF($K129=INDIRECT(CONCATENATE("$Y$"&amp;AS$122)),INDIRECT(CONCATENATE("$Y$"&amp;AS$121)),IF($K129=INDIRECT(CONCATENATE("$X$"&amp;AS$122)),INDIRECT(CONCATENATE("$X$"&amp;AS$121)),IF($K129=INDIRECT(CONCATENATE("$W$"&amp;AS$122)),INDIRECT(CONCATENATE("$W$"&amp;AS$121)),IF($K129=INDIRECT(CONCATENATE("$V$"&amp;AS$122)),INDIRECT(CONCATENATE("$V$"&amp;AS$121)),IF($K129=INDIRECT(CONCATENATE("$U$"&amp;AS$122)),INDIRECT(CONCATENATE("$U$"&amp;AS$121)),IF($K129=INDIRECT(CONCATENATE("$T$"&amp;AS$122)),INDIRECT(CONCATENATE("$T$"&amp;AS$121)),IF($K129=INDIRECT(CONCATENATE("$S$"&amp;AS$122)),INDIRECT(CONCATENATE("$S$"&amp;AS$121)),IF($K129=INDIRECT(CONCATENATE("$R$"&amp;AS$122)),INDIRECT(CONCATENATE("$R$"&amp;AS$121)),IF($K129=INDIRECT(CONCATENATE("$Q$"&amp;AS$122)),INDIRECT(CONCATENATE("$Q$"&amp;AS$121)),
IF($K129=INDIRECT(CONCATENATE("$P$"&amp;AS$122)),INDIRECT(CONCATENATE("$P$"&amp;AS$121)),IF($K129=INDIRECT(CONCATENATE("$O$"&amp;AS$122)),INDIRECT(CONCATENATE("$O$"&amp;AS$121)),IF($K129=INDIRECT(CONCATENATE("$N$"&amp;AS$122)),INDIRECT(CONCATENATE("$N$"&amp;AS$121)),IF($K129=INDIRECT(CONCATENATE("$M$"&amp;AS$122)),INDIRECT(CONCATENATE("$M$"&amp;AS$121)),IF($K129=INDIRECT(CONCATENATE("$L$"&amp;AS$122)),INDIRECT(CONCATENATE("$L$"&amp;AS$121)),IF($K129=INDIRECT(CONCATENATE("$K$"&amp;AS$122)),INDIRECT(CONCATENATE("$K$"&amp;AS$121)),IF($K129=INDIRECT(CONCATENATE("$J$"&amp;AS$122)),INDIRECT(CONCATENATE("$J$"&amp;AS$121)),IF($K129=INDIRECT(CONCATENATE("$I$"&amp;AS$122)),INDIRECT(CONCATENATE("$I$"&amp;AS$121)),IF($K129=INDIRECT(CONCATENATE("$H$"&amp;AS$122)),INDIRECT(CONCATENATE("$H$"&amp;AS$121)),IF($K129=INDIRECT(CONCATENATE("$G$"&amp;AS$122)),INDIRECT(CONCATENATE("$G$"&amp;AS$121)),IF($K129=INDIRECT(CONCATENATE("$F$"&amp;AS$122)),INDIRECT(CONCATENATE("$F$"&amp;AS$121)),IF($K129=INDIRECT(CONCATENATE("$E$"&amp;AS$122)),INDIRECT(CONCATENATE("$E$"&amp;AS$121)),IF($K129=INDIRECT(CONCATENATE("$D$"&amp;AS$122)),INDIRECT(CONCATENATE("$D$"&amp;AS$121)),IF($K129=INDIRECT(CONCATENATE("$C$"&amp;AS$122)),INDIRECT(CONCATENATE("$C$"&amp;AS$121)),IF($K129=INDIRECT(CONCATENATE("$B$"&amp;AS$122)),INDIRECT(CONCATENATE("$B$"&amp;AS$121)),"X")))))))))))))))))))))))))))))))</f>
        <v>X</v>
      </c>
      <c r="BV129" s="6" t="str">
        <f t="shared" ca="1" si="420"/>
        <v>X</v>
      </c>
      <c r="BW129" s="6" t="str">
        <f t="shared" ref="BW129:BX141" ca="1" si="421">IF($K129=INDIRECT(CONCATENATE("$AF$"&amp;AU$122)),INDIRECT(CONCATENATE("$AF$"&amp;AU$121)),IF($K129=INDIRECT(CONCATENATE("$AE$"&amp;AU$122)),INDIRECT(CONCATENATE("$AE$"&amp;AU$121)),IF($K129=INDIRECT(CONCATENATE("$AD$"&amp;AU$122)),INDIRECT(CONCATENATE("$AD$"&amp;AU$121)),IF($K129=INDIRECT(CONCATENATE("$AC$"&amp;AU$122)),INDIRECT(CONCATENATE("$AC$"&amp;AU$121)),IF($K129=INDIRECT(CONCATENATE("$AB$"&amp;AU$122)),INDIRECT(CONCATENATE("$AB$"&amp;AU$121)),IF($K129=INDIRECT(CONCATENATE("$AA$"&amp;AU$122)),INDIRECT(CONCATENATE("$AA$"&amp;AU$121)),IF($K129=INDIRECT(CONCATENATE("$Z$"&amp;AU$122)),INDIRECT(CONCATENATE("$Z$"&amp;AU$121)),
IF($K129=INDIRECT(CONCATENATE("$Y$"&amp;AU$122)),INDIRECT(CONCATENATE("$Y$"&amp;AU$121)),IF($K129=INDIRECT(CONCATENATE("$X$"&amp;AU$122)),INDIRECT(CONCATENATE("$X$"&amp;AU$121)),IF($K129=INDIRECT(CONCATENATE("$W$"&amp;AU$122)),INDIRECT(CONCATENATE("$W$"&amp;AU$121)),IF($K129=INDIRECT(CONCATENATE("$V$"&amp;AU$122)),INDIRECT(CONCATENATE("$V$"&amp;AU$121)),IF($K129=INDIRECT(CONCATENATE("$U$"&amp;AU$122)),INDIRECT(CONCATENATE("$U$"&amp;AU$121)),IF($K129=INDIRECT(CONCATENATE("$T$"&amp;AU$122)),INDIRECT(CONCATENATE("$T$"&amp;AU$121)),IF($K129=INDIRECT(CONCATENATE("$S$"&amp;AU$122)),INDIRECT(CONCATENATE("$S$"&amp;AU$121)),IF($K129=INDIRECT(CONCATENATE("$R$"&amp;AU$122)),INDIRECT(CONCATENATE("$R$"&amp;AU$121)),IF($K129=INDIRECT(CONCATENATE("$Q$"&amp;AU$122)),INDIRECT(CONCATENATE("$Q$"&amp;AU$121)),
IF($K129=INDIRECT(CONCATENATE("$P$"&amp;AU$122)),INDIRECT(CONCATENATE("$P$"&amp;AU$121)),IF($K129=INDIRECT(CONCATENATE("$O$"&amp;AU$122)),INDIRECT(CONCATENATE("$O$"&amp;AU$121)),IF($K129=INDIRECT(CONCATENATE("$N$"&amp;AU$122)),INDIRECT(CONCATENATE("$N$"&amp;AU$121)),IF($K129=INDIRECT(CONCATENATE("$M$"&amp;AU$122)),INDIRECT(CONCATENATE("$M$"&amp;AU$121)),IF($K129=INDIRECT(CONCATENATE("$L$"&amp;AU$122)),INDIRECT(CONCATENATE("$L$"&amp;AU$121)),IF($K129=INDIRECT(CONCATENATE("$K$"&amp;AU$122)),INDIRECT(CONCATENATE("$K$"&amp;AU$121)),IF($K129=INDIRECT(CONCATENATE("$J$"&amp;AU$122)),INDIRECT(CONCATENATE("$J$"&amp;AU$121)),IF($K129=INDIRECT(CONCATENATE("$I$"&amp;AU$122)),INDIRECT(CONCATENATE("$I$"&amp;AU$121)),IF($K129=INDIRECT(CONCATENATE("$H$"&amp;AU$122)),INDIRECT(CONCATENATE("$H$"&amp;AU$121)),IF($K129=INDIRECT(CONCATENATE("$G$"&amp;AU$122)),INDIRECT(CONCATENATE("$G$"&amp;AU$121)),IF($K129=INDIRECT(CONCATENATE("$F$"&amp;AU$122)),INDIRECT(CONCATENATE("$F$"&amp;AU$121)),IF($K129=INDIRECT(CONCATENATE("$E$"&amp;AU$122)),INDIRECT(CONCATENATE("$E$"&amp;AU$121)),IF($K129=INDIRECT(CONCATENATE("$D$"&amp;AU$122)),INDIRECT(CONCATENATE("$D$"&amp;AU$121)),IF($K129=INDIRECT(CONCATENATE("$C$"&amp;AU$122)),INDIRECT(CONCATENATE("$C$"&amp;AU$121)),IF($K129=INDIRECT(CONCATENATE("$B$"&amp;AU$122)),INDIRECT(CONCATENATE("$B$"&amp;AU$121)),"X")))))))))))))))))))))))))))))))</f>
        <v>X</v>
      </c>
      <c r="BX129" s="6" t="str">
        <f t="shared" ca="1" si="421"/>
        <v>X</v>
      </c>
      <c r="BY129" s="6" t="str">
        <f t="shared" ref="BY129:BZ141" ca="1" si="422">IF($K129=INDIRECT(CONCATENATE("$AF$"&amp;AW$122)),INDIRECT(CONCATENATE("$AF$"&amp;AW$121)),IF($K129=INDIRECT(CONCATENATE("$AE$"&amp;AW$122)),INDIRECT(CONCATENATE("$AE$"&amp;AW$121)),IF($K129=INDIRECT(CONCATENATE("$AD$"&amp;AW$122)),INDIRECT(CONCATENATE("$AD$"&amp;AW$121)),IF($K129=INDIRECT(CONCATENATE("$AC$"&amp;AW$122)),INDIRECT(CONCATENATE("$AC$"&amp;AW$121)),IF($K129=INDIRECT(CONCATENATE("$AB$"&amp;AW$122)),INDIRECT(CONCATENATE("$AB$"&amp;AW$121)),IF($K129=INDIRECT(CONCATENATE("$AA$"&amp;AW$122)),INDIRECT(CONCATENATE("$AA$"&amp;AW$121)),IF($K129=INDIRECT(CONCATENATE("$Z$"&amp;AW$122)),INDIRECT(CONCATENATE("$Z$"&amp;AW$121)),
IF($K129=INDIRECT(CONCATENATE("$Y$"&amp;AW$122)),INDIRECT(CONCATENATE("$Y$"&amp;AW$121)),IF($K129=INDIRECT(CONCATENATE("$X$"&amp;AW$122)),INDIRECT(CONCATENATE("$X$"&amp;AW$121)),IF($K129=INDIRECT(CONCATENATE("$W$"&amp;AW$122)),INDIRECT(CONCATENATE("$W$"&amp;AW$121)),IF($K129=INDIRECT(CONCATENATE("$V$"&amp;AW$122)),INDIRECT(CONCATENATE("$V$"&amp;AW$121)),IF($K129=INDIRECT(CONCATENATE("$U$"&amp;AW$122)),INDIRECT(CONCATENATE("$U$"&amp;AW$121)),IF($K129=INDIRECT(CONCATENATE("$T$"&amp;AW$122)),INDIRECT(CONCATENATE("$T$"&amp;AW$121)),IF($K129=INDIRECT(CONCATENATE("$S$"&amp;AW$122)),INDIRECT(CONCATENATE("$S$"&amp;AW$121)),IF($K129=INDIRECT(CONCATENATE("$R$"&amp;AW$122)),INDIRECT(CONCATENATE("$R$"&amp;AW$121)),IF($K129=INDIRECT(CONCATENATE("$Q$"&amp;AW$122)),INDIRECT(CONCATENATE("$Q$"&amp;AW$121)),
IF($K129=INDIRECT(CONCATENATE("$P$"&amp;AW$122)),INDIRECT(CONCATENATE("$P$"&amp;AW$121)),IF($K129=INDIRECT(CONCATENATE("$O$"&amp;AW$122)),INDIRECT(CONCATENATE("$O$"&amp;AW$121)),IF($K129=INDIRECT(CONCATENATE("$N$"&amp;AW$122)),INDIRECT(CONCATENATE("$N$"&amp;AW$121)),IF($K129=INDIRECT(CONCATENATE("$M$"&amp;AW$122)),INDIRECT(CONCATENATE("$M$"&amp;AW$121)),IF($K129=INDIRECT(CONCATENATE("$L$"&amp;AW$122)),INDIRECT(CONCATENATE("$L$"&amp;AW$121)),IF($K129=INDIRECT(CONCATENATE("$K$"&amp;AW$122)),INDIRECT(CONCATENATE("$K$"&amp;AW$121)),IF($K129=INDIRECT(CONCATENATE("$J$"&amp;AW$122)),INDIRECT(CONCATENATE("$J$"&amp;AW$121)),IF($K129=INDIRECT(CONCATENATE("$I$"&amp;AW$122)),INDIRECT(CONCATENATE("$I$"&amp;AW$121)),IF($K129=INDIRECT(CONCATENATE("$H$"&amp;AW$122)),INDIRECT(CONCATENATE("$H$"&amp;AW$121)),IF($K129=INDIRECT(CONCATENATE("$G$"&amp;AW$122)),INDIRECT(CONCATENATE("$G$"&amp;AW$121)),IF($K129=INDIRECT(CONCATENATE("$F$"&amp;AW$122)),INDIRECT(CONCATENATE("$F$"&amp;AW$121)),IF($K129=INDIRECT(CONCATENATE("$E$"&amp;AW$122)),INDIRECT(CONCATENATE("$E$"&amp;AW$121)),IF($K129=INDIRECT(CONCATENATE("$D$"&amp;AW$122)),INDIRECT(CONCATENATE("$D$"&amp;AW$121)),IF($K129=INDIRECT(CONCATENATE("$C$"&amp;AW$122)),INDIRECT(CONCATENATE("$C$"&amp;AW$121)),IF($K129=INDIRECT(CONCATENATE("$B$"&amp;AW$122)),INDIRECT(CONCATENATE("$B$"&amp;AW$121)),"X")))))))))))))))))))))))))))))))</f>
        <v>X</v>
      </c>
      <c r="BZ129" s="6" t="str">
        <f t="shared" ca="1" si="422"/>
        <v>X</v>
      </c>
      <c r="CA129" s="6" t="str">
        <f t="shared" ref="CA129:CB141" ca="1" si="423">IF($K129=INDIRECT(CONCATENATE("$AF$"&amp;AY$122)),INDIRECT(CONCATENATE("$AF$"&amp;AY$121)),IF($K129=INDIRECT(CONCATENATE("$AE$"&amp;AY$122)),INDIRECT(CONCATENATE("$AE$"&amp;AY$121)),IF($K129=INDIRECT(CONCATENATE("$AD$"&amp;AY$122)),INDIRECT(CONCATENATE("$AD$"&amp;AY$121)),IF($K129=INDIRECT(CONCATENATE("$AC$"&amp;AY$122)),INDIRECT(CONCATENATE("$AC$"&amp;AY$121)),IF($K129=INDIRECT(CONCATENATE("$AB$"&amp;AY$122)),INDIRECT(CONCATENATE("$AB$"&amp;AY$121)),IF($K129=INDIRECT(CONCATENATE("$AA$"&amp;AY$122)),INDIRECT(CONCATENATE("$AA$"&amp;AY$121)),IF($K129=INDIRECT(CONCATENATE("$Z$"&amp;AY$122)),INDIRECT(CONCATENATE("$Z$"&amp;AY$121)),
IF($K129=INDIRECT(CONCATENATE("$Y$"&amp;AY$122)),INDIRECT(CONCATENATE("$Y$"&amp;AY$121)),IF($K129=INDIRECT(CONCATENATE("$X$"&amp;AY$122)),INDIRECT(CONCATENATE("$X$"&amp;AY$121)),IF($K129=INDIRECT(CONCATENATE("$W$"&amp;AY$122)),INDIRECT(CONCATENATE("$W$"&amp;AY$121)),IF($K129=INDIRECT(CONCATENATE("$V$"&amp;AY$122)),INDIRECT(CONCATENATE("$V$"&amp;AY$121)),IF($K129=INDIRECT(CONCATENATE("$U$"&amp;AY$122)),INDIRECT(CONCATENATE("$U$"&amp;AY$121)),IF($K129=INDIRECT(CONCATENATE("$T$"&amp;AY$122)),INDIRECT(CONCATENATE("$T$"&amp;AY$121)),IF($K129=INDIRECT(CONCATENATE("$S$"&amp;AY$122)),INDIRECT(CONCATENATE("$S$"&amp;AY$121)),IF($K129=INDIRECT(CONCATENATE("$R$"&amp;AY$122)),INDIRECT(CONCATENATE("$R$"&amp;AY$121)),IF($K129=INDIRECT(CONCATENATE("$Q$"&amp;AY$122)),INDIRECT(CONCATENATE("$Q$"&amp;AY$121)),
IF($K129=INDIRECT(CONCATENATE("$P$"&amp;AY$122)),INDIRECT(CONCATENATE("$P$"&amp;AY$121)),IF($K129=INDIRECT(CONCATENATE("$O$"&amp;AY$122)),INDIRECT(CONCATENATE("$O$"&amp;AY$121)),IF($K129=INDIRECT(CONCATENATE("$N$"&amp;AY$122)),INDIRECT(CONCATENATE("$N$"&amp;AY$121)),IF($K129=INDIRECT(CONCATENATE("$M$"&amp;AY$122)),INDIRECT(CONCATENATE("$M$"&amp;AY$121)),IF($K129=INDIRECT(CONCATENATE("$L$"&amp;AY$122)),INDIRECT(CONCATENATE("$L$"&amp;AY$121)),IF($K129=INDIRECT(CONCATENATE("$K$"&amp;AY$122)),INDIRECT(CONCATENATE("$K$"&amp;AY$121)),IF($K129=INDIRECT(CONCATENATE("$J$"&amp;AY$122)),INDIRECT(CONCATENATE("$J$"&amp;AY$121)),IF($K129=INDIRECT(CONCATENATE("$I$"&amp;AY$122)),INDIRECT(CONCATENATE("$I$"&amp;AY$121)),IF($K129=INDIRECT(CONCATENATE("$H$"&amp;AY$122)),INDIRECT(CONCATENATE("$H$"&amp;AY$121)),IF($K129=INDIRECT(CONCATENATE("$G$"&amp;AY$122)),INDIRECT(CONCATENATE("$G$"&amp;AY$121)),IF($K129=INDIRECT(CONCATENATE("$F$"&amp;AY$122)),INDIRECT(CONCATENATE("$F$"&amp;AY$121)),IF($K129=INDIRECT(CONCATENATE("$E$"&amp;AY$122)),INDIRECT(CONCATENATE("$E$"&amp;AY$121)),IF($K129=INDIRECT(CONCATENATE("$D$"&amp;AY$122)),INDIRECT(CONCATENATE("$D$"&amp;AY$121)),IF($K129=INDIRECT(CONCATENATE("$C$"&amp;AY$122)),INDIRECT(CONCATENATE("$C$"&amp;AY$121)),IF($K129=INDIRECT(CONCATENATE("$B$"&amp;AY$122)),INDIRECT(CONCATENATE("$B$"&amp;AY$121)),"X")))))))))))))))))))))))))))))))</f>
        <v>X</v>
      </c>
      <c r="CB129" s="6" t="str">
        <f t="shared" ca="1" si="423"/>
        <v>X</v>
      </c>
      <c r="CC129" s="6" t="str">
        <f t="shared" ref="CC129:CD141" ca="1" si="424">IF($K129=INDIRECT(CONCATENATE("$AF$"&amp;BA$122)),INDIRECT(CONCATENATE("$AF$"&amp;BA$121)),IF($K129=INDIRECT(CONCATENATE("$AE$"&amp;BA$122)),INDIRECT(CONCATENATE("$AE$"&amp;BA$121)),IF($K129=INDIRECT(CONCATENATE("$AD$"&amp;BA$122)),INDIRECT(CONCATENATE("$AD$"&amp;BA$121)),IF($K129=INDIRECT(CONCATENATE("$AC$"&amp;BA$122)),INDIRECT(CONCATENATE("$AC$"&amp;BA$121)),IF($K129=INDIRECT(CONCATENATE("$AB$"&amp;BA$122)),INDIRECT(CONCATENATE("$AB$"&amp;BA$121)),IF($K129=INDIRECT(CONCATENATE("$AA$"&amp;BA$122)),INDIRECT(CONCATENATE("$AA$"&amp;BA$121)),IF($K129=INDIRECT(CONCATENATE("$Z$"&amp;BA$122)),INDIRECT(CONCATENATE("$Z$"&amp;BA$121)),
IF($K129=INDIRECT(CONCATENATE("$Y$"&amp;BA$122)),INDIRECT(CONCATENATE("$Y$"&amp;BA$121)),IF($K129=INDIRECT(CONCATENATE("$X$"&amp;BA$122)),INDIRECT(CONCATENATE("$X$"&amp;BA$121)),IF($K129=INDIRECT(CONCATENATE("$W$"&amp;BA$122)),INDIRECT(CONCATENATE("$W$"&amp;BA$121)),IF($K129=INDIRECT(CONCATENATE("$V$"&amp;BA$122)),INDIRECT(CONCATENATE("$V$"&amp;BA$121)),IF($K129=INDIRECT(CONCATENATE("$U$"&amp;BA$122)),INDIRECT(CONCATENATE("$U$"&amp;BA$121)),IF($K129=INDIRECT(CONCATENATE("$T$"&amp;BA$122)),INDIRECT(CONCATENATE("$T$"&amp;BA$121)),IF($K129=INDIRECT(CONCATENATE("$S$"&amp;BA$122)),INDIRECT(CONCATENATE("$S$"&amp;BA$121)),IF($K129=INDIRECT(CONCATENATE("$R$"&amp;BA$122)),INDIRECT(CONCATENATE("$R$"&amp;BA$121)),IF($K129=INDIRECT(CONCATENATE("$Q$"&amp;BA$122)),INDIRECT(CONCATENATE("$Q$"&amp;BA$121)),
IF($K129=INDIRECT(CONCATENATE("$P$"&amp;BA$122)),INDIRECT(CONCATENATE("$P$"&amp;BA$121)),IF($K129=INDIRECT(CONCATENATE("$O$"&amp;BA$122)),INDIRECT(CONCATENATE("$O$"&amp;BA$121)),IF($K129=INDIRECT(CONCATENATE("$N$"&amp;BA$122)),INDIRECT(CONCATENATE("$N$"&amp;BA$121)),IF($K129=INDIRECT(CONCATENATE("$M$"&amp;BA$122)),INDIRECT(CONCATENATE("$M$"&amp;BA$121)),IF($K129=INDIRECT(CONCATENATE("$L$"&amp;BA$122)),INDIRECT(CONCATENATE("$L$"&amp;BA$121)),IF($K129=INDIRECT(CONCATENATE("$K$"&amp;BA$122)),INDIRECT(CONCATENATE("$K$"&amp;BA$121)),IF($K129=INDIRECT(CONCATENATE("$J$"&amp;BA$122)),INDIRECT(CONCATENATE("$J$"&amp;BA$121)),IF($K129=INDIRECT(CONCATENATE("$I$"&amp;BA$122)),INDIRECT(CONCATENATE("$I$"&amp;BA$121)),IF($K129=INDIRECT(CONCATENATE("$H$"&amp;BA$122)),INDIRECT(CONCATENATE("$H$"&amp;BA$121)),IF($K129=INDIRECT(CONCATENATE("$G$"&amp;BA$122)),INDIRECT(CONCATENATE("$G$"&amp;BA$121)),IF($K129=INDIRECT(CONCATENATE("$F$"&amp;BA$122)),INDIRECT(CONCATENATE("$F$"&amp;BA$121)),IF($K129=INDIRECT(CONCATENATE("$E$"&amp;BA$122)),INDIRECT(CONCATENATE("$E$"&amp;BA$121)),IF($K129=INDIRECT(CONCATENATE("$D$"&amp;BA$122)),INDIRECT(CONCATENATE("$D$"&amp;BA$121)),IF($K129=INDIRECT(CONCATENATE("$C$"&amp;BA$122)),INDIRECT(CONCATENATE("$C$"&amp;BA$121)),IF($K129=INDIRECT(CONCATENATE("$B$"&amp;BA$122)),INDIRECT(CONCATENATE("$B$"&amp;BA$121)),"X")))))))))))))))))))))))))))))))</f>
        <v>X</v>
      </c>
      <c r="CD129" s="6" t="str">
        <f t="shared" ca="1" si="424"/>
        <v>X</v>
      </c>
      <c r="CE129" s="6" t="str">
        <f t="shared" ref="CE129:CF141" ca="1" si="425">IF($K129=INDIRECT(CONCATENATE("$AF$"&amp;BC$122)),INDIRECT(CONCATENATE("$AF$"&amp;BC$121)),IF($K129=INDIRECT(CONCATENATE("$AE$"&amp;BC$122)),INDIRECT(CONCATENATE("$AE$"&amp;BC$121)),IF($K129=INDIRECT(CONCATENATE("$AD$"&amp;BC$122)),INDIRECT(CONCATENATE("$AD$"&amp;BC$121)),IF($K129=INDIRECT(CONCATENATE("$AC$"&amp;BC$122)),INDIRECT(CONCATENATE("$AC$"&amp;BC$121)),IF($K129=INDIRECT(CONCATENATE("$AB$"&amp;BC$122)),INDIRECT(CONCATENATE("$AB$"&amp;BC$121)),IF($K129=INDIRECT(CONCATENATE("$AA$"&amp;BC$122)),INDIRECT(CONCATENATE("$AA$"&amp;BC$121)),IF($K129=INDIRECT(CONCATENATE("$Z$"&amp;BC$122)),INDIRECT(CONCATENATE("$Z$"&amp;BC$121)),
IF($K129=INDIRECT(CONCATENATE("$Y$"&amp;BC$122)),INDIRECT(CONCATENATE("$Y$"&amp;BC$121)),IF($K129=INDIRECT(CONCATENATE("$X$"&amp;BC$122)),INDIRECT(CONCATENATE("$X$"&amp;BC$121)),IF($K129=INDIRECT(CONCATENATE("$W$"&amp;BC$122)),INDIRECT(CONCATENATE("$W$"&amp;BC$121)),IF($K129=INDIRECT(CONCATENATE("$V$"&amp;BC$122)),INDIRECT(CONCATENATE("$V$"&amp;BC$121)),IF($K129=INDIRECT(CONCATENATE("$U$"&amp;BC$122)),INDIRECT(CONCATENATE("$U$"&amp;BC$121)),IF($K129=INDIRECT(CONCATENATE("$T$"&amp;BC$122)),INDIRECT(CONCATENATE("$T$"&amp;BC$121)),IF($K129=INDIRECT(CONCATENATE("$S$"&amp;BC$122)),INDIRECT(CONCATENATE("$S$"&amp;BC$121)),IF($K129=INDIRECT(CONCATENATE("$R$"&amp;BC$122)),INDIRECT(CONCATENATE("$R$"&amp;BC$121)),IF($K129=INDIRECT(CONCATENATE("$Q$"&amp;BC$122)),INDIRECT(CONCATENATE("$Q$"&amp;BC$121)),
IF($K129=INDIRECT(CONCATENATE("$P$"&amp;BC$122)),INDIRECT(CONCATENATE("$P$"&amp;BC$121)),IF($K129=INDIRECT(CONCATENATE("$O$"&amp;BC$122)),INDIRECT(CONCATENATE("$O$"&amp;BC$121)),IF($K129=INDIRECT(CONCATENATE("$N$"&amp;BC$122)),INDIRECT(CONCATENATE("$N$"&amp;BC$121)),IF($K129=INDIRECT(CONCATENATE("$M$"&amp;BC$122)),INDIRECT(CONCATENATE("$M$"&amp;BC$121)),IF($K129=INDIRECT(CONCATENATE("$L$"&amp;BC$122)),INDIRECT(CONCATENATE("$L$"&amp;BC$121)),IF($K129=INDIRECT(CONCATENATE("$K$"&amp;BC$122)),INDIRECT(CONCATENATE("$K$"&amp;BC$121)),IF($K129=INDIRECT(CONCATENATE("$J$"&amp;BC$122)),INDIRECT(CONCATENATE("$J$"&amp;BC$121)),IF($K129=INDIRECT(CONCATENATE("$I$"&amp;BC$122)),INDIRECT(CONCATENATE("$I$"&amp;BC$121)),IF($K129=INDIRECT(CONCATENATE("$H$"&amp;BC$122)),INDIRECT(CONCATENATE("$H$"&amp;BC$121)),IF($K129=INDIRECT(CONCATENATE("$G$"&amp;BC$122)),INDIRECT(CONCATENATE("$G$"&amp;BC$121)),IF($K129=INDIRECT(CONCATENATE("$F$"&amp;BC$122)),INDIRECT(CONCATENATE("$F$"&amp;BC$121)),IF($K129=INDIRECT(CONCATENATE("$E$"&amp;BC$122)),INDIRECT(CONCATENATE("$E$"&amp;BC$121)),IF($K129=INDIRECT(CONCATENATE("$D$"&amp;BC$122)),INDIRECT(CONCATENATE("$D$"&amp;BC$121)),IF($K129=INDIRECT(CONCATENATE("$C$"&amp;BC$122)),INDIRECT(CONCATENATE("$C$"&amp;BC$121)),IF($K129=INDIRECT(CONCATENATE("$B$"&amp;BC$122)),INDIRECT(CONCATENATE("$B$"&amp;BC$121)),"X")))))))))))))))))))))))))))))))</f>
        <v>X</v>
      </c>
      <c r="CF129" s="6" t="str">
        <f t="shared" ca="1" si="425"/>
        <v>X</v>
      </c>
      <c r="CG129" s="6" t="str">
        <f t="shared" ca="1" si="407"/>
        <v>X</v>
      </c>
      <c r="CH129" s="6" t="str">
        <f t="shared" ca="1" si="408"/>
        <v>X</v>
      </c>
      <c r="CI129" s="6" t="str">
        <f t="shared" ca="1" si="409"/>
        <v>X</v>
      </c>
      <c r="CJ129" s="6" t="str">
        <f t="shared" ca="1" si="410"/>
        <v>X</v>
      </c>
      <c r="CK129" s="6" t="str">
        <f t="shared" ref="CK129:CL141" ca="1" si="426">IF($K129=INDIRECT(CONCATENATE("$AF$"&amp;BI$122)),INDIRECT(CONCATENATE("$AF$"&amp;BI$121)),IF($K129=INDIRECT(CONCATENATE("$AE$"&amp;BI$122)),INDIRECT(CONCATENATE("$AE$"&amp;BI$121)),IF($K129=INDIRECT(CONCATENATE("$AD$"&amp;BI$122)),INDIRECT(CONCATENATE("$AD$"&amp;BI$121)),IF($K129=INDIRECT(CONCATENATE("$AC$"&amp;BI$122)),INDIRECT(CONCATENATE("$AC$"&amp;BI$121)),IF($K129=INDIRECT(CONCATENATE("$AB$"&amp;BI$122)),INDIRECT(CONCATENATE("$AB$"&amp;BI$121)),IF($K129=INDIRECT(CONCATENATE("$AA$"&amp;BI$122)),INDIRECT(CONCATENATE("$AA$"&amp;BI$121)),IF($K129=INDIRECT(CONCATENATE("$Z$"&amp;BI$122)),INDIRECT(CONCATENATE("$Z$"&amp;BI$121)),
IF($K129=INDIRECT(CONCATENATE("$Y$"&amp;BI$122)),INDIRECT(CONCATENATE("$Y$"&amp;BI$121)),IF($K129=INDIRECT(CONCATENATE("$X$"&amp;BI$122)),INDIRECT(CONCATENATE("$X$"&amp;BI$121)),IF($K129=INDIRECT(CONCATENATE("$W$"&amp;BI$122)),INDIRECT(CONCATENATE("$W$"&amp;BI$121)),IF($K129=INDIRECT(CONCATENATE("$V$"&amp;BI$122)),INDIRECT(CONCATENATE("$V$"&amp;BI$121)),IF($K129=INDIRECT(CONCATENATE("$U$"&amp;BI$122)),INDIRECT(CONCATENATE("$U$"&amp;BI$121)),IF($K129=INDIRECT(CONCATENATE("$T$"&amp;BI$122)),INDIRECT(CONCATENATE("$T$"&amp;BI$121)),IF($K129=INDIRECT(CONCATENATE("$S$"&amp;BI$122)),INDIRECT(CONCATENATE("$S$"&amp;BI$121)),IF($K129=INDIRECT(CONCATENATE("$R$"&amp;BI$122)),INDIRECT(CONCATENATE("$R$"&amp;BI$121)),IF($K129=INDIRECT(CONCATENATE("$Q$"&amp;BI$122)),INDIRECT(CONCATENATE("$Q$"&amp;BI$121)),
IF($K129=INDIRECT(CONCATENATE("$P$"&amp;BI$122)),INDIRECT(CONCATENATE("$P$"&amp;BI$121)),IF($K129=INDIRECT(CONCATENATE("$O$"&amp;BI$122)),INDIRECT(CONCATENATE("$O$"&amp;BI$121)),IF($K129=INDIRECT(CONCATENATE("$N$"&amp;BI$122)),INDIRECT(CONCATENATE("$N$"&amp;BI$121)),IF($K129=INDIRECT(CONCATENATE("$M$"&amp;BI$122)),INDIRECT(CONCATENATE("$M$"&amp;BI$121)),IF($K129=INDIRECT(CONCATENATE("$L$"&amp;BI$122)),INDIRECT(CONCATENATE("$L$"&amp;BI$121)),IF($K129=INDIRECT(CONCATENATE("$K$"&amp;BI$122)),INDIRECT(CONCATENATE("$K$"&amp;BI$121)),IF($K129=INDIRECT(CONCATENATE("$J$"&amp;BI$122)),INDIRECT(CONCATENATE("$J$"&amp;BI$121)),IF($K129=INDIRECT(CONCATENATE("$I$"&amp;BI$122)),INDIRECT(CONCATENATE("$I$"&amp;BI$121)),IF($K129=INDIRECT(CONCATENATE("$H$"&amp;BI$122)),INDIRECT(CONCATENATE("$H$"&amp;BI$121)),IF($K129=INDIRECT(CONCATENATE("$G$"&amp;BI$122)),INDIRECT(CONCATENATE("$G$"&amp;BI$121)),IF($K129=INDIRECT(CONCATENATE("$F$"&amp;BI$122)),INDIRECT(CONCATENATE("$F$"&amp;BI$121)),IF($K129=INDIRECT(CONCATENATE("$E$"&amp;BI$122)),INDIRECT(CONCATENATE("$E$"&amp;BI$121)),IF($K129=INDIRECT(CONCATENATE("$D$"&amp;BI$122)),INDIRECT(CONCATENATE("$D$"&amp;BI$121)),IF($K129=INDIRECT(CONCATENATE("$C$"&amp;BI$122)),INDIRECT(CONCATENATE("$C$"&amp;BI$121)),IF($K129=INDIRECT(CONCATENATE("$B$"&amp;BI$122)),INDIRECT(CONCATENATE("$B$"&amp;BI$121)),"X")))))))))))))))))))))))))))))))</f>
        <v>X</v>
      </c>
      <c r="CL129" s="6" t="str">
        <f t="shared" ca="1" si="426"/>
        <v>X</v>
      </c>
    </row>
    <row r="130" spans="1:90" ht="18.75" customHeight="1">
      <c r="A130" s="256"/>
      <c r="B130" s="257"/>
      <c r="C130" s="257"/>
      <c r="D130" s="257"/>
      <c r="E130" s="257"/>
      <c r="F130" s="257"/>
      <c r="G130" s="257"/>
      <c r="H130" s="257"/>
      <c r="I130" s="257"/>
      <c r="J130" s="258"/>
      <c r="K130" s="250" t="s">
        <v>87</v>
      </c>
      <c r="L130" s="251"/>
      <c r="M130" s="90"/>
      <c r="N130" s="267" t="str">
        <f t="shared" ca="1" si="413"/>
        <v>PLANEJADA</v>
      </c>
      <c r="O130" s="267"/>
      <c r="P130" s="10">
        <f t="shared" si="384"/>
        <v>0</v>
      </c>
      <c r="Q130" s="10">
        <f t="shared" si="385"/>
        <v>0</v>
      </c>
      <c r="R130" s="8">
        <f t="shared" si="386"/>
        <v>0</v>
      </c>
      <c r="S130" s="9" t="str">
        <f t="shared" ca="1" si="387"/>
        <v>-</v>
      </c>
      <c r="T130" s="9" t="str">
        <f t="shared" ca="1" si="388"/>
        <v>-</v>
      </c>
      <c r="U130" s="92"/>
      <c r="V130" s="190"/>
      <c r="W130" s="190"/>
      <c r="X130" s="190"/>
      <c r="Y130" s="190"/>
      <c r="Z130" s="190"/>
      <c r="AA130" s="190"/>
      <c r="AB130" s="190"/>
      <c r="AC130" s="190"/>
      <c r="AD130" s="39">
        <f t="shared" si="389"/>
        <v>0</v>
      </c>
      <c r="AE130" s="7">
        <f t="shared" si="390"/>
        <v>0</v>
      </c>
      <c r="AF130" s="32" t="str">
        <f t="shared" si="391"/>
        <v>OK</v>
      </c>
      <c r="AI130" s="6" t="str">
        <f t="shared" ca="1" si="414"/>
        <v>X</v>
      </c>
      <c r="AJ130" s="6" t="str">
        <f t="shared" ca="1" si="414"/>
        <v>X</v>
      </c>
      <c r="AK130" s="6" t="str">
        <f t="shared" ca="1" si="414"/>
        <v>X</v>
      </c>
      <c r="AL130" s="6" t="str">
        <f t="shared" ca="1" si="414"/>
        <v>X</v>
      </c>
      <c r="AM130" s="6" t="str">
        <f t="shared" ca="1" si="414"/>
        <v>X</v>
      </c>
      <c r="AN130" s="6" t="str">
        <f t="shared" ca="1" si="414"/>
        <v>X</v>
      </c>
      <c r="AO130" s="6" t="str">
        <f t="shared" ca="1" si="414"/>
        <v>X</v>
      </c>
      <c r="AP130" s="6" t="str">
        <f t="shared" ca="1" si="414"/>
        <v>X</v>
      </c>
      <c r="AQ130" s="6" t="str">
        <f t="shared" ca="1" si="414"/>
        <v>X</v>
      </c>
      <c r="AR130" s="6" t="str">
        <f t="shared" ca="1" si="414"/>
        <v>X</v>
      </c>
      <c r="AS130" s="6" t="str">
        <f t="shared" ca="1" si="414"/>
        <v>X</v>
      </c>
      <c r="AT130" s="6" t="str">
        <f t="shared" ca="1" si="414"/>
        <v>X</v>
      </c>
      <c r="AU130" s="6" t="str">
        <f t="shared" ca="1" si="414"/>
        <v>X</v>
      </c>
      <c r="AV130" s="6" t="str">
        <f t="shared" ca="1" si="414"/>
        <v>X</v>
      </c>
      <c r="AW130" s="6" t="str">
        <f t="shared" ca="1" si="414"/>
        <v>X</v>
      </c>
      <c r="AX130" s="6" t="str">
        <f t="shared" ca="1" si="414"/>
        <v>X</v>
      </c>
      <c r="AY130" s="6" t="str">
        <f t="shared" ca="1" si="414"/>
        <v>X</v>
      </c>
      <c r="AZ130" s="6" t="str">
        <f t="shared" ca="1" si="392"/>
        <v>X</v>
      </c>
      <c r="BA130" s="6" t="str">
        <f t="shared" ca="1" si="414"/>
        <v>X</v>
      </c>
      <c r="BB130" s="6" t="str">
        <f t="shared" ca="1" si="392"/>
        <v>X</v>
      </c>
      <c r="BC130" s="6" t="str">
        <f t="shared" ca="1" si="414"/>
        <v>X</v>
      </c>
      <c r="BD130" s="6" t="str">
        <f t="shared" ca="1" si="412"/>
        <v>X</v>
      </c>
      <c r="BE130" s="6" t="str">
        <f t="shared" ca="1" si="414"/>
        <v>X</v>
      </c>
      <c r="BF130" s="6" t="str">
        <f t="shared" ca="1" si="393"/>
        <v>X</v>
      </c>
      <c r="BG130" s="6" t="str">
        <f t="shared" ca="1" si="414"/>
        <v>X</v>
      </c>
      <c r="BH130" s="6" t="str">
        <f t="shared" ca="1" si="394"/>
        <v>X</v>
      </c>
      <c r="BI130" s="6" t="str">
        <f t="shared" ca="1" si="414"/>
        <v>X</v>
      </c>
      <c r="BJ130" s="6" t="str">
        <f t="shared" ca="1" si="395"/>
        <v>X</v>
      </c>
      <c r="BK130" s="12" t="str">
        <f t="shared" ca="1" si="415"/>
        <v>X</v>
      </c>
      <c r="BL130" s="6" t="str">
        <f t="shared" ca="1" si="415"/>
        <v>X</v>
      </c>
      <c r="BM130" s="6" t="str">
        <f t="shared" ca="1" si="416"/>
        <v>X</v>
      </c>
      <c r="BN130" s="6" t="str">
        <f t="shared" ca="1" si="416"/>
        <v>X</v>
      </c>
      <c r="BO130" s="6" t="str">
        <f t="shared" ca="1" si="417"/>
        <v>X</v>
      </c>
      <c r="BP130" s="6" t="str">
        <f t="shared" ca="1" si="417"/>
        <v>X</v>
      </c>
      <c r="BQ130" s="6" t="str">
        <f t="shared" ca="1" si="418"/>
        <v>X</v>
      </c>
      <c r="BR130" s="6" t="str">
        <f t="shared" ca="1" si="418"/>
        <v>X</v>
      </c>
      <c r="BS130" s="6" t="str">
        <f t="shared" ca="1" si="419"/>
        <v>X</v>
      </c>
      <c r="BT130" s="6" t="str">
        <f t="shared" ca="1" si="419"/>
        <v>X</v>
      </c>
      <c r="BU130" s="6" t="str">
        <f t="shared" ca="1" si="420"/>
        <v>X</v>
      </c>
      <c r="BV130" s="6" t="str">
        <f t="shared" ca="1" si="420"/>
        <v>X</v>
      </c>
      <c r="BW130" s="6" t="str">
        <f t="shared" ca="1" si="421"/>
        <v>X</v>
      </c>
      <c r="BX130" s="6" t="str">
        <f t="shared" ca="1" si="421"/>
        <v>X</v>
      </c>
      <c r="BY130" s="6" t="str">
        <f t="shared" ca="1" si="422"/>
        <v>X</v>
      </c>
      <c r="BZ130" s="6" t="str">
        <f t="shared" ca="1" si="422"/>
        <v>X</v>
      </c>
      <c r="CA130" s="6" t="str">
        <f t="shared" ca="1" si="423"/>
        <v>X</v>
      </c>
      <c r="CB130" s="6" t="str">
        <f t="shared" ca="1" si="423"/>
        <v>X</v>
      </c>
      <c r="CC130" s="6" t="str">
        <f t="shared" ca="1" si="424"/>
        <v>X</v>
      </c>
      <c r="CD130" s="6" t="str">
        <f t="shared" ca="1" si="424"/>
        <v>X</v>
      </c>
      <c r="CE130" s="6" t="str">
        <f t="shared" ca="1" si="425"/>
        <v>X</v>
      </c>
      <c r="CF130" s="6" t="str">
        <f t="shared" ca="1" si="425"/>
        <v>X</v>
      </c>
      <c r="CG130" s="6" t="str">
        <f t="shared" ca="1" si="407"/>
        <v>X</v>
      </c>
      <c r="CH130" s="6" t="str">
        <f t="shared" ca="1" si="408"/>
        <v>X</v>
      </c>
      <c r="CI130" s="6" t="str">
        <f t="shared" ca="1" si="409"/>
        <v>X</v>
      </c>
      <c r="CJ130" s="6" t="str">
        <f t="shared" ca="1" si="410"/>
        <v>X</v>
      </c>
      <c r="CK130" s="6" t="str">
        <f t="shared" ca="1" si="426"/>
        <v>X</v>
      </c>
      <c r="CL130" s="6" t="str">
        <f t="shared" ca="1" si="426"/>
        <v>X</v>
      </c>
    </row>
    <row r="131" spans="1:90" ht="18.75" customHeight="1">
      <c r="A131" s="256"/>
      <c r="B131" s="257"/>
      <c r="C131" s="257"/>
      <c r="D131" s="257"/>
      <c r="E131" s="257"/>
      <c r="F131" s="257"/>
      <c r="G131" s="257"/>
      <c r="H131" s="257"/>
      <c r="I131" s="257"/>
      <c r="J131" s="258"/>
      <c r="K131" s="250" t="s">
        <v>87</v>
      </c>
      <c r="L131" s="251"/>
      <c r="M131" s="90"/>
      <c r="N131" s="267" t="str">
        <f ca="1">IF(AND(TODAY()&gt;=S131,TODAY()&lt;=T131),"EM ANDAMENTO",IF(TODAY()&gt;T131,"CONCLUÍDA","PLANEJADA"))</f>
        <v>PLANEJADA</v>
      </c>
      <c r="O131" s="267"/>
      <c r="P131" s="10">
        <f t="shared" si="384"/>
        <v>0</v>
      </c>
      <c r="Q131" s="10">
        <f t="shared" si="385"/>
        <v>0</v>
      </c>
      <c r="R131" s="8">
        <f t="shared" si="386"/>
        <v>0</v>
      </c>
      <c r="S131" s="9" t="str">
        <f t="shared" ca="1" si="387"/>
        <v>-</v>
      </c>
      <c r="T131" s="9" t="str">
        <f t="shared" ca="1" si="388"/>
        <v>-</v>
      </c>
      <c r="U131" s="92"/>
      <c r="V131" s="190"/>
      <c r="W131" s="190"/>
      <c r="X131" s="190"/>
      <c r="Y131" s="190"/>
      <c r="Z131" s="190"/>
      <c r="AA131" s="190"/>
      <c r="AB131" s="190"/>
      <c r="AC131" s="190"/>
      <c r="AD131" s="39">
        <f t="shared" si="389"/>
        <v>0</v>
      </c>
      <c r="AE131" s="7">
        <f t="shared" si="390"/>
        <v>0</v>
      </c>
      <c r="AF131" s="32" t="str">
        <f t="shared" si="391"/>
        <v>OK</v>
      </c>
      <c r="AI131" s="6" t="str">
        <f t="shared" ca="1" si="414"/>
        <v>X</v>
      </c>
      <c r="AJ131" s="6" t="str">
        <f t="shared" ca="1" si="414"/>
        <v>X</v>
      </c>
      <c r="AK131" s="6" t="str">
        <f t="shared" ca="1" si="414"/>
        <v>X</v>
      </c>
      <c r="AL131" s="6" t="str">
        <f t="shared" ca="1" si="414"/>
        <v>X</v>
      </c>
      <c r="AM131" s="6" t="str">
        <f t="shared" ca="1" si="414"/>
        <v>X</v>
      </c>
      <c r="AN131" s="6" t="str">
        <f t="shared" ca="1" si="414"/>
        <v>X</v>
      </c>
      <c r="AO131" s="6" t="str">
        <f t="shared" ca="1" si="414"/>
        <v>X</v>
      </c>
      <c r="AP131" s="6" t="str">
        <f t="shared" ca="1" si="414"/>
        <v>X</v>
      </c>
      <c r="AQ131" s="6" t="str">
        <f t="shared" ca="1" si="414"/>
        <v>X</v>
      </c>
      <c r="AR131" s="6" t="str">
        <f t="shared" ca="1" si="414"/>
        <v>X</v>
      </c>
      <c r="AS131" s="6" t="str">
        <f t="shared" ca="1" si="414"/>
        <v>X</v>
      </c>
      <c r="AT131" s="6" t="str">
        <f t="shared" ca="1" si="414"/>
        <v>X</v>
      </c>
      <c r="AU131" s="6" t="str">
        <f t="shared" ca="1" si="414"/>
        <v>X</v>
      </c>
      <c r="AV131" s="6" t="str">
        <f t="shared" ca="1" si="414"/>
        <v>X</v>
      </c>
      <c r="AW131" s="6" t="str">
        <f t="shared" ca="1" si="414"/>
        <v>X</v>
      </c>
      <c r="AX131" s="6" t="str">
        <f t="shared" ref="AX131:AX139" ca="1" si="427">IF($K131=INDIRECT(CONCATENATE("$B$"&amp;AX$122)), INDIRECT(CONCATENATE("$B$"&amp;AX$121)),
IF($K131=INDIRECT(CONCATENATE("$C$"&amp;AX$122)), INDIRECT(CONCATENATE("$C$"&amp;AX$121)),
IF($K131=INDIRECT(CONCATENATE("$D$"&amp;AX$122)), INDIRECT(CONCATENATE("$D$"&amp;AX$121)),
IF($K131=INDIRECT(CONCATENATE("$E$"&amp;AX$122)), INDIRECT(CONCATENATE("$E$"&amp;AX$121)),
IF($K131=INDIRECT(CONCATENATE("$F$"&amp;AX$122)), INDIRECT(CONCATENATE("$F$"&amp;AX$121)),
IF($K131=INDIRECT(CONCATENATE("$G$"&amp;AX$122)), INDIRECT(CONCATENATE("$G$"&amp;AX$121)),
IF($K131=INDIRECT(CONCATENATE("$H$"&amp;AX$122)), INDIRECT(CONCATENATE("$H$"&amp;AX$121)),
IF($K131=INDIRECT(CONCATENATE("$I$"&amp;AX$122)), INDIRECT(CONCATENATE("$I$"&amp;AX$121)),
IF($K131=INDIRECT(CONCATENATE("$J$"&amp;AX$122)), INDIRECT(CONCATENATE("$J$"&amp;AX$121)),
IF($K131=INDIRECT(CONCATENATE("$K$"&amp;AX$122)), INDIRECT(CONCATENATE("$K$"&amp;AX$121)),
IF($K131=INDIRECT(CONCATENATE("$L$"&amp;AX$122)), INDIRECT(CONCATENATE("$L$"&amp;AX$121)),
IF($K131=INDIRECT(CONCATENATE("$M$"&amp;AX$122)), INDIRECT(CONCATENATE("$M$"&amp;AX$121)),
IF($K131=INDIRECT(CONCATENATE("$N$"&amp;AX$122)), INDIRECT(CONCATENATE("$N$"&amp;AX$121)),
IF($K131=INDIRECT(CONCATENATE("$O$"&amp;AX$122)), INDIRECT(CONCATENATE("$O$"&amp;AX$121)),
IF($K131=INDIRECT(CONCATENATE("$P$"&amp;AX$122)), INDIRECT(CONCATENATE("$P$"&amp;AX$121)),
IF($K131=INDIRECT(CONCATENATE("$Q$"&amp;AX$122)), INDIRECT(CONCATENATE("$Q$"&amp;AX$121)),
IF($K131=INDIRECT(CONCATENATE("$R$"&amp;AX$122)), INDIRECT(CONCATENATE("$R$"&amp;AX$121)),
IF($K131=INDIRECT(CONCATENATE("$S$"&amp;AX$122)), INDIRECT(CONCATENATE("$S$"&amp;AX$121)),
IF($K131=INDIRECT(CONCATENATE("$T$"&amp;AX$122)), INDIRECT(CONCATENATE("$T$"&amp;AX$121)),
IF($K131=INDIRECT(CONCATENATE("$U$"&amp;AX$122)), INDIRECT(CONCATENATE("$U$"&amp;AX$121)),
IF($K131=INDIRECT(CONCATENATE("$V$"&amp;AX$122)), INDIRECT(CONCATENATE("$V$"&amp;AX$121)),
IF($K131=INDIRECT(CONCATENATE("$W$"&amp;AX$122)), INDIRECT(CONCATENATE("$W$"&amp;AX$121)),
IF($K131=INDIRECT(CONCATENATE("$X$"&amp;AX$122)), INDIRECT(CONCATENATE("$X$"&amp;AX$121)),
IF($K131=INDIRECT(CONCATENATE("$Y$"&amp;AX$122)), INDIRECT(CONCATENATE("$Y$"&amp;AX$121)),
IF($K131=INDIRECT(CONCATENATE("$Z$"&amp;AX$122)), INDIRECT(CONCATENATE("$Z$"&amp;AX$121)),
IF($K131=INDIRECT(CONCATENATE("$AA$"&amp;AX$122)), INDIRECT(CONCATENATE("$AA$"&amp;AX$121)),
IF($K131=INDIRECT(CONCATENATE("$AB$"&amp;AX$122)), INDIRECT(CONCATENATE("$AB$"&amp;AX$121)),
IF($K131=INDIRECT(CONCATENATE("$AC$"&amp;AX$122)), INDIRECT(CONCATENATE("$AC$"&amp;AX$121)),
IF($K131=INDIRECT(CONCATENATE("$AD$"&amp;AX$122)), INDIRECT(CONCATENATE("$AD$"&amp;AX$121)),
IF($K131=INDIRECT(CONCATENATE("$AE$"&amp;AX$122)), INDIRECT(CONCATENATE("$AE$"&amp;AX$121)),
IF($K131=INDIRECT(CONCATENATE("$AF$"&amp;AX$122)), INDIRECT(CONCATENATE("$AF$"&amp;AX$121)),"X")))))))))))))))))))))))))))))))</f>
        <v>X</v>
      </c>
      <c r="AY131" s="6" t="str">
        <f t="shared" ca="1" si="414"/>
        <v>X</v>
      </c>
      <c r="AZ131" s="6" t="str">
        <f t="shared" ca="1" si="392"/>
        <v>X</v>
      </c>
      <c r="BA131" s="6" t="str">
        <f t="shared" ca="1" si="414"/>
        <v>X</v>
      </c>
      <c r="BB131" s="6" t="str">
        <f t="shared" ca="1" si="392"/>
        <v>X</v>
      </c>
      <c r="BC131" s="6" t="str">
        <f t="shared" ca="1" si="414"/>
        <v>X</v>
      </c>
      <c r="BD131" s="6" t="str">
        <f t="shared" ca="1" si="412"/>
        <v>X</v>
      </c>
      <c r="BE131" s="6" t="str">
        <f t="shared" ca="1" si="414"/>
        <v>X</v>
      </c>
      <c r="BF131" s="6" t="str">
        <f t="shared" ca="1" si="393"/>
        <v>X</v>
      </c>
      <c r="BG131" s="6" t="str">
        <f t="shared" ca="1" si="414"/>
        <v>X</v>
      </c>
      <c r="BH131" s="6" t="str">
        <f t="shared" ca="1" si="394"/>
        <v>X</v>
      </c>
      <c r="BI131" s="6" t="str">
        <f t="shared" ca="1" si="414"/>
        <v>X</v>
      </c>
      <c r="BJ131" s="6" t="str">
        <f t="shared" ca="1" si="395"/>
        <v>X</v>
      </c>
      <c r="BK131" s="12" t="str">
        <f t="shared" ca="1" si="415"/>
        <v>X</v>
      </c>
      <c r="BL131" s="6" t="str">
        <f t="shared" ca="1" si="415"/>
        <v>X</v>
      </c>
      <c r="BM131" s="6" t="str">
        <f t="shared" ca="1" si="416"/>
        <v>X</v>
      </c>
      <c r="BN131" s="6" t="str">
        <f t="shared" ca="1" si="416"/>
        <v>X</v>
      </c>
      <c r="BO131" s="6" t="str">
        <f t="shared" ca="1" si="417"/>
        <v>X</v>
      </c>
      <c r="BP131" s="6" t="str">
        <f t="shared" ca="1" si="417"/>
        <v>X</v>
      </c>
      <c r="BQ131" s="6" t="str">
        <f t="shared" ca="1" si="418"/>
        <v>X</v>
      </c>
      <c r="BR131" s="6" t="str">
        <f t="shared" ca="1" si="418"/>
        <v>X</v>
      </c>
      <c r="BS131" s="6" t="str">
        <f t="shared" ca="1" si="419"/>
        <v>X</v>
      </c>
      <c r="BT131" s="6" t="str">
        <f t="shared" ca="1" si="419"/>
        <v>X</v>
      </c>
      <c r="BU131" s="6" t="str">
        <f t="shared" ca="1" si="420"/>
        <v>X</v>
      </c>
      <c r="BV131" s="6" t="str">
        <f t="shared" ca="1" si="420"/>
        <v>X</v>
      </c>
      <c r="BW131" s="6" t="str">
        <f t="shared" ca="1" si="421"/>
        <v>X</v>
      </c>
      <c r="BX131" s="6" t="str">
        <f t="shared" ca="1" si="421"/>
        <v>X</v>
      </c>
      <c r="BY131" s="6" t="str">
        <f t="shared" ca="1" si="422"/>
        <v>X</v>
      </c>
      <c r="BZ131" s="6" t="str">
        <f t="shared" ca="1" si="422"/>
        <v>X</v>
      </c>
      <c r="CA131" s="6" t="str">
        <f t="shared" ca="1" si="423"/>
        <v>X</v>
      </c>
      <c r="CB131" s="6" t="str">
        <f t="shared" ca="1" si="423"/>
        <v>X</v>
      </c>
      <c r="CC131" s="6" t="str">
        <f t="shared" ca="1" si="424"/>
        <v>X</v>
      </c>
      <c r="CD131" s="6" t="str">
        <f t="shared" ca="1" si="424"/>
        <v>X</v>
      </c>
      <c r="CE131" s="6" t="str">
        <f t="shared" ca="1" si="425"/>
        <v>X</v>
      </c>
      <c r="CF131" s="6" t="str">
        <f t="shared" ca="1" si="425"/>
        <v>X</v>
      </c>
      <c r="CG131" s="6" t="str">
        <f t="shared" ca="1" si="407"/>
        <v>X</v>
      </c>
      <c r="CH131" s="6" t="str">
        <f t="shared" ca="1" si="408"/>
        <v>X</v>
      </c>
      <c r="CI131" s="6" t="str">
        <f t="shared" ca="1" si="409"/>
        <v>X</v>
      </c>
      <c r="CJ131" s="6" t="str">
        <f t="shared" ca="1" si="410"/>
        <v>X</v>
      </c>
      <c r="CK131" s="6" t="str">
        <f t="shared" ca="1" si="426"/>
        <v>X</v>
      </c>
      <c r="CL131" s="6" t="str">
        <f t="shared" ca="1" si="426"/>
        <v>X</v>
      </c>
    </row>
    <row r="132" spans="1:90" ht="18.75" customHeight="1">
      <c r="A132" s="256"/>
      <c r="B132" s="257"/>
      <c r="C132" s="257"/>
      <c r="D132" s="257"/>
      <c r="E132" s="257"/>
      <c r="F132" s="257"/>
      <c r="G132" s="257"/>
      <c r="H132" s="257"/>
      <c r="I132" s="257"/>
      <c r="J132" s="258"/>
      <c r="K132" s="250" t="s">
        <v>87</v>
      </c>
      <c r="L132" s="251"/>
      <c r="M132" s="90"/>
      <c r="N132" s="267" t="str">
        <f t="shared" ca="1" si="413"/>
        <v>PLANEJADA</v>
      </c>
      <c r="O132" s="267"/>
      <c r="P132" s="10">
        <f t="shared" si="384"/>
        <v>0</v>
      </c>
      <c r="Q132" s="10">
        <f t="shared" si="385"/>
        <v>0</v>
      </c>
      <c r="R132" s="8">
        <f t="shared" si="386"/>
        <v>0</v>
      </c>
      <c r="S132" s="9" t="str">
        <f t="shared" ca="1" si="387"/>
        <v>-</v>
      </c>
      <c r="T132" s="9" t="str">
        <f t="shared" ca="1" si="388"/>
        <v>-</v>
      </c>
      <c r="U132" s="92"/>
      <c r="V132" s="190"/>
      <c r="W132" s="190"/>
      <c r="X132" s="190"/>
      <c r="Y132" s="190"/>
      <c r="Z132" s="190"/>
      <c r="AA132" s="190"/>
      <c r="AB132" s="190"/>
      <c r="AC132" s="190"/>
      <c r="AD132" s="39">
        <f t="shared" si="389"/>
        <v>0</v>
      </c>
      <c r="AE132" s="7">
        <f t="shared" si="390"/>
        <v>0</v>
      </c>
      <c r="AF132" s="32" t="str">
        <f t="shared" si="391"/>
        <v>OK</v>
      </c>
      <c r="AI132" s="6" t="str">
        <f t="shared" ca="1" si="414"/>
        <v>X</v>
      </c>
      <c r="AJ132" s="6" t="str">
        <f t="shared" ca="1" si="414"/>
        <v>X</v>
      </c>
      <c r="AK132" s="6" t="str">
        <f t="shared" ca="1" si="414"/>
        <v>X</v>
      </c>
      <c r="AL132" s="6" t="str">
        <f t="shared" ca="1" si="414"/>
        <v>X</v>
      </c>
      <c r="AM132" s="6" t="str">
        <f t="shared" ca="1" si="414"/>
        <v>X</v>
      </c>
      <c r="AN132" s="6" t="str">
        <f t="shared" ca="1" si="414"/>
        <v>X</v>
      </c>
      <c r="AO132" s="6" t="str">
        <f t="shared" ca="1" si="414"/>
        <v>X</v>
      </c>
      <c r="AP132" s="6" t="str">
        <f t="shared" ca="1" si="414"/>
        <v>X</v>
      </c>
      <c r="AQ132" s="6" t="str">
        <f t="shared" ca="1" si="414"/>
        <v>X</v>
      </c>
      <c r="AR132" s="6" t="str">
        <f t="shared" ca="1" si="414"/>
        <v>X</v>
      </c>
      <c r="AS132" s="6" t="str">
        <f t="shared" ca="1" si="414"/>
        <v>X</v>
      </c>
      <c r="AT132" s="6" t="str">
        <f t="shared" ca="1" si="414"/>
        <v>X</v>
      </c>
      <c r="AU132" s="6" t="str">
        <f t="shared" ca="1" si="414"/>
        <v>X</v>
      </c>
      <c r="AV132" s="6" t="str">
        <f t="shared" ca="1" si="414"/>
        <v>X</v>
      </c>
      <c r="AW132" s="6" t="str">
        <f t="shared" ca="1" si="414"/>
        <v>X</v>
      </c>
      <c r="AX132" s="6" t="str">
        <f t="shared" ca="1" si="427"/>
        <v>X</v>
      </c>
      <c r="AY132" s="6" t="str">
        <f t="shared" ca="1" si="414"/>
        <v>X</v>
      </c>
      <c r="AZ132" s="6" t="str">
        <f t="shared" ca="1" si="392"/>
        <v>X</v>
      </c>
      <c r="BA132" s="6" t="str">
        <f t="shared" ca="1" si="414"/>
        <v>X</v>
      </c>
      <c r="BB132" s="6" t="str">
        <f t="shared" ca="1" si="392"/>
        <v>X</v>
      </c>
      <c r="BC132" s="6" t="str">
        <f t="shared" ca="1" si="414"/>
        <v>X</v>
      </c>
      <c r="BD132" s="6" t="str">
        <f t="shared" ca="1" si="412"/>
        <v>X</v>
      </c>
      <c r="BE132" s="6" t="str">
        <f t="shared" ca="1" si="414"/>
        <v>X</v>
      </c>
      <c r="BF132" s="6" t="str">
        <f t="shared" ca="1" si="393"/>
        <v>X</v>
      </c>
      <c r="BG132" s="6" t="str">
        <f t="shared" ca="1" si="414"/>
        <v>X</v>
      </c>
      <c r="BH132" s="6" t="str">
        <f t="shared" ca="1" si="394"/>
        <v>X</v>
      </c>
      <c r="BI132" s="6" t="str">
        <f t="shared" ca="1" si="414"/>
        <v>X</v>
      </c>
      <c r="BJ132" s="6" t="str">
        <f t="shared" ca="1" si="395"/>
        <v>X</v>
      </c>
      <c r="BK132" s="12" t="str">
        <f t="shared" ca="1" si="415"/>
        <v>X</v>
      </c>
      <c r="BL132" s="6" t="str">
        <f t="shared" ca="1" si="415"/>
        <v>X</v>
      </c>
      <c r="BM132" s="6" t="str">
        <f t="shared" ca="1" si="416"/>
        <v>X</v>
      </c>
      <c r="BN132" s="6" t="str">
        <f t="shared" ca="1" si="416"/>
        <v>X</v>
      </c>
      <c r="BO132" s="6" t="str">
        <f t="shared" ca="1" si="417"/>
        <v>X</v>
      </c>
      <c r="BP132" s="6" t="str">
        <f t="shared" ca="1" si="417"/>
        <v>X</v>
      </c>
      <c r="BQ132" s="6" t="str">
        <f t="shared" ca="1" si="418"/>
        <v>X</v>
      </c>
      <c r="BR132" s="6" t="str">
        <f t="shared" ca="1" si="418"/>
        <v>X</v>
      </c>
      <c r="BS132" s="6" t="str">
        <f t="shared" ca="1" si="419"/>
        <v>X</v>
      </c>
      <c r="BT132" s="6" t="str">
        <f t="shared" ca="1" si="419"/>
        <v>X</v>
      </c>
      <c r="BU132" s="6" t="str">
        <f t="shared" ca="1" si="420"/>
        <v>X</v>
      </c>
      <c r="BV132" s="6" t="str">
        <f t="shared" ca="1" si="420"/>
        <v>X</v>
      </c>
      <c r="BW132" s="6" t="str">
        <f t="shared" ca="1" si="421"/>
        <v>X</v>
      </c>
      <c r="BX132" s="6" t="str">
        <f t="shared" ca="1" si="421"/>
        <v>X</v>
      </c>
      <c r="BY132" s="6" t="str">
        <f t="shared" ca="1" si="422"/>
        <v>X</v>
      </c>
      <c r="BZ132" s="6" t="str">
        <f t="shared" ca="1" si="422"/>
        <v>X</v>
      </c>
      <c r="CA132" s="6" t="str">
        <f t="shared" ca="1" si="423"/>
        <v>X</v>
      </c>
      <c r="CB132" s="6" t="str">
        <f t="shared" ca="1" si="423"/>
        <v>X</v>
      </c>
      <c r="CC132" s="6" t="str">
        <f t="shared" ca="1" si="424"/>
        <v>X</v>
      </c>
      <c r="CD132" s="6" t="str">
        <f t="shared" ca="1" si="424"/>
        <v>X</v>
      </c>
      <c r="CE132" s="6" t="str">
        <f t="shared" ca="1" si="425"/>
        <v>X</v>
      </c>
      <c r="CF132" s="6" t="str">
        <f t="shared" ca="1" si="425"/>
        <v>X</v>
      </c>
      <c r="CG132" s="6" t="str">
        <f t="shared" ca="1" si="407"/>
        <v>X</v>
      </c>
      <c r="CH132" s="6" t="str">
        <f t="shared" ca="1" si="408"/>
        <v>X</v>
      </c>
      <c r="CI132" s="6" t="str">
        <f t="shared" ca="1" si="409"/>
        <v>X</v>
      </c>
      <c r="CJ132" s="6" t="str">
        <f t="shared" ca="1" si="410"/>
        <v>X</v>
      </c>
      <c r="CK132" s="6" t="str">
        <f t="shared" ca="1" si="426"/>
        <v>X</v>
      </c>
      <c r="CL132" s="6" t="str">
        <f t="shared" ca="1" si="426"/>
        <v>X</v>
      </c>
    </row>
    <row r="133" spans="1:90" ht="18.75" customHeight="1">
      <c r="A133" s="256"/>
      <c r="B133" s="257"/>
      <c r="C133" s="257"/>
      <c r="D133" s="257"/>
      <c r="E133" s="257"/>
      <c r="F133" s="257"/>
      <c r="G133" s="257"/>
      <c r="H133" s="257"/>
      <c r="I133" s="257"/>
      <c r="J133" s="258"/>
      <c r="K133" s="250" t="s">
        <v>87</v>
      </c>
      <c r="L133" s="251"/>
      <c r="M133" s="90"/>
      <c r="N133" s="267" t="str">
        <f t="shared" ca="1" si="413"/>
        <v>PLANEJADA</v>
      </c>
      <c r="O133" s="267"/>
      <c r="P133" s="10">
        <f t="shared" si="384"/>
        <v>0</v>
      </c>
      <c r="Q133" s="10">
        <f t="shared" si="385"/>
        <v>0</v>
      </c>
      <c r="R133" s="8">
        <f t="shared" si="386"/>
        <v>0</v>
      </c>
      <c r="S133" s="9" t="str">
        <f t="shared" ca="1" si="387"/>
        <v>-</v>
      </c>
      <c r="T133" s="9" t="str">
        <f t="shared" ca="1" si="388"/>
        <v>-</v>
      </c>
      <c r="U133" s="92"/>
      <c r="V133" s="190"/>
      <c r="W133" s="190"/>
      <c r="X133" s="190"/>
      <c r="Y133" s="190"/>
      <c r="Z133" s="190"/>
      <c r="AA133" s="190"/>
      <c r="AB133" s="190"/>
      <c r="AC133" s="190"/>
      <c r="AD133" s="39">
        <f t="shared" si="389"/>
        <v>0</v>
      </c>
      <c r="AE133" s="7">
        <f t="shared" si="390"/>
        <v>0</v>
      </c>
      <c r="AF133" s="32" t="str">
        <f t="shared" si="391"/>
        <v>OK</v>
      </c>
      <c r="AI133" s="6" t="str">
        <f t="shared" ca="1" si="414"/>
        <v>X</v>
      </c>
      <c r="AJ133" s="6" t="str">
        <f t="shared" ca="1" si="414"/>
        <v>X</v>
      </c>
      <c r="AK133" s="6" t="str">
        <f t="shared" ca="1" si="414"/>
        <v>X</v>
      </c>
      <c r="AL133" s="6" t="str">
        <f t="shared" ca="1" si="414"/>
        <v>X</v>
      </c>
      <c r="AM133" s="6" t="str">
        <f t="shared" ca="1" si="414"/>
        <v>X</v>
      </c>
      <c r="AN133" s="6" t="str">
        <f t="shared" ca="1" si="414"/>
        <v>X</v>
      </c>
      <c r="AO133" s="6" t="str">
        <f t="shared" ca="1" si="414"/>
        <v>X</v>
      </c>
      <c r="AP133" s="6" t="str">
        <f t="shared" ca="1" si="414"/>
        <v>X</v>
      </c>
      <c r="AQ133" s="6" t="str">
        <f t="shared" ca="1" si="414"/>
        <v>X</v>
      </c>
      <c r="AR133" s="6" t="str">
        <f t="shared" ca="1" si="414"/>
        <v>X</v>
      </c>
      <c r="AS133" s="6" t="str">
        <f t="shared" ca="1" si="414"/>
        <v>X</v>
      </c>
      <c r="AT133" s="6" t="str">
        <f t="shared" ca="1" si="414"/>
        <v>X</v>
      </c>
      <c r="AU133" s="6" t="str">
        <f t="shared" ca="1" si="414"/>
        <v>X</v>
      </c>
      <c r="AV133" s="6" t="str">
        <f t="shared" ca="1" si="414"/>
        <v>X</v>
      </c>
      <c r="AW133" s="6" t="str">
        <f t="shared" ca="1" si="414"/>
        <v>X</v>
      </c>
      <c r="AX133" s="6" t="str">
        <f t="shared" ca="1" si="427"/>
        <v>X</v>
      </c>
      <c r="AY133" s="6" t="str">
        <f t="shared" ca="1" si="414"/>
        <v>X</v>
      </c>
      <c r="AZ133" s="6" t="str">
        <f t="shared" ca="1" si="392"/>
        <v>X</v>
      </c>
      <c r="BA133" s="6" t="str">
        <f t="shared" ca="1" si="414"/>
        <v>X</v>
      </c>
      <c r="BB133" s="6" t="str">
        <f t="shared" ca="1" si="392"/>
        <v>X</v>
      </c>
      <c r="BC133" s="6" t="str">
        <f t="shared" ca="1" si="414"/>
        <v>X</v>
      </c>
      <c r="BD133" s="6" t="str">
        <f t="shared" ca="1" si="412"/>
        <v>X</v>
      </c>
      <c r="BE133" s="6" t="str">
        <f t="shared" ca="1" si="414"/>
        <v>X</v>
      </c>
      <c r="BF133" s="6" t="str">
        <f t="shared" ca="1" si="393"/>
        <v>X</v>
      </c>
      <c r="BG133" s="6" t="str">
        <f t="shared" ca="1" si="414"/>
        <v>X</v>
      </c>
      <c r="BH133" s="6" t="str">
        <f t="shared" ca="1" si="394"/>
        <v>X</v>
      </c>
      <c r="BI133" s="6" t="str">
        <f t="shared" ca="1" si="414"/>
        <v>X</v>
      </c>
      <c r="BJ133" s="6" t="str">
        <f t="shared" ca="1" si="395"/>
        <v>X</v>
      </c>
      <c r="BK133" s="12" t="str">
        <f t="shared" ca="1" si="415"/>
        <v>X</v>
      </c>
      <c r="BL133" s="6" t="str">
        <f t="shared" ca="1" si="415"/>
        <v>X</v>
      </c>
      <c r="BM133" s="6" t="str">
        <f t="shared" ca="1" si="416"/>
        <v>X</v>
      </c>
      <c r="BN133" s="6" t="str">
        <f t="shared" ca="1" si="416"/>
        <v>X</v>
      </c>
      <c r="BO133" s="6" t="str">
        <f t="shared" ca="1" si="417"/>
        <v>X</v>
      </c>
      <c r="BP133" s="6" t="str">
        <f t="shared" ca="1" si="417"/>
        <v>X</v>
      </c>
      <c r="BQ133" s="6" t="str">
        <f t="shared" ca="1" si="418"/>
        <v>X</v>
      </c>
      <c r="BR133" s="6" t="str">
        <f t="shared" ca="1" si="418"/>
        <v>X</v>
      </c>
      <c r="BS133" s="6" t="str">
        <f t="shared" ca="1" si="419"/>
        <v>X</v>
      </c>
      <c r="BT133" s="6" t="str">
        <f t="shared" ca="1" si="419"/>
        <v>X</v>
      </c>
      <c r="BU133" s="6" t="str">
        <f t="shared" ca="1" si="420"/>
        <v>X</v>
      </c>
      <c r="BV133" s="6" t="str">
        <f t="shared" ca="1" si="420"/>
        <v>X</v>
      </c>
      <c r="BW133" s="6" t="str">
        <f t="shared" ca="1" si="421"/>
        <v>X</v>
      </c>
      <c r="BX133" s="6" t="str">
        <f t="shared" ca="1" si="421"/>
        <v>X</v>
      </c>
      <c r="BY133" s="6" t="str">
        <f t="shared" ca="1" si="422"/>
        <v>X</v>
      </c>
      <c r="BZ133" s="6" t="str">
        <f t="shared" ca="1" si="422"/>
        <v>X</v>
      </c>
      <c r="CA133" s="6" t="str">
        <f t="shared" ca="1" si="423"/>
        <v>X</v>
      </c>
      <c r="CB133" s="6" t="str">
        <f t="shared" ca="1" si="423"/>
        <v>X</v>
      </c>
      <c r="CC133" s="6" t="str">
        <f t="shared" ca="1" si="424"/>
        <v>X</v>
      </c>
      <c r="CD133" s="6" t="str">
        <f t="shared" ca="1" si="424"/>
        <v>X</v>
      </c>
      <c r="CE133" s="6" t="str">
        <f t="shared" ca="1" si="425"/>
        <v>X</v>
      </c>
      <c r="CF133" s="6" t="str">
        <f t="shared" ca="1" si="425"/>
        <v>X</v>
      </c>
      <c r="CG133" s="6" t="str">
        <f t="shared" ca="1" si="407"/>
        <v>X</v>
      </c>
      <c r="CH133" s="6" t="str">
        <f t="shared" ca="1" si="408"/>
        <v>X</v>
      </c>
      <c r="CI133" s="6" t="str">
        <f t="shared" ca="1" si="409"/>
        <v>X</v>
      </c>
      <c r="CJ133" s="6" t="str">
        <f t="shared" ca="1" si="410"/>
        <v>X</v>
      </c>
      <c r="CK133" s="6" t="str">
        <f t="shared" ca="1" si="426"/>
        <v>X</v>
      </c>
      <c r="CL133" s="6" t="str">
        <f t="shared" ca="1" si="426"/>
        <v>X</v>
      </c>
    </row>
    <row r="134" spans="1:90" ht="18.75" customHeight="1">
      <c r="A134" s="256"/>
      <c r="B134" s="257"/>
      <c r="C134" s="257"/>
      <c r="D134" s="257"/>
      <c r="E134" s="257"/>
      <c r="F134" s="257"/>
      <c r="G134" s="257"/>
      <c r="H134" s="257"/>
      <c r="I134" s="257"/>
      <c r="J134" s="258"/>
      <c r="K134" s="250" t="s">
        <v>87</v>
      </c>
      <c r="L134" s="251"/>
      <c r="M134" s="90"/>
      <c r="N134" s="267" t="str">
        <f t="shared" ca="1" si="413"/>
        <v>PLANEJADA</v>
      </c>
      <c r="O134" s="267"/>
      <c r="P134" s="10">
        <f t="shared" si="384"/>
        <v>0</v>
      </c>
      <c r="Q134" s="10">
        <f t="shared" si="385"/>
        <v>0</v>
      </c>
      <c r="R134" s="8">
        <f t="shared" si="386"/>
        <v>0</v>
      </c>
      <c r="S134" s="9" t="str">
        <f t="shared" ca="1" si="387"/>
        <v>-</v>
      </c>
      <c r="T134" s="9" t="str">
        <f t="shared" ca="1" si="388"/>
        <v>-</v>
      </c>
      <c r="U134" s="92"/>
      <c r="V134" s="190"/>
      <c r="W134" s="190"/>
      <c r="X134" s="190"/>
      <c r="Y134" s="190"/>
      <c r="Z134" s="190"/>
      <c r="AA134" s="190"/>
      <c r="AB134" s="190"/>
      <c r="AC134" s="190"/>
      <c r="AD134" s="39">
        <f t="shared" si="389"/>
        <v>0</v>
      </c>
      <c r="AE134" s="7">
        <f t="shared" si="390"/>
        <v>0</v>
      </c>
      <c r="AF134" s="32" t="str">
        <f t="shared" si="391"/>
        <v>OK</v>
      </c>
      <c r="AI134" s="6" t="str">
        <f t="shared" ca="1" si="414"/>
        <v>X</v>
      </c>
      <c r="AJ134" s="6" t="str">
        <f t="shared" ca="1" si="414"/>
        <v>X</v>
      </c>
      <c r="AK134" s="6" t="str">
        <f t="shared" ca="1" si="414"/>
        <v>X</v>
      </c>
      <c r="AL134" s="6" t="str">
        <f t="shared" ca="1" si="414"/>
        <v>X</v>
      </c>
      <c r="AM134" s="6" t="str">
        <f t="shared" ca="1" si="414"/>
        <v>X</v>
      </c>
      <c r="AN134" s="6" t="str">
        <f t="shared" ca="1" si="414"/>
        <v>X</v>
      </c>
      <c r="AO134" s="6" t="str">
        <f t="shared" ca="1" si="414"/>
        <v>X</v>
      </c>
      <c r="AP134" s="6" t="str">
        <f t="shared" ca="1" si="414"/>
        <v>X</v>
      </c>
      <c r="AQ134" s="6" t="str">
        <f t="shared" ca="1" si="414"/>
        <v>X</v>
      </c>
      <c r="AR134" s="6" t="str">
        <f t="shared" ca="1" si="414"/>
        <v>X</v>
      </c>
      <c r="AS134" s="6" t="str">
        <f t="shared" ca="1" si="414"/>
        <v>X</v>
      </c>
      <c r="AT134" s="6" t="str">
        <f t="shared" ca="1" si="414"/>
        <v>X</v>
      </c>
      <c r="AU134" s="6" t="str">
        <f t="shared" ca="1" si="414"/>
        <v>X</v>
      </c>
      <c r="AV134" s="6" t="str">
        <f t="shared" ca="1" si="414"/>
        <v>X</v>
      </c>
      <c r="AW134" s="6" t="str">
        <f t="shared" ca="1" si="414"/>
        <v>X</v>
      </c>
      <c r="AX134" s="6" t="str">
        <f t="shared" ca="1" si="427"/>
        <v>X</v>
      </c>
      <c r="AY134" s="6" t="str">
        <f t="shared" ca="1" si="414"/>
        <v>X</v>
      </c>
      <c r="AZ134" s="6" t="str">
        <f t="shared" ref="AZ134:AZ139" ca="1" si="428">IF($K134=INDIRECT(CONCATENATE("$B$"&amp;AZ$122)), INDIRECT(CONCATENATE("$B$"&amp;AZ$121)),
IF($K134=INDIRECT(CONCATENATE("$C$"&amp;AZ$122)), INDIRECT(CONCATENATE("$C$"&amp;AZ$121)),
IF($K134=INDIRECT(CONCATENATE("$D$"&amp;AZ$122)), INDIRECT(CONCATENATE("$D$"&amp;AZ$121)),
IF($K134=INDIRECT(CONCATENATE("$E$"&amp;AZ$122)), INDIRECT(CONCATENATE("$E$"&amp;AZ$121)),
IF($K134=INDIRECT(CONCATENATE("$F$"&amp;AZ$122)), INDIRECT(CONCATENATE("$F$"&amp;AZ$121)),
IF($K134=INDIRECT(CONCATENATE("$G$"&amp;AZ$122)), INDIRECT(CONCATENATE("$G$"&amp;AZ$121)),
IF($K134=INDIRECT(CONCATENATE("$H$"&amp;AZ$122)), INDIRECT(CONCATENATE("$H$"&amp;AZ$121)),
IF($K134=INDIRECT(CONCATENATE("$I$"&amp;AZ$122)), INDIRECT(CONCATENATE("$I$"&amp;AZ$121)),
IF($K134=INDIRECT(CONCATENATE("$J$"&amp;AZ$122)), INDIRECT(CONCATENATE("$J$"&amp;AZ$121)),
IF($K134=INDIRECT(CONCATENATE("$K$"&amp;AZ$122)), INDIRECT(CONCATENATE("$K$"&amp;AZ$121)),
IF($K134=INDIRECT(CONCATENATE("$L$"&amp;AZ$122)), INDIRECT(CONCATENATE("$L$"&amp;AZ$121)),
IF($K134=INDIRECT(CONCATENATE("$M$"&amp;AZ$122)), INDIRECT(CONCATENATE("$M$"&amp;AZ$121)),
IF($K134=INDIRECT(CONCATENATE("$N$"&amp;AZ$122)), INDIRECT(CONCATENATE("$N$"&amp;AZ$121)),
IF($K134=INDIRECT(CONCATENATE("$O$"&amp;AZ$122)), INDIRECT(CONCATENATE("$O$"&amp;AZ$121)),
IF($K134=INDIRECT(CONCATENATE("$P$"&amp;AZ$122)), INDIRECT(CONCATENATE("$P$"&amp;AZ$121)),
IF($K134=INDIRECT(CONCATENATE("$Q$"&amp;AZ$122)), INDIRECT(CONCATENATE("$Q$"&amp;AZ$121)),
IF($K134=INDIRECT(CONCATENATE("$R$"&amp;AZ$122)), INDIRECT(CONCATENATE("$R$"&amp;AZ$121)),
IF($K134=INDIRECT(CONCATENATE("$S$"&amp;AZ$122)), INDIRECT(CONCATENATE("$S$"&amp;AZ$121)),
IF($K134=INDIRECT(CONCATENATE("$T$"&amp;AZ$122)), INDIRECT(CONCATENATE("$T$"&amp;AZ$121)),
IF($K134=INDIRECT(CONCATENATE("$U$"&amp;AZ$122)), INDIRECT(CONCATENATE("$U$"&amp;AZ$121)),
IF($K134=INDIRECT(CONCATENATE("$V$"&amp;AZ$122)), INDIRECT(CONCATENATE("$V$"&amp;AZ$121)),
IF($K134=INDIRECT(CONCATENATE("$W$"&amp;AZ$122)), INDIRECT(CONCATENATE("$W$"&amp;AZ$121)),
IF($K134=INDIRECT(CONCATENATE("$X$"&amp;AZ$122)), INDIRECT(CONCATENATE("$X$"&amp;AZ$121)),
IF($K134=INDIRECT(CONCATENATE("$Y$"&amp;AZ$122)), INDIRECT(CONCATENATE("$Y$"&amp;AZ$121)),
IF($K134=INDIRECT(CONCATENATE("$Z$"&amp;AZ$122)), INDIRECT(CONCATENATE("$Z$"&amp;AZ$121)),
IF($K134=INDIRECT(CONCATENATE("$AA$"&amp;AZ$122)), INDIRECT(CONCATENATE("$AA$"&amp;AZ$121)),
IF($K134=INDIRECT(CONCATENATE("$AB$"&amp;AZ$122)), INDIRECT(CONCATENATE("$AB$"&amp;AZ$121)),
IF($K134=INDIRECT(CONCATENATE("$AC$"&amp;AZ$122)), INDIRECT(CONCATENATE("$AC$"&amp;AZ$121)),
IF($K134=INDIRECT(CONCATENATE("$AD$"&amp;AZ$122)), INDIRECT(CONCATENATE("$AD$"&amp;AZ$121)),
IF($K134=INDIRECT(CONCATENATE("$AE$"&amp;AZ$122)), INDIRECT(CONCATENATE("$AE$"&amp;AZ$121)),
IF($K134=INDIRECT(CONCATENATE("$AF$"&amp;AZ$122)), INDIRECT(CONCATENATE("$AF$"&amp;AZ$121)),"X")))))))))))))))))))))))))))))))</f>
        <v>X</v>
      </c>
      <c r="BA134" s="6" t="str">
        <f t="shared" ca="1" si="414"/>
        <v>X</v>
      </c>
      <c r="BB134" s="6" t="str">
        <f t="shared" ref="BB134:BB139" ca="1" si="429">IF($K134=INDIRECT(CONCATENATE("$B$"&amp;BB$122)), INDIRECT(CONCATENATE("$B$"&amp;BB$121)),
IF($K134=INDIRECT(CONCATENATE("$C$"&amp;BB$122)), INDIRECT(CONCATENATE("$C$"&amp;BB$121)),
IF($K134=INDIRECT(CONCATENATE("$D$"&amp;BB$122)), INDIRECT(CONCATENATE("$D$"&amp;BB$121)),
IF($K134=INDIRECT(CONCATENATE("$E$"&amp;BB$122)), INDIRECT(CONCATENATE("$E$"&amp;BB$121)),
IF($K134=INDIRECT(CONCATENATE("$F$"&amp;BB$122)), INDIRECT(CONCATENATE("$F$"&amp;BB$121)),
IF($K134=INDIRECT(CONCATENATE("$G$"&amp;BB$122)), INDIRECT(CONCATENATE("$G$"&amp;BB$121)),
IF($K134=INDIRECT(CONCATENATE("$H$"&amp;BB$122)), INDIRECT(CONCATENATE("$H$"&amp;BB$121)),
IF($K134=INDIRECT(CONCATENATE("$I$"&amp;BB$122)), INDIRECT(CONCATENATE("$I$"&amp;BB$121)),
IF($K134=INDIRECT(CONCATENATE("$J$"&amp;BB$122)), INDIRECT(CONCATENATE("$J$"&amp;BB$121)),
IF($K134=INDIRECT(CONCATENATE("$K$"&amp;BB$122)), INDIRECT(CONCATENATE("$K$"&amp;BB$121)),
IF($K134=INDIRECT(CONCATENATE("$L$"&amp;BB$122)), INDIRECT(CONCATENATE("$L$"&amp;BB$121)),
IF($K134=INDIRECT(CONCATENATE("$M$"&amp;BB$122)), INDIRECT(CONCATENATE("$M$"&amp;BB$121)),
IF($K134=INDIRECT(CONCATENATE("$N$"&amp;BB$122)), INDIRECT(CONCATENATE("$N$"&amp;BB$121)),
IF($K134=INDIRECT(CONCATENATE("$O$"&amp;BB$122)), INDIRECT(CONCATENATE("$O$"&amp;BB$121)),
IF($K134=INDIRECT(CONCATENATE("$P$"&amp;BB$122)), INDIRECT(CONCATENATE("$P$"&amp;BB$121)),
IF($K134=INDIRECT(CONCATENATE("$Q$"&amp;BB$122)), INDIRECT(CONCATENATE("$Q$"&amp;BB$121)),
IF($K134=INDIRECT(CONCATENATE("$R$"&amp;BB$122)), INDIRECT(CONCATENATE("$R$"&amp;BB$121)),
IF($K134=INDIRECT(CONCATENATE("$S$"&amp;BB$122)), INDIRECT(CONCATENATE("$S$"&amp;BB$121)),
IF($K134=INDIRECT(CONCATENATE("$T$"&amp;BB$122)), INDIRECT(CONCATENATE("$T$"&amp;BB$121)),
IF($K134=INDIRECT(CONCATENATE("$U$"&amp;BB$122)), INDIRECT(CONCATENATE("$U$"&amp;BB$121)),
IF($K134=INDIRECT(CONCATENATE("$V$"&amp;BB$122)), INDIRECT(CONCATENATE("$V$"&amp;BB$121)),
IF($K134=INDIRECT(CONCATENATE("$W$"&amp;BB$122)), INDIRECT(CONCATENATE("$W$"&amp;BB$121)),
IF($K134=INDIRECT(CONCATENATE("$X$"&amp;BB$122)), INDIRECT(CONCATENATE("$X$"&amp;BB$121)),
IF($K134=INDIRECT(CONCATENATE("$Y$"&amp;BB$122)), INDIRECT(CONCATENATE("$Y$"&amp;BB$121)),
IF($K134=INDIRECT(CONCATENATE("$Z$"&amp;BB$122)), INDIRECT(CONCATENATE("$Z$"&amp;BB$121)),
IF($K134=INDIRECT(CONCATENATE("$AA$"&amp;BB$122)), INDIRECT(CONCATENATE("$AA$"&amp;BB$121)),
IF($K134=INDIRECT(CONCATENATE("$AB$"&amp;BB$122)), INDIRECT(CONCATENATE("$AB$"&amp;BB$121)),
IF($K134=INDIRECT(CONCATENATE("$AC$"&amp;BB$122)), INDIRECT(CONCATENATE("$AC$"&amp;BB$121)),
IF($K134=INDIRECT(CONCATENATE("$AD$"&amp;BB$122)), INDIRECT(CONCATENATE("$AD$"&amp;BB$121)),
IF($K134=INDIRECT(CONCATENATE("$AE$"&amp;BB$122)), INDIRECT(CONCATENATE("$AE$"&amp;BB$121)),
IF($K134=INDIRECT(CONCATENATE("$AF$"&amp;BB$122)), INDIRECT(CONCATENATE("$AF$"&amp;BB$121)),"X")))))))))))))))))))))))))))))))</f>
        <v>X</v>
      </c>
      <c r="BC134" s="6" t="str">
        <f t="shared" ca="1" si="414"/>
        <v>X</v>
      </c>
      <c r="BD134" s="6" t="str">
        <f t="shared" ca="1" si="412"/>
        <v>X</v>
      </c>
      <c r="BE134" s="6" t="str">
        <f t="shared" ca="1" si="414"/>
        <v>X</v>
      </c>
      <c r="BF134" s="6" t="str">
        <f t="shared" ca="1" si="393"/>
        <v>X</v>
      </c>
      <c r="BG134" s="6" t="str">
        <f t="shared" ca="1" si="414"/>
        <v>X</v>
      </c>
      <c r="BH134" s="6" t="str">
        <f t="shared" ca="1" si="394"/>
        <v>X</v>
      </c>
      <c r="BI134" s="6" t="str">
        <f t="shared" ca="1" si="414"/>
        <v>X</v>
      </c>
      <c r="BJ134" s="6" t="str">
        <f t="shared" ca="1" si="395"/>
        <v>X</v>
      </c>
      <c r="BK134" s="12" t="str">
        <f t="shared" ca="1" si="415"/>
        <v>X</v>
      </c>
      <c r="BL134" s="6" t="str">
        <f t="shared" ca="1" si="415"/>
        <v>X</v>
      </c>
      <c r="BM134" s="6" t="str">
        <f t="shared" ca="1" si="416"/>
        <v>X</v>
      </c>
      <c r="BN134" s="6" t="str">
        <f t="shared" ca="1" si="416"/>
        <v>X</v>
      </c>
      <c r="BO134" s="6" t="str">
        <f t="shared" ca="1" si="417"/>
        <v>X</v>
      </c>
      <c r="BP134" s="6" t="str">
        <f t="shared" ca="1" si="417"/>
        <v>X</v>
      </c>
      <c r="BQ134" s="6" t="str">
        <f t="shared" ca="1" si="418"/>
        <v>X</v>
      </c>
      <c r="BR134" s="6" t="str">
        <f t="shared" ca="1" si="418"/>
        <v>X</v>
      </c>
      <c r="BS134" s="6" t="str">
        <f t="shared" ca="1" si="419"/>
        <v>X</v>
      </c>
      <c r="BT134" s="6" t="str">
        <f t="shared" ca="1" si="419"/>
        <v>X</v>
      </c>
      <c r="BU134" s="6" t="str">
        <f t="shared" ca="1" si="420"/>
        <v>X</v>
      </c>
      <c r="BV134" s="6" t="str">
        <f t="shared" ca="1" si="420"/>
        <v>X</v>
      </c>
      <c r="BW134" s="6" t="str">
        <f t="shared" ca="1" si="421"/>
        <v>X</v>
      </c>
      <c r="BX134" s="6" t="str">
        <f t="shared" ca="1" si="421"/>
        <v>X</v>
      </c>
      <c r="BY134" s="6" t="str">
        <f t="shared" ca="1" si="422"/>
        <v>X</v>
      </c>
      <c r="BZ134" s="6" t="str">
        <f t="shared" ca="1" si="422"/>
        <v>X</v>
      </c>
      <c r="CA134" s="6" t="str">
        <f t="shared" ca="1" si="423"/>
        <v>X</v>
      </c>
      <c r="CB134" s="6" t="str">
        <f t="shared" ca="1" si="423"/>
        <v>X</v>
      </c>
      <c r="CC134" s="6" t="str">
        <f t="shared" ca="1" si="424"/>
        <v>X</v>
      </c>
      <c r="CD134" s="6" t="str">
        <f t="shared" ca="1" si="424"/>
        <v>X</v>
      </c>
      <c r="CE134" s="6" t="str">
        <f t="shared" ca="1" si="425"/>
        <v>X</v>
      </c>
      <c r="CF134" s="6" t="str">
        <f t="shared" ca="1" si="425"/>
        <v>X</v>
      </c>
      <c r="CG134" s="6" t="str">
        <f t="shared" ca="1" si="407"/>
        <v>X</v>
      </c>
      <c r="CH134" s="6" t="str">
        <f t="shared" ca="1" si="408"/>
        <v>X</v>
      </c>
      <c r="CI134" s="6" t="str">
        <f t="shared" ca="1" si="409"/>
        <v>X</v>
      </c>
      <c r="CJ134" s="6" t="str">
        <f t="shared" ca="1" si="410"/>
        <v>X</v>
      </c>
      <c r="CK134" s="6" t="str">
        <f t="shared" ca="1" si="426"/>
        <v>X</v>
      </c>
      <c r="CL134" s="6" t="str">
        <f t="shared" ca="1" si="426"/>
        <v>X</v>
      </c>
    </row>
    <row r="135" spans="1:90" ht="18.75" customHeight="1">
      <c r="A135" s="256"/>
      <c r="B135" s="257"/>
      <c r="C135" s="257"/>
      <c r="D135" s="257"/>
      <c r="E135" s="257"/>
      <c r="F135" s="257"/>
      <c r="G135" s="257"/>
      <c r="H135" s="257"/>
      <c r="I135" s="257"/>
      <c r="J135" s="258"/>
      <c r="K135" s="250" t="s">
        <v>87</v>
      </c>
      <c r="L135" s="251"/>
      <c r="M135" s="90"/>
      <c r="N135" s="267" t="str">
        <f ca="1">IF(AND(TODAY()&gt;=S135,TODAY()&lt;=T135),"EM ANDAMENTO",IF(TODAY()&gt;T135,"CONCLUÍDA","PLANEJADA"))</f>
        <v>PLANEJADA</v>
      </c>
      <c r="O135" s="267"/>
      <c r="P135" s="10">
        <f t="shared" si="384"/>
        <v>0</v>
      </c>
      <c r="Q135" s="10">
        <f t="shared" si="385"/>
        <v>0</v>
      </c>
      <c r="R135" s="8">
        <f t="shared" si="386"/>
        <v>0</v>
      </c>
      <c r="S135" s="9" t="str">
        <f t="shared" ca="1" si="387"/>
        <v>-</v>
      </c>
      <c r="T135" s="9" t="str">
        <f t="shared" ca="1" si="388"/>
        <v>-</v>
      </c>
      <c r="U135" s="92"/>
      <c r="V135" s="190"/>
      <c r="W135" s="190"/>
      <c r="X135" s="190"/>
      <c r="Y135" s="190"/>
      <c r="Z135" s="190"/>
      <c r="AA135" s="190"/>
      <c r="AB135" s="190"/>
      <c r="AC135" s="190"/>
      <c r="AD135" s="39">
        <f t="shared" si="389"/>
        <v>0</v>
      </c>
      <c r="AE135" s="7">
        <f t="shared" si="390"/>
        <v>0</v>
      </c>
      <c r="AF135" s="32" t="str">
        <f t="shared" si="391"/>
        <v>OK</v>
      </c>
      <c r="AI135" s="6" t="str">
        <f t="shared" ca="1" si="414"/>
        <v>X</v>
      </c>
      <c r="AJ135" s="6" t="str">
        <f t="shared" ca="1" si="414"/>
        <v>X</v>
      </c>
      <c r="AK135" s="6" t="str">
        <f t="shared" ca="1" si="414"/>
        <v>X</v>
      </c>
      <c r="AL135" s="6" t="str">
        <f t="shared" ca="1" si="414"/>
        <v>X</v>
      </c>
      <c r="AM135" s="6" t="str">
        <f t="shared" ca="1" si="414"/>
        <v>X</v>
      </c>
      <c r="AN135" s="6" t="str">
        <f t="shared" ca="1" si="414"/>
        <v>X</v>
      </c>
      <c r="AO135" s="6" t="str">
        <f t="shared" ca="1" si="414"/>
        <v>X</v>
      </c>
      <c r="AP135" s="6" t="str">
        <f t="shared" ca="1" si="414"/>
        <v>X</v>
      </c>
      <c r="AQ135" s="6" t="str">
        <f t="shared" ca="1" si="414"/>
        <v>X</v>
      </c>
      <c r="AR135" s="6" t="str">
        <f t="shared" ca="1" si="414"/>
        <v>X</v>
      </c>
      <c r="AS135" s="6" t="str">
        <f t="shared" ca="1" si="414"/>
        <v>X</v>
      </c>
      <c r="AT135" s="6" t="str">
        <f t="shared" ca="1" si="414"/>
        <v>X</v>
      </c>
      <c r="AU135" s="6" t="str">
        <f t="shared" ca="1" si="414"/>
        <v>X</v>
      </c>
      <c r="AV135" s="6" t="str">
        <f t="shared" ca="1" si="414"/>
        <v>X</v>
      </c>
      <c r="AW135" s="6" t="str">
        <f t="shared" ca="1" si="414"/>
        <v>X</v>
      </c>
      <c r="AX135" s="6" t="str">
        <f t="shared" ca="1" si="427"/>
        <v>X</v>
      </c>
      <c r="AY135" s="6" t="str">
        <f t="shared" ca="1" si="414"/>
        <v>X</v>
      </c>
      <c r="AZ135" s="6" t="str">
        <f t="shared" ca="1" si="428"/>
        <v>X</v>
      </c>
      <c r="BA135" s="6" t="str">
        <f t="shared" ca="1" si="414"/>
        <v>X</v>
      </c>
      <c r="BB135" s="6" t="str">
        <f t="shared" ca="1" si="429"/>
        <v>X</v>
      </c>
      <c r="BC135" s="6" t="str">
        <f t="shared" ca="1" si="414"/>
        <v>X</v>
      </c>
      <c r="BD135" s="6" t="str">
        <f t="shared" ca="1" si="412"/>
        <v>X</v>
      </c>
      <c r="BE135" s="6" t="str">
        <f t="shared" ca="1" si="414"/>
        <v>X</v>
      </c>
      <c r="BF135" s="6" t="str">
        <f t="shared" ca="1" si="393"/>
        <v>X</v>
      </c>
      <c r="BG135" s="6" t="str">
        <f t="shared" ca="1" si="414"/>
        <v>X</v>
      </c>
      <c r="BH135" s="6" t="str">
        <f t="shared" ca="1" si="394"/>
        <v>X</v>
      </c>
      <c r="BI135" s="6" t="str">
        <f t="shared" ca="1" si="414"/>
        <v>X</v>
      </c>
      <c r="BJ135" s="6" t="str">
        <f t="shared" ca="1" si="395"/>
        <v>X</v>
      </c>
      <c r="BK135" s="12" t="str">
        <f t="shared" ca="1" si="415"/>
        <v>X</v>
      </c>
      <c r="BL135" s="6" t="str">
        <f t="shared" ca="1" si="415"/>
        <v>X</v>
      </c>
      <c r="BM135" s="6" t="str">
        <f t="shared" ca="1" si="416"/>
        <v>X</v>
      </c>
      <c r="BN135" s="6" t="str">
        <f t="shared" ca="1" si="416"/>
        <v>X</v>
      </c>
      <c r="BO135" s="6" t="str">
        <f t="shared" ca="1" si="417"/>
        <v>X</v>
      </c>
      <c r="BP135" s="6" t="str">
        <f t="shared" ca="1" si="417"/>
        <v>X</v>
      </c>
      <c r="BQ135" s="6" t="str">
        <f t="shared" ca="1" si="418"/>
        <v>X</v>
      </c>
      <c r="BR135" s="6" t="str">
        <f t="shared" ca="1" si="418"/>
        <v>X</v>
      </c>
      <c r="BS135" s="6" t="str">
        <f t="shared" ca="1" si="419"/>
        <v>X</v>
      </c>
      <c r="BT135" s="6" t="str">
        <f t="shared" ca="1" si="419"/>
        <v>X</v>
      </c>
      <c r="BU135" s="6" t="str">
        <f t="shared" ca="1" si="420"/>
        <v>X</v>
      </c>
      <c r="BV135" s="6" t="str">
        <f t="shared" ca="1" si="420"/>
        <v>X</v>
      </c>
      <c r="BW135" s="6" t="str">
        <f t="shared" ca="1" si="421"/>
        <v>X</v>
      </c>
      <c r="BX135" s="6" t="str">
        <f t="shared" ca="1" si="421"/>
        <v>X</v>
      </c>
      <c r="BY135" s="6" t="str">
        <f t="shared" ca="1" si="422"/>
        <v>X</v>
      </c>
      <c r="BZ135" s="6" t="str">
        <f t="shared" ca="1" si="422"/>
        <v>X</v>
      </c>
      <c r="CA135" s="6" t="str">
        <f t="shared" ca="1" si="423"/>
        <v>X</v>
      </c>
      <c r="CB135" s="6" t="str">
        <f t="shared" ca="1" si="423"/>
        <v>X</v>
      </c>
      <c r="CC135" s="6" t="str">
        <f t="shared" ca="1" si="424"/>
        <v>X</v>
      </c>
      <c r="CD135" s="6" t="str">
        <f t="shared" ca="1" si="424"/>
        <v>X</v>
      </c>
      <c r="CE135" s="6" t="str">
        <f t="shared" ca="1" si="425"/>
        <v>X</v>
      </c>
      <c r="CF135" s="6" t="str">
        <f t="shared" ca="1" si="425"/>
        <v>X</v>
      </c>
      <c r="CG135" s="6" t="str">
        <f t="shared" ca="1" si="407"/>
        <v>X</v>
      </c>
      <c r="CH135" s="6" t="str">
        <f t="shared" ca="1" si="408"/>
        <v>X</v>
      </c>
      <c r="CI135" s="6" t="str">
        <f t="shared" ca="1" si="409"/>
        <v>X</v>
      </c>
      <c r="CJ135" s="6" t="str">
        <f t="shared" ca="1" si="410"/>
        <v>X</v>
      </c>
      <c r="CK135" s="6" t="str">
        <f t="shared" ca="1" si="426"/>
        <v>X</v>
      </c>
      <c r="CL135" s="6" t="str">
        <f t="shared" ca="1" si="426"/>
        <v>X</v>
      </c>
    </row>
    <row r="136" spans="1:90" ht="18.75" customHeight="1">
      <c r="A136" s="256"/>
      <c r="B136" s="257"/>
      <c r="C136" s="257"/>
      <c r="D136" s="257"/>
      <c r="E136" s="257"/>
      <c r="F136" s="257"/>
      <c r="G136" s="257"/>
      <c r="H136" s="257"/>
      <c r="I136" s="257"/>
      <c r="J136" s="258"/>
      <c r="K136" s="250" t="s">
        <v>87</v>
      </c>
      <c r="L136" s="251"/>
      <c r="M136" s="90"/>
      <c r="N136" s="267" t="str">
        <f t="shared" ca="1" si="413"/>
        <v>PLANEJADA</v>
      </c>
      <c r="O136" s="267"/>
      <c r="P136" s="10">
        <f t="shared" si="384"/>
        <v>0</v>
      </c>
      <c r="Q136" s="10">
        <f t="shared" si="385"/>
        <v>0</v>
      </c>
      <c r="R136" s="8">
        <f t="shared" si="386"/>
        <v>0</v>
      </c>
      <c r="S136" s="9" t="str">
        <f t="shared" ca="1" si="387"/>
        <v>-</v>
      </c>
      <c r="T136" s="9" t="str">
        <f t="shared" ca="1" si="388"/>
        <v>-</v>
      </c>
      <c r="U136" s="92"/>
      <c r="V136" s="190"/>
      <c r="W136" s="190"/>
      <c r="X136" s="190"/>
      <c r="Y136" s="190"/>
      <c r="Z136" s="190"/>
      <c r="AA136" s="190"/>
      <c r="AB136" s="190"/>
      <c r="AC136" s="190"/>
      <c r="AD136" s="39">
        <f t="shared" si="389"/>
        <v>0</v>
      </c>
      <c r="AE136" s="7">
        <f t="shared" si="390"/>
        <v>0</v>
      </c>
      <c r="AF136" s="32" t="str">
        <f t="shared" si="391"/>
        <v>OK</v>
      </c>
      <c r="AI136" s="6" t="str">
        <f t="shared" ca="1" si="414"/>
        <v>X</v>
      </c>
      <c r="AJ136" s="6" t="str">
        <f t="shared" ca="1" si="414"/>
        <v>X</v>
      </c>
      <c r="AK136" s="6" t="str">
        <f t="shared" ca="1" si="414"/>
        <v>X</v>
      </c>
      <c r="AL136" s="6" t="str">
        <f t="shared" ca="1" si="414"/>
        <v>X</v>
      </c>
      <c r="AM136" s="6" t="str">
        <f t="shared" ca="1" si="414"/>
        <v>X</v>
      </c>
      <c r="AN136" s="6" t="str">
        <f t="shared" ca="1" si="414"/>
        <v>X</v>
      </c>
      <c r="AO136" s="6" t="str">
        <f t="shared" ca="1" si="414"/>
        <v>X</v>
      </c>
      <c r="AP136" s="6" t="str">
        <f t="shared" ca="1" si="414"/>
        <v>X</v>
      </c>
      <c r="AQ136" s="6" t="str">
        <f t="shared" ca="1" si="414"/>
        <v>X</v>
      </c>
      <c r="AR136" s="6" t="str">
        <f t="shared" ca="1" si="414"/>
        <v>X</v>
      </c>
      <c r="AS136" s="6" t="str">
        <f t="shared" ca="1" si="414"/>
        <v>X</v>
      </c>
      <c r="AT136" s="6" t="str">
        <f t="shared" ca="1" si="414"/>
        <v>X</v>
      </c>
      <c r="AU136" s="6" t="str">
        <f t="shared" ca="1" si="414"/>
        <v>X</v>
      </c>
      <c r="AV136" s="6" t="str">
        <f t="shared" ca="1" si="414"/>
        <v>X</v>
      </c>
      <c r="AW136" s="6" t="str">
        <f t="shared" ca="1" si="414"/>
        <v>X</v>
      </c>
      <c r="AX136" s="6" t="str">
        <f t="shared" ca="1" si="427"/>
        <v>X</v>
      </c>
      <c r="AY136" s="6" t="str">
        <f t="shared" ca="1" si="414"/>
        <v>X</v>
      </c>
      <c r="AZ136" s="6" t="str">
        <f t="shared" ca="1" si="428"/>
        <v>X</v>
      </c>
      <c r="BA136" s="6" t="str">
        <f t="shared" ca="1" si="414"/>
        <v>X</v>
      </c>
      <c r="BB136" s="6" t="str">
        <f t="shared" ca="1" si="429"/>
        <v>X</v>
      </c>
      <c r="BC136" s="6" t="str">
        <f t="shared" ca="1" si="414"/>
        <v>X</v>
      </c>
      <c r="BD136" s="6" t="str">
        <f t="shared" ca="1" si="412"/>
        <v>X</v>
      </c>
      <c r="BE136" s="6" t="str">
        <f t="shared" ca="1" si="414"/>
        <v>X</v>
      </c>
      <c r="BF136" s="6" t="str">
        <f t="shared" ca="1" si="393"/>
        <v>X</v>
      </c>
      <c r="BG136" s="6" t="str">
        <f t="shared" ca="1" si="414"/>
        <v>X</v>
      </c>
      <c r="BH136" s="6" t="str">
        <f t="shared" ca="1" si="394"/>
        <v>X</v>
      </c>
      <c r="BI136" s="6" t="str">
        <f t="shared" ca="1" si="414"/>
        <v>X</v>
      </c>
      <c r="BJ136" s="6" t="str">
        <f t="shared" ca="1" si="395"/>
        <v>X</v>
      </c>
      <c r="BK136" s="12" t="str">
        <f t="shared" ca="1" si="415"/>
        <v>X</v>
      </c>
      <c r="BL136" s="6" t="str">
        <f t="shared" ca="1" si="415"/>
        <v>X</v>
      </c>
      <c r="BM136" s="6" t="str">
        <f t="shared" ca="1" si="416"/>
        <v>X</v>
      </c>
      <c r="BN136" s="6" t="str">
        <f t="shared" ca="1" si="416"/>
        <v>X</v>
      </c>
      <c r="BO136" s="6" t="str">
        <f t="shared" ca="1" si="417"/>
        <v>X</v>
      </c>
      <c r="BP136" s="6" t="str">
        <f t="shared" ca="1" si="417"/>
        <v>X</v>
      </c>
      <c r="BQ136" s="6" t="str">
        <f t="shared" ca="1" si="418"/>
        <v>X</v>
      </c>
      <c r="BR136" s="6" t="str">
        <f t="shared" ca="1" si="418"/>
        <v>X</v>
      </c>
      <c r="BS136" s="6" t="str">
        <f t="shared" ca="1" si="419"/>
        <v>X</v>
      </c>
      <c r="BT136" s="6" t="str">
        <f t="shared" ca="1" si="419"/>
        <v>X</v>
      </c>
      <c r="BU136" s="6" t="str">
        <f t="shared" ca="1" si="420"/>
        <v>X</v>
      </c>
      <c r="BV136" s="6" t="str">
        <f t="shared" ca="1" si="420"/>
        <v>X</v>
      </c>
      <c r="BW136" s="6" t="str">
        <f t="shared" ca="1" si="421"/>
        <v>X</v>
      </c>
      <c r="BX136" s="6" t="str">
        <f t="shared" ca="1" si="421"/>
        <v>X</v>
      </c>
      <c r="BY136" s="6" t="str">
        <f t="shared" ca="1" si="422"/>
        <v>X</v>
      </c>
      <c r="BZ136" s="6" t="str">
        <f t="shared" ca="1" si="422"/>
        <v>X</v>
      </c>
      <c r="CA136" s="6" t="str">
        <f t="shared" ca="1" si="423"/>
        <v>X</v>
      </c>
      <c r="CB136" s="6" t="str">
        <f t="shared" ca="1" si="423"/>
        <v>X</v>
      </c>
      <c r="CC136" s="6" t="str">
        <f t="shared" ca="1" si="424"/>
        <v>X</v>
      </c>
      <c r="CD136" s="6" t="str">
        <f t="shared" ca="1" si="424"/>
        <v>X</v>
      </c>
      <c r="CE136" s="6" t="str">
        <f t="shared" ca="1" si="425"/>
        <v>X</v>
      </c>
      <c r="CF136" s="6" t="str">
        <f t="shared" ca="1" si="425"/>
        <v>X</v>
      </c>
      <c r="CG136" s="6" t="str">
        <f t="shared" ca="1" si="407"/>
        <v>X</v>
      </c>
      <c r="CH136" s="6" t="str">
        <f t="shared" ca="1" si="408"/>
        <v>X</v>
      </c>
      <c r="CI136" s="6" t="str">
        <f t="shared" ca="1" si="409"/>
        <v>X</v>
      </c>
      <c r="CJ136" s="6" t="str">
        <f t="shared" ca="1" si="410"/>
        <v>X</v>
      </c>
      <c r="CK136" s="6" t="str">
        <f t="shared" ca="1" si="426"/>
        <v>X</v>
      </c>
      <c r="CL136" s="6" t="str">
        <f t="shared" ca="1" si="426"/>
        <v>X</v>
      </c>
    </row>
    <row r="137" spans="1:90" ht="18.75" customHeight="1">
      <c r="A137" s="256"/>
      <c r="B137" s="257"/>
      <c r="C137" s="257"/>
      <c r="D137" s="257"/>
      <c r="E137" s="257"/>
      <c r="F137" s="257"/>
      <c r="G137" s="257"/>
      <c r="H137" s="257"/>
      <c r="I137" s="257"/>
      <c r="J137" s="258"/>
      <c r="K137" s="250" t="s">
        <v>87</v>
      </c>
      <c r="L137" s="251"/>
      <c r="M137" s="90"/>
      <c r="N137" s="267" t="str">
        <f t="shared" ca="1" si="413"/>
        <v>PLANEJADA</v>
      </c>
      <c r="O137" s="267"/>
      <c r="P137" s="10">
        <f t="shared" si="384"/>
        <v>0</v>
      </c>
      <c r="Q137" s="10">
        <f t="shared" si="385"/>
        <v>0</v>
      </c>
      <c r="R137" s="8">
        <f t="shared" si="386"/>
        <v>0</v>
      </c>
      <c r="S137" s="9" t="str">
        <f t="shared" ca="1" si="387"/>
        <v>-</v>
      </c>
      <c r="T137" s="9" t="str">
        <f t="shared" ca="1" si="388"/>
        <v>-</v>
      </c>
      <c r="U137" s="92"/>
      <c r="V137" s="190"/>
      <c r="W137" s="190"/>
      <c r="X137" s="190"/>
      <c r="Y137" s="190"/>
      <c r="Z137" s="190"/>
      <c r="AA137" s="190"/>
      <c r="AB137" s="190"/>
      <c r="AC137" s="190"/>
      <c r="AD137" s="39">
        <f t="shared" si="389"/>
        <v>0</v>
      </c>
      <c r="AE137" s="7">
        <f t="shared" si="390"/>
        <v>0</v>
      </c>
      <c r="AF137" s="32" t="str">
        <f t="shared" si="391"/>
        <v>OK</v>
      </c>
      <c r="AI137" s="6" t="str">
        <f t="shared" ca="1" si="414"/>
        <v>X</v>
      </c>
      <c r="AJ137" s="6" t="str">
        <f t="shared" ca="1" si="414"/>
        <v>X</v>
      </c>
      <c r="AK137" s="6" t="str">
        <f t="shared" ca="1" si="414"/>
        <v>X</v>
      </c>
      <c r="AL137" s="6" t="str">
        <f t="shared" ca="1" si="414"/>
        <v>X</v>
      </c>
      <c r="AM137" s="6" t="str">
        <f t="shared" ca="1" si="414"/>
        <v>X</v>
      </c>
      <c r="AN137" s="6" t="str">
        <f t="shared" ca="1" si="414"/>
        <v>X</v>
      </c>
      <c r="AO137" s="6" t="str">
        <f t="shared" ca="1" si="414"/>
        <v>X</v>
      </c>
      <c r="AP137" s="6" t="str">
        <f t="shared" ca="1" si="414"/>
        <v>X</v>
      </c>
      <c r="AQ137" s="6" t="str">
        <f t="shared" ca="1" si="414"/>
        <v>X</v>
      </c>
      <c r="AR137" s="6" t="str">
        <f t="shared" ca="1" si="414"/>
        <v>X</v>
      </c>
      <c r="AS137" s="6" t="str">
        <f t="shared" ca="1" si="414"/>
        <v>X</v>
      </c>
      <c r="AT137" s="6" t="str">
        <f t="shared" ca="1" si="414"/>
        <v>X</v>
      </c>
      <c r="AU137" s="6" t="str">
        <f t="shared" ca="1" si="414"/>
        <v>X</v>
      </c>
      <c r="AV137" s="6" t="str">
        <f t="shared" ca="1" si="414"/>
        <v>X</v>
      </c>
      <c r="AW137" s="6" t="str">
        <f t="shared" ca="1" si="414"/>
        <v>X</v>
      </c>
      <c r="AX137" s="6" t="str">
        <f t="shared" ca="1" si="427"/>
        <v>X</v>
      </c>
      <c r="AY137" s="6" t="str">
        <f t="shared" ca="1" si="414"/>
        <v>X</v>
      </c>
      <c r="AZ137" s="6" t="str">
        <f t="shared" ca="1" si="428"/>
        <v>X</v>
      </c>
      <c r="BA137" s="6" t="str">
        <f t="shared" ca="1" si="414"/>
        <v>X</v>
      </c>
      <c r="BB137" s="6" t="str">
        <f t="shared" ca="1" si="429"/>
        <v>X</v>
      </c>
      <c r="BC137" s="6" t="str">
        <f t="shared" ca="1" si="414"/>
        <v>X</v>
      </c>
      <c r="BD137" s="6" t="str">
        <f t="shared" ca="1" si="412"/>
        <v>X</v>
      </c>
      <c r="BE137" s="6" t="str">
        <f t="shared" ca="1" si="414"/>
        <v>X</v>
      </c>
      <c r="BF137" s="6" t="str">
        <f t="shared" ca="1" si="393"/>
        <v>X</v>
      </c>
      <c r="BG137" s="6" t="str">
        <f t="shared" ca="1" si="414"/>
        <v>X</v>
      </c>
      <c r="BH137" s="6" t="str">
        <f t="shared" ca="1" si="394"/>
        <v>X</v>
      </c>
      <c r="BI137" s="6" t="str">
        <f t="shared" ca="1" si="414"/>
        <v>X</v>
      </c>
      <c r="BJ137" s="6" t="str">
        <f t="shared" ca="1" si="395"/>
        <v>X</v>
      </c>
      <c r="BK137" s="12" t="str">
        <f t="shared" ca="1" si="415"/>
        <v>X</v>
      </c>
      <c r="BL137" s="6" t="str">
        <f t="shared" ca="1" si="415"/>
        <v>X</v>
      </c>
      <c r="BM137" s="6" t="str">
        <f t="shared" ca="1" si="416"/>
        <v>X</v>
      </c>
      <c r="BN137" s="6" t="str">
        <f t="shared" ca="1" si="416"/>
        <v>X</v>
      </c>
      <c r="BO137" s="6" t="str">
        <f t="shared" ca="1" si="417"/>
        <v>X</v>
      </c>
      <c r="BP137" s="6" t="str">
        <f t="shared" ca="1" si="417"/>
        <v>X</v>
      </c>
      <c r="BQ137" s="6" t="str">
        <f t="shared" ca="1" si="418"/>
        <v>X</v>
      </c>
      <c r="BR137" s="6" t="str">
        <f t="shared" ca="1" si="418"/>
        <v>X</v>
      </c>
      <c r="BS137" s="6" t="str">
        <f t="shared" ca="1" si="419"/>
        <v>X</v>
      </c>
      <c r="BT137" s="6" t="str">
        <f t="shared" ca="1" si="419"/>
        <v>X</v>
      </c>
      <c r="BU137" s="6" t="str">
        <f t="shared" ca="1" si="420"/>
        <v>X</v>
      </c>
      <c r="BV137" s="6" t="str">
        <f t="shared" ca="1" si="420"/>
        <v>X</v>
      </c>
      <c r="BW137" s="6" t="str">
        <f t="shared" ca="1" si="421"/>
        <v>X</v>
      </c>
      <c r="BX137" s="6" t="str">
        <f t="shared" ca="1" si="421"/>
        <v>X</v>
      </c>
      <c r="BY137" s="6" t="str">
        <f t="shared" ca="1" si="422"/>
        <v>X</v>
      </c>
      <c r="BZ137" s="6" t="str">
        <f t="shared" ca="1" si="422"/>
        <v>X</v>
      </c>
      <c r="CA137" s="6" t="str">
        <f t="shared" ca="1" si="423"/>
        <v>X</v>
      </c>
      <c r="CB137" s="6" t="str">
        <f t="shared" ca="1" si="423"/>
        <v>X</v>
      </c>
      <c r="CC137" s="6" t="str">
        <f t="shared" ca="1" si="424"/>
        <v>X</v>
      </c>
      <c r="CD137" s="6" t="str">
        <f t="shared" ca="1" si="424"/>
        <v>X</v>
      </c>
      <c r="CE137" s="6" t="str">
        <f t="shared" ca="1" si="425"/>
        <v>X</v>
      </c>
      <c r="CF137" s="6" t="str">
        <f t="shared" ca="1" si="425"/>
        <v>X</v>
      </c>
      <c r="CG137" s="6" t="str">
        <f t="shared" ca="1" si="407"/>
        <v>X</v>
      </c>
      <c r="CH137" s="6" t="str">
        <f t="shared" ca="1" si="408"/>
        <v>X</v>
      </c>
      <c r="CI137" s="6" t="str">
        <f t="shared" ca="1" si="409"/>
        <v>X</v>
      </c>
      <c r="CJ137" s="6" t="str">
        <f t="shared" ca="1" si="410"/>
        <v>X</v>
      </c>
      <c r="CK137" s="6" t="str">
        <f t="shared" ca="1" si="426"/>
        <v>X</v>
      </c>
      <c r="CL137" s="6" t="str">
        <f t="shared" ca="1" si="426"/>
        <v>X</v>
      </c>
    </row>
    <row r="138" spans="1:90" ht="18.75" customHeight="1">
      <c r="A138" s="256"/>
      <c r="B138" s="257"/>
      <c r="C138" s="257"/>
      <c r="D138" s="257"/>
      <c r="E138" s="257"/>
      <c r="F138" s="257"/>
      <c r="G138" s="257"/>
      <c r="H138" s="257"/>
      <c r="I138" s="257"/>
      <c r="J138" s="258"/>
      <c r="K138" s="250" t="s">
        <v>87</v>
      </c>
      <c r="L138" s="251"/>
      <c r="M138" s="90"/>
      <c r="N138" s="267" t="str">
        <f t="shared" ca="1" si="413"/>
        <v>PLANEJADA</v>
      </c>
      <c r="O138" s="267"/>
      <c r="P138" s="10">
        <f t="shared" si="384"/>
        <v>0</v>
      </c>
      <c r="Q138" s="10">
        <f t="shared" si="385"/>
        <v>0</v>
      </c>
      <c r="R138" s="8">
        <f t="shared" si="386"/>
        <v>0</v>
      </c>
      <c r="S138" s="9" t="str">
        <f t="shared" ca="1" si="387"/>
        <v>-</v>
      </c>
      <c r="T138" s="9" t="str">
        <f t="shared" ca="1" si="388"/>
        <v>-</v>
      </c>
      <c r="U138" s="92"/>
      <c r="V138" s="190"/>
      <c r="W138" s="190"/>
      <c r="X138" s="190"/>
      <c r="Y138" s="190"/>
      <c r="Z138" s="190"/>
      <c r="AA138" s="190"/>
      <c r="AB138" s="190"/>
      <c r="AC138" s="190"/>
      <c r="AD138" s="39">
        <f t="shared" si="389"/>
        <v>0</v>
      </c>
      <c r="AE138" s="7">
        <f t="shared" si="390"/>
        <v>0</v>
      </c>
      <c r="AF138" s="32" t="str">
        <f t="shared" si="391"/>
        <v>OK</v>
      </c>
      <c r="AI138" s="6" t="str">
        <f t="shared" ca="1" si="414"/>
        <v>X</v>
      </c>
      <c r="AJ138" s="6" t="str">
        <f t="shared" ca="1" si="414"/>
        <v>X</v>
      </c>
      <c r="AK138" s="6" t="str">
        <f t="shared" ca="1" si="414"/>
        <v>X</v>
      </c>
      <c r="AL138" s="6" t="str">
        <f t="shared" ca="1" si="414"/>
        <v>X</v>
      </c>
      <c r="AM138" s="6" t="str">
        <f t="shared" ca="1" si="414"/>
        <v>X</v>
      </c>
      <c r="AN138" s="6" t="str">
        <f t="shared" ca="1" si="414"/>
        <v>X</v>
      </c>
      <c r="AO138" s="6" t="str">
        <f t="shared" ca="1" si="414"/>
        <v>X</v>
      </c>
      <c r="AP138" s="6" t="str">
        <f t="shared" ca="1" si="414"/>
        <v>X</v>
      </c>
      <c r="AQ138" s="6" t="str">
        <f t="shared" ca="1" si="414"/>
        <v>X</v>
      </c>
      <c r="AR138" s="6" t="str">
        <f t="shared" ca="1" si="414"/>
        <v>X</v>
      </c>
      <c r="AS138" s="6" t="str">
        <f t="shared" ca="1" si="414"/>
        <v>X</v>
      </c>
      <c r="AT138" s="6" t="str">
        <f t="shared" ca="1" si="414"/>
        <v>X</v>
      </c>
      <c r="AU138" s="6" t="str">
        <f t="shared" ca="1" si="414"/>
        <v>X</v>
      </c>
      <c r="AV138" s="6" t="str">
        <f t="shared" ca="1" si="414"/>
        <v>X</v>
      </c>
      <c r="AW138" s="6" t="str">
        <f t="shared" ca="1" si="414"/>
        <v>X</v>
      </c>
      <c r="AX138" s="6" t="str">
        <f t="shared" ca="1" si="427"/>
        <v>X</v>
      </c>
      <c r="AY138" s="6" t="str">
        <f t="shared" ca="1" si="414"/>
        <v>X</v>
      </c>
      <c r="AZ138" s="6" t="str">
        <f t="shared" ca="1" si="428"/>
        <v>X</v>
      </c>
      <c r="BA138" s="6" t="str">
        <f t="shared" ca="1" si="414"/>
        <v>X</v>
      </c>
      <c r="BB138" s="6" t="str">
        <f t="shared" ca="1" si="429"/>
        <v>X</v>
      </c>
      <c r="BC138" s="6" t="str">
        <f t="shared" ca="1" si="414"/>
        <v>X</v>
      </c>
      <c r="BD138" s="6" t="str">
        <f t="shared" ca="1" si="412"/>
        <v>X</v>
      </c>
      <c r="BE138" s="6" t="str">
        <f t="shared" ca="1" si="414"/>
        <v>X</v>
      </c>
      <c r="BF138" s="6" t="str">
        <f t="shared" ca="1" si="393"/>
        <v>X</v>
      </c>
      <c r="BG138" s="6" t="str">
        <f t="shared" ca="1" si="414"/>
        <v>X</v>
      </c>
      <c r="BH138" s="6" t="str">
        <f t="shared" ca="1" si="394"/>
        <v>X</v>
      </c>
      <c r="BI138" s="6" t="str">
        <f t="shared" ca="1" si="414"/>
        <v>X</v>
      </c>
      <c r="BJ138" s="6" t="str">
        <f t="shared" ca="1" si="395"/>
        <v>X</v>
      </c>
      <c r="BK138" s="12" t="str">
        <f t="shared" ca="1" si="415"/>
        <v>X</v>
      </c>
      <c r="BL138" s="6" t="str">
        <f t="shared" ca="1" si="415"/>
        <v>X</v>
      </c>
      <c r="BM138" s="6" t="str">
        <f t="shared" ca="1" si="416"/>
        <v>X</v>
      </c>
      <c r="BN138" s="6" t="str">
        <f t="shared" ca="1" si="416"/>
        <v>X</v>
      </c>
      <c r="BO138" s="6" t="str">
        <f t="shared" ca="1" si="417"/>
        <v>X</v>
      </c>
      <c r="BP138" s="6" t="str">
        <f t="shared" ca="1" si="417"/>
        <v>X</v>
      </c>
      <c r="BQ138" s="6" t="str">
        <f t="shared" ca="1" si="418"/>
        <v>X</v>
      </c>
      <c r="BR138" s="6" t="str">
        <f t="shared" ca="1" si="418"/>
        <v>X</v>
      </c>
      <c r="BS138" s="6" t="str">
        <f t="shared" ca="1" si="419"/>
        <v>X</v>
      </c>
      <c r="BT138" s="6" t="str">
        <f t="shared" ca="1" si="419"/>
        <v>X</v>
      </c>
      <c r="BU138" s="6" t="str">
        <f t="shared" ca="1" si="420"/>
        <v>X</v>
      </c>
      <c r="BV138" s="6" t="str">
        <f t="shared" ca="1" si="420"/>
        <v>X</v>
      </c>
      <c r="BW138" s="6" t="str">
        <f t="shared" ca="1" si="421"/>
        <v>X</v>
      </c>
      <c r="BX138" s="6" t="str">
        <f t="shared" ca="1" si="421"/>
        <v>X</v>
      </c>
      <c r="BY138" s="6" t="str">
        <f t="shared" ca="1" si="422"/>
        <v>X</v>
      </c>
      <c r="BZ138" s="6" t="str">
        <f t="shared" ca="1" si="422"/>
        <v>X</v>
      </c>
      <c r="CA138" s="6" t="str">
        <f t="shared" ca="1" si="423"/>
        <v>X</v>
      </c>
      <c r="CB138" s="6" t="str">
        <f t="shared" ca="1" si="423"/>
        <v>X</v>
      </c>
      <c r="CC138" s="6" t="str">
        <f t="shared" ca="1" si="424"/>
        <v>X</v>
      </c>
      <c r="CD138" s="6" t="str">
        <f t="shared" ca="1" si="424"/>
        <v>X</v>
      </c>
      <c r="CE138" s="6" t="str">
        <f t="shared" ca="1" si="425"/>
        <v>X</v>
      </c>
      <c r="CF138" s="6" t="str">
        <f t="shared" ca="1" si="425"/>
        <v>X</v>
      </c>
      <c r="CG138" s="6" t="str">
        <f t="shared" ca="1" si="407"/>
        <v>X</v>
      </c>
      <c r="CH138" s="6" t="str">
        <f t="shared" ca="1" si="408"/>
        <v>X</v>
      </c>
      <c r="CI138" s="6" t="str">
        <f t="shared" ca="1" si="409"/>
        <v>X</v>
      </c>
      <c r="CJ138" s="6" t="str">
        <f t="shared" ca="1" si="410"/>
        <v>X</v>
      </c>
      <c r="CK138" s="6" t="str">
        <f t="shared" ca="1" si="426"/>
        <v>X</v>
      </c>
      <c r="CL138" s="6" t="str">
        <f t="shared" ca="1" si="426"/>
        <v>X</v>
      </c>
    </row>
    <row r="139" spans="1:90" ht="18.75" customHeight="1">
      <c r="A139" s="256"/>
      <c r="B139" s="257"/>
      <c r="C139" s="257"/>
      <c r="D139" s="257"/>
      <c r="E139" s="257"/>
      <c r="F139" s="257"/>
      <c r="G139" s="257"/>
      <c r="H139" s="257"/>
      <c r="I139" s="257"/>
      <c r="J139" s="258"/>
      <c r="K139" s="250" t="s">
        <v>87</v>
      </c>
      <c r="L139" s="251"/>
      <c r="M139" s="90"/>
      <c r="N139" s="267" t="str">
        <f ca="1">IF(AND(TODAY()&gt;=S139,TODAY()&lt;=T139),"EM ANDAMENTO",IF(TODAY()&gt;T139,"CONCLUÍDA","PLANEJADA"))</f>
        <v>PLANEJADA</v>
      </c>
      <c r="O139" s="267"/>
      <c r="P139" s="10">
        <f t="shared" si="384"/>
        <v>0</v>
      </c>
      <c r="Q139" s="10">
        <f t="shared" si="385"/>
        <v>0</v>
      </c>
      <c r="R139" s="8">
        <f t="shared" si="386"/>
        <v>0</v>
      </c>
      <c r="S139" s="9" t="str">
        <f t="shared" ca="1" si="387"/>
        <v>-</v>
      </c>
      <c r="T139" s="9" t="str">
        <f t="shared" ca="1" si="388"/>
        <v>-</v>
      </c>
      <c r="U139" s="92"/>
      <c r="V139" s="190"/>
      <c r="W139" s="190"/>
      <c r="X139" s="190"/>
      <c r="Y139" s="190"/>
      <c r="Z139" s="190"/>
      <c r="AA139" s="190"/>
      <c r="AB139" s="190"/>
      <c r="AC139" s="190"/>
      <c r="AD139" s="39">
        <f t="shared" si="389"/>
        <v>0</v>
      </c>
      <c r="AE139" s="7">
        <f t="shared" si="390"/>
        <v>0</v>
      </c>
      <c r="AF139" s="32" t="str">
        <f t="shared" si="391"/>
        <v>OK</v>
      </c>
      <c r="AI139" s="6" t="str">
        <f t="shared" ca="1" si="414"/>
        <v>X</v>
      </c>
      <c r="AJ139" s="6" t="str">
        <f t="shared" ca="1" si="414"/>
        <v>X</v>
      </c>
      <c r="AK139" s="6" t="str">
        <f t="shared" ca="1" si="414"/>
        <v>X</v>
      </c>
      <c r="AL139" s="6" t="str">
        <f t="shared" ca="1" si="414"/>
        <v>X</v>
      </c>
      <c r="AM139" s="6" t="str">
        <f t="shared" ca="1" si="414"/>
        <v>X</v>
      </c>
      <c r="AN139" s="6" t="str">
        <f t="shared" ca="1" si="414"/>
        <v>X</v>
      </c>
      <c r="AO139" s="6" t="str">
        <f t="shared" ca="1" si="414"/>
        <v>X</v>
      </c>
      <c r="AP139" s="6" t="str">
        <f t="shared" ca="1" si="414"/>
        <v>X</v>
      </c>
      <c r="AQ139" s="6" t="str">
        <f t="shared" ca="1" si="414"/>
        <v>X</v>
      </c>
      <c r="AR139" s="6" t="str">
        <f t="shared" ca="1" si="414"/>
        <v>X</v>
      </c>
      <c r="AS139" s="6" t="str">
        <f t="shared" ca="1" si="414"/>
        <v>X</v>
      </c>
      <c r="AT139" s="6" t="str">
        <f t="shared" ca="1" si="414"/>
        <v>X</v>
      </c>
      <c r="AU139" s="6" t="str">
        <f t="shared" ca="1" si="414"/>
        <v>X</v>
      </c>
      <c r="AV139" s="6" t="str">
        <f t="shared" ca="1" si="414"/>
        <v>X</v>
      </c>
      <c r="AW139" s="6" t="str">
        <f t="shared" ca="1" si="414"/>
        <v>X</v>
      </c>
      <c r="AX139" s="6" t="str">
        <f t="shared" ca="1" si="427"/>
        <v>X</v>
      </c>
      <c r="AY139" s="6" t="str">
        <f t="shared" ca="1" si="414"/>
        <v>X</v>
      </c>
      <c r="AZ139" s="6" t="str">
        <f t="shared" ca="1" si="428"/>
        <v>X</v>
      </c>
      <c r="BA139" s="6" t="str">
        <f t="shared" ca="1" si="414"/>
        <v>X</v>
      </c>
      <c r="BB139" s="6" t="str">
        <f t="shared" ca="1" si="429"/>
        <v>X</v>
      </c>
      <c r="BC139" s="6" t="str">
        <f t="shared" ca="1" si="414"/>
        <v>X</v>
      </c>
      <c r="BD139" s="6" t="str">
        <f t="shared" ca="1" si="412"/>
        <v>X</v>
      </c>
      <c r="BE139" s="6" t="str">
        <f t="shared" ca="1" si="414"/>
        <v>X</v>
      </c>
      <c r="BF139" s="6" t="str">
        <f t="shared" ca="1" si="393"/>
        <v>X</v>
      </c>
      <c r="BG139" s="6" t="str">
        <f t="shared" ca="1" si="414"/>
        <v>X</v>
      </c>
      <c r="BH139" s="6" t="str">
        <f t="shared" ca="1" si="394"/>
        <v>X</v>
      </c>
      <c r="BI139" s="6" t="str">
        <f t="shared" ca="1" si="414"/>
        <v>X</v>
      </c>
      <c r="BJ139" s="6" t="str">
        <f t="shared" ca="1" si="395"/>
        <v>X</v>
      </c>
      <c r="BK139" s="12" t="str">
        <f t="shared" ca="1" si="415"/>
        <v>X</v>
      </c>
      <c r="BL139" s="6" t="str">
        <f t="shared" ca="1" si="415"/>
        <v>X</v>
      </c>
      <c r="BM139" s="6" t="str">
        <f t="shared" ca="1" si="416"/>
        <v>X</v>
      </c>
      <c r="BN139" s="6" t="str">
        <f t="shared" ca="1" si="416"/>
        <v>X</v>
      </c>
      <c r="BO139" s="6" t="str">
        <f t="shared" ca="1" si="417"/>
        <v>X</v>
      </c>
      <c r="BP139" s="6" t="str">
        <f t="shared" ca="1" si="417"/>
        <v>X</v>
      </c>
      <c r="BQ139" s="6" t="str">
        <f t="shared" ca="1" si="418"/>
        <v>X</v>
      </c>
      <c r="BR139" s="6" t="str">
        <f t="shared" ca="1" si="418"/>
        <v>X</v>
      </c>
      <c r="BS139" s="6" t="str">
        <f t="shared" ca="1" si="419"/>
        <v>X</v>
      </c>
      <c r="BT139" s="6" t="str">
        <f t="shared" ca="1" si="419"/>
        <v>X</v>
      </c>
      <c r="BU139" s="6" t="str">
        <f t="shared" ca="1" si="420"/>
        <v>X</v>
      </c>
      <c r="BV139" s="6" t="str">
        <f t="shared" ca="1" si="420"/>
        <v>X</v>
      </c>
      <c r="BW139" s="6" t="str">
        <f t="shared" ca="1" si="421"/>
        <v>X</v>
      </c>
      <c r="BX139" s="6" t="str">
        <f t="shared" ca="1" si="421"/>
        <v>X</v>
      </c>
      <c r="BY139" s="6" t="str">
        <f t="shared" ca="1" si="422"/>
        <v>X</v>
      </c>
      <c r="BZ139" s="6" t="str">
        <f t="shared" ca="1" si="422"/>
        <v>X</v>
      </c>
      <c r="CA139" s="6" t="str">
        <f t="shared" ca="1" si="423"/>
        <v>X</v>
      </c>
      <c r="CB139" s="6" t="str">
        <f t="shared" ca="1" si="423"/>
        <v>X</v>
      </c>
      <c r="CC139" s="6" t="str">
        <f t="shared" ca="1" si="424"/>
        <v>X</v>
      </c>
      <c r="CD139" s="6" t="str">
        <f t="shared" ca="1" si="424"/>
        <v>X</v>
      </c>
      <c r="CE139" s="6" t="str">
        <f t="shared" ca="1" si="425"/>
        <v>X</v>
      </c>
      <c r="CF139" s="6" t="str">
        <f t="shared" ca="1" si="425"/>
        <v>X</v>
      </c>
      <c r="CG139" s="6" t="str">
        <f t="shared" ca="1" si="407"/>
        <v>X</v>
      </c>
      <c r="CH139" s="6" t="str">
        <f t="shared" ca="1" si="408"/>
        <v>X</v>
      </c>
      <c r="CI139" s="6" t="str">
        <f t="shared" ca="1" si="409"/>
        <v>X</v>
      </c>
      <c r="CJ139" s="6" t="str">
        <f t="shared" ca="1" si="410"/>
        <v>X</v>
      </c>
      <c r="CK139" s="6" t="str">
        <f t="shared" ca="1" si="426"/>
        <v>X</v>
      </c>
      <c r="CL139" s="6" t="str">
        <f t="shared" ca="1" si="426"/>
        <v>X</v>
      </c>
    </row>
    <row r="140" spans="1:90" ht="18.75" customHeight="1">
      <c r="A140" s="256"/>
      <c r="B140" s="257"/>
      <c r="C140" s="257"/>
      <c r="D140" s="257"/>
      <c r="E140" s="257"/>
      <c r="F140" s="257"/>
      <c r="G140" s="257"/>
      <c r="H140" s="257"/>
      <c r="I140" s="257"/>
      <c r="J140" s="258"/>
      <c r="K140" s="250" t="s">
        <v>87</v>
      </c>
      <c r="L140" s="251"/>
      <c r="M140" s="90"/>
      <c r="N140" s="267" t="str">
        <f t="shared" ca="1" si="413"/>
        <v>PLANEJADA</v>
      </c>
      <c r="O140" s="267"/>
      <c r="P140" s="10">
        <f t="shared" si="384"/>
        <v>0</v>
      </c>
      <c r="Q140" s="10">
        <f t="shared" si="385"/>
        <v>0</v>
      </c>
      <c r="R140" s="8">
        <f t="shared" si="386"/>
        <v>0</v>
      </c>
      <c r="S140" s="9" t="str">
        <f t="shared" ca="1" si="387"/>
        <v>-</v>
      </c>
      <c r="T140" s="9" t="str">
        <f t="shared" ca="1" si="388"/>
        <v>-</v>
      </c>
      <c r="U140" s="92"/>
      <c r="V140" s="190"/>
      <c r="W140" s="190"/>
      <c r="X140" s="190"/>
      <c r="Y140" s="190"/>
      <c r="Z140" s="190"/>
      <c r="AA140" s="190"/>
      <c r="AB140" s="190"/>
      <c r="AC140" s="190"/>
      <c r="AD140" s="39">
        <f t="shared" si="389"/>
        <v>0</v>
      </c>
      <c r="AE140" s="7">
        <f t="shared" si="390"/>
        <v>0</v>
      </c>
      <c r="AF140" s="32" t="str">
        <f t="shared" si="391"/>
        <v>OK</v>
      </c>
      <c r="AI140" s="6" t="str">
        <f ca="1">IF($K140=INDIRECT(CONCATENATE("$B$"&amp;AI$122)), INDIRECT(CONCATENATE("$B$"&amp;AI$121)),
IF($K140=INDIRECT(CONCATENATE("$C$"&amp;AI$122)), INDIRECT(CONCATENATE("$C$"&amp;AI$121)),
IF($K140=INDIRECT(CONCATENATE("$D$"&amp;AI$122)), INDIRECT(CONCATENATE("$D$"&amp;AI$121)),
IF($K140=INDIRECT(CONCATENATE("$E$"&amp;AI$122)), INDIRECT(CONCATENATE("$E$"&amp;AI$121)),
IF($K140=INDIRECT(CONCATENATE("$F$"&amp;AI$122)), INDIRECT(CONCATENATE("$F$"&amp;AI$121)),
IF($K140=INDIRECT(CONCATENATE("$G$"&amp;AI$122)), INDIRECT(CONCATENATE("$G$"&amp;AI$121)),
IF($K140=INDIRECT(CONCATENATE("$H$"&amp;AI$122)), INDIRECT(CONCATENATE("$H$"&amp;AI$121)),
IF($K140=INDIRECT(CONCATENATE("$I$"&amp;AI$122)), INDIRECT(CONCATENATE("$I$"&amp;AI$121)),
IF($K140=INDIRECT(CONCATENATE("$J$"&amp;AI$122)), INDIRECT(CONCATENATE("$J$"&amp;AI$121)),
IF($K140=INDIRECT(CONCATENATE("$K$"&amp;AI$122)), INDIRECT(CONCATENATE("$K$"&amp;AI$121)),
IF($K140=INDIRECT(CONCATENATE("$L$"&amp;AI$122)), INDIRECT(CONCATENATE("$L$"&amp;AI$121)),
IF($K140=INDIRECT(CONCATENATE("$M$"&amp;AI$122)), INDIRECT(CONCATENATE("$M$"&amp;AI$121)),
IF($K140=INDIRECT(CONCATENATE("$N$"&amp;AI$122)), INDIRECT(CONCATENATE("$N$"&amp;AI$121)),
IF($K140=INDIRECT(CONCATENATE("$O$"&amp;AI$122)), INDIRECT(CONCATENATE("$O$"&amp;AI$121)),
IF($K140=INDIRECT(CONCATENATE("$P$"&amp;AI$122)), INDIRECT(CONCATENATE("$P$"&amp;AI$121)),
IF($K140=INDIRECT(CONCATENATE("$Q$"&amp;AI$122)), INDIRECT(CONCATENATE("$Q$"&amp;AI$121)),
IF($K140=INDIRECT(CONCATENATE("$R$"&amp;AI$122)), INDIRECT(CONCATENATE("$R$"&amp;AI$121)),
IF($K140=INDIRECT(CONCATENATE("$S$"&amp;AI$122)), INDIRECT(CONCATENATE("$S$"&amp;AI$121)),
IF($K140=INDIRECT(CONCATENATE("$T$"&amp;AI$122)), INDIRECT(CONCATENATE("$T$"&amp;AI$121)),
IF($K140=INDIRECT(CONCATENATE("$U$"&amp;AI$122)), INDIRECT(CONCATENATE("$U$"&amp;AI$121)),
IF($K140=INDIRECT(CONCATENATE("$V$"&amp;AI$122)), INDIRECT(CONCATENATE("$V$"&amp;AI$121)),
IF($K140=INDIRECT(CONCATENATE("$W$"&amp;AI$122)), INDIRECT(CONCATENATE("$W$"&amp;AI$121)),
IF($K140=INDIRECT(CONCATENATE("$X$"&amp;AI$122)), INDIRECT(CONCATENATE("$X$"&amp;AI$121)),
IF($K140=INDIRECT(CONCATENATE("$Y$"&amp;AI$122)), INDIRECT(CONCATENATE("$Y$"&amp;AI$121)),
IF($K140=INDIRECT(CONCATENATE("$Z$"&amp;AI$122)), INDIRECT(CONCATENATE("$Z$"&amp;AI$121)),
IF($K140=INDIRECT(CONCATENATE("$AA$"&amp;AI$122)), INDIRECT(CONCATENATE("$AA$"&amp;AI$121)),
IF($K140=INDIRECT(CONCATENATE("$AB$"&amp;AI$122)), INDIRECT(CONCATENATE("$AB$"&amp;AI$121)),
IF($K140=INDIRECT(CONCATENATE("$AC$"&amp;AI$122)), INDIRECT(CONCATENATE("$AC$"&amp;AI$121)),
IF($K140=INDIRECT(CONCATENATE("$AD$"&amp;AI$122)), INDIRECT(CONCATENATE("$AD$"&amp;AI$121)),
IF($K140=INDIRECT(CONCATENATE("$AE$"&amp;AI$122)), INDIRECT(CONCATENATE("$AE$"&amp;AI$121)),
IF($K140=INDIRECT(CONCATENATE("$AF$"&amp;AI$122)), INDIRECT(CONCATENATE("$AF$"&amp;AI$121)),"X")))))))))))))))))))))))))))))))</f>
        <v>X</v>
      </c>
      <c r="AJ140" s="6" t="str">
        <f ca="1">IF($K140=INDIRECT(CONCATENATE("$B$"&amp;AJ$122)), INDIRECT(CONCATENATE("$B$"&amp;AJ$121)),
IF($K140=INDIRECT(CONCATENATE("$C$"&amp;AJ$122)), INDIRECT(CONCATENATE("$C$"&amp;AJ$121)),
IF($K140=INDIRECT(CONCATENATE("$D$"&amp;AJ$122)), INDIRECT(CONCATENATE("$D$"&amp;AJ$121)),
IF($K140=INDIRECT(CONCATENATE("$E$"&amp;AJ$122)), INDIRECT(CONCATENATE("$E$"&amp;AJ$121)),
IF($K140=INDIRECT(CONCATENATE("$F$"&amp;AJ$122)), INDIRECT(CONCATENATE("$F$"&amp;AJ$121)),
IF($K140=INDIRECT(CONCATENATE("$G$"&amp;AJ$122)), INDIRECT(CONCATENATE("$G$"&amp;AJ$121)),
IF($K140=INDIRECT(CONCATENATE("$H$"&amp;AJ$122)), INDIRECT(CONCATENATE("$H$"&amp;AJ$121)),
IF($K140=INDIRECT(CONCATENATE("$I$"&amp;AJ$122)), INDIRECT(CONCATENATE("$I$"&amp;AJ$121)),
IF($K140=INDIRECT(CONCATENATE("$J$"&amp;AJ$122)), INDIRECT(CONCATENATE("$J$"&amp;AJ$121)),
IF($K140=INDIRECT(CONCATENATE("$K$"&amp;AJ$122)), INDIRECT(CONCATENATE("$K$"&amp;AJ$121)),
IF($K140=INDIRECT(CONCATENATE("$L$"&amp;AJ$122)), INDIRECT(CONCATENATE("$L$"&amp;AJ$121)),
IF($K140=INDIRECT(CONCATENATE("$M$"&amp;AJ$122)), INDIRECT(CONCATENATE("$M$"&amp;AJ$121)),
IF($K140=INDIRECT(CONCATENATE("$N$"&amp;AJ$122)), INDIRECT(CONCATENATE("$N$"&amp;AJ$121)),
IF($K140=INDIRECT(CONCATENATE("$O$"&amp;AJ$122)), INDIRECT(CONCATENATE("$O$"&amp;AJ$121)),
IF($K140=INDIRECT(CONCATENATE("$P$"&amp;AJ$122)), INDIRECT(CONCATENATE("$P$"&amp;AJ$121)),
IF($K140=INDIRECT(CONCATENATE("$Q$"&amp;AJ$122)), INDIRECT(CONCATENATE("$Q$"&amp;AJ$121)),
IF($K140=INDIRECT(CONCATENATE("$R$"&amp;AJ$122)), INDIRECT(CONCATENATE("$R$"&amp;AJ$121)),
IF($K140=INDIRECT(CONCATENATE("$S$"&amp;AJ$122)), INDIRECT(CONCATENATE("$S$"&amp;AJ$121)),
IF($K140=INDIRECT(CONCATENATE("$T$"&amp;AJ$122)), INDIRECT(CONCATENATE("$T$"&amp;AJ$121)),
IF($K140=INDIRECT(CONCATENATE("$U$"&amp;AJ$122)), INDIRECT(CONCATENATE("$U$"&amp;AJ$121)),
IF($K140=INDIRECT(CONCATENATE("$V$"&amp;AJ$122)), INDIRECT(CONCATENATE("$V$"&amp;AJ$121)),
IF($K140=INDIRECT(CONCATENATE("$W$"&amp;AJ$122)), INDIRECT(CONCATENATE("$W$"&amp;AJ$121)),
IF($K140=INDIRECT(CONCATENATE("$X$"&amp;AJ$122)), INDIRECT(CONCATENATE("$X$"&amp;AJ$121)),
IF($K140=INDIRECT(CONCATENATE("$Y$"&amp;AJ$122)), INDIRECT(CONCATENATE("$Y$"&amp;AJ$121)),
IF($K140=INDIRECT(CONCATENATE("$Z$"&amp;AJ$122)), INDIRECT(CONCATENATE("$Z$"&amp;AJ$121)),
IF($K140=INDIRECT(CONCATENATE("$AA$"&amp;AJ$122)), INDIRECT(CONCATENATE("$AA$"&amp;AJ$121)),
IF($K140=INDIRECT(CONCATENATE("$AB$"&amp;AJ$122)), INDIRECT(CONCATENATE("$AB$"&amp;AJ$121)),
IF($K140=INDIRECT(CONCATENATE("$AC$"&amp;AJ$122)), INDIRECT(CONCATENATE("$AC$"&amp;AJ$121)),
IF($K140=INDIRECT(CONCATENATE("$AD$"&amp;AJ$122)), INDIRECT(CONCATENATE("$AD$"&amp;AJ$121)),
IF($K140=INDIRECT(CONCATENATE("$AE$"&amp;AJ$122)), INDIRECT(CONCATENATE("$AE$"&amp;AJ$121)),
IF($K140=INDIRECT(CONCATENATE("$AF$"&amp;AJ$122)), INDIRECT(CONCATENATE("$AF$"&amp;AJ$121)),"X")))))))))))))))))))))))))))))))</f>
        <v>X</v>
      </c>
      <c r="AK140" s="6" t="str">
        <f ca="1">IF($K140=INDIRECT(CONCATENATE("$B$"&amp;AK$122)), INDIRECT(CONCATENATE("$B$"&amp;AK$121)),
IF($K140=INDIRECT(CONCATENATE("$C$"&amp;AK$122)), INDIRECT(CONCATENATE("$C$"&amp;AK$121)),
IF($K140=INDIRECT(CONCATENATE("$D$"&amp;AK$122)), INDIRECT(CONCATENATE("$D$"&amp;AK$121)),
IF($K140=INDIRECT(CONCATENATE("$E$"&amp;AK$122)), INDIRECT(CONCATENATE("$E$"&amp;AK$121)),
IF($K140=INDIRECT(CONCATENATE("$F$"&amp;AK$122)), INDIRECT(CONCATENATE("$F$"&amp;AK$121)),
IF($K140=INDIRECT(CONCATENATE("$G$"&amp;AK$122)), INDIRECT(CONCATENATE("$G$"&amp;AK$121)),
IF($K140=INDIRECT(CONCATENATE("$H$"&amp;AK$122)), INDIRECT(CONCATENATE("$H$"&amp;AK$121)),
IF($K140=INDIRECT(CONCATENATE("$I$"&amp;AK$122)), INDIRECT(CONCATENATE("$I$"&amp;AK$121)),
IF($K140=INDIRECT(CONCATENATE("$J$"&amp;AK$122)), INDIRECT(CONCATENATE("$J$"&amp;AK$121)),
IF($K140=INDIRECT(CONCATENATE("$K$"&amp;AK$122)), INDIRECT(CONCATENATE("$K$"&amp;AK$121)),
IF($K140=INDIRECT(CONCATENATE("$L$"&amp;AK$122)), INDIRECT(CONCATENATE("$L$"&amp;AK$121)),
IF($K140=INDIRECT(CONCATENATE("$M$"&amp;AK$122)), INDIRECT(CONCATENATE("$M$"&amp;AK$121)),
IF($K140=INDIRECT(CONCATENATE("$N$"&amp;AK$122)), INDIRECT(CONCATENATE("$N$"&amp;AK$121)),
IF($K140=INDIRECT(CONCATENATE("$O$"&amp;AK$122)), INDIRECT(CONCATENATE("$O$"&amp;AK$121)),
IF($K140=INDIRECT(CONCATENATE("$P$"&amp;AK$122)), INDIRECT(CONCATENATE("$P$"&amp;AK$121)),
IF($K140=INDIRECT(CONCATENATE("$Q$"&amp;AK$122)), INDIRECT(CONCATENATE("$Q$"&amp;AK$121)),
IF($K140=INDIRECT(CONCATENATE("$R$"&amp;AK$122)), INDIRECT(CONCATENATE("$R$"&amp;AK$121)),
IF($K140=INDIRECT(CONCATENATE("$S$"&amp;AK$122)), INDIRECT(CONCATENATE("$S$"&amp;AK$121)),
IF($K140=INDIRECT(CONCATENATE("$T$"&amp;AK$122)), INDIRECT(CONCATENATE("$T$"&amp;AK$121)),
IF($K140=INDIRECT(CONCATENATE("$U$"&amp;AK$122)), INDIRECT(CONCATENATE("$U$"&amp;AK$121)),
IF($K140=INDIRECT(CONCATENATE("$V$"&amp;AK$122)), INDIRECT(CONCATENATE("$V$"&amp;AK$121)),
IF($K140=INDIRECT(CONCATENATE("$W$"&amp;AK$122)), INDIRECT(CONCATENATE("$W$"&amp;AK$121)),
IF($K140=INDIRECT(CONCATENATE("$X$"&amp;AK$122)), INDIRECT(CONCATENATE("$X$"&amp;AK$121)),
IF($K140=INDIRECT(CONCATENATE("$Y$"&amp;AK$122)), INDIRECT(CONCATENATE("$Y$"&amp;AK$121)),
IF($K140=INDIRECT(CONCATENATE("$Z$"&amp;AK$122)), INDIRECT(CONCATENATE("$Z$"&amp;AK$121)),
IF($K140=INDIRECT(CONCATENATE("$AA$"&amp;AK$122)), INDIRECT(CONCATENATE("$AA$"&amp;AK$121)),
IF($K140=INDIRECT(CONCATENATE("$AB$"&amp;AK$122)), INDIRECT(CONCATENATE("$AB$"&amp;AK$121)),
IF($K140=INDIRECT(CONCATENATE("$AC$"&amp;AK$122)), INDIRECT(CONCATENATE("$AC$"&amp;AK$121)),
IF($K140=INDIRECT(CONCATENATE("$AD$"&amp;AK$122)), INDIRECT(CONCATENATE("$AD$"&amp;AK$121)),
IF($K140=INDIRECT(CONCATENATE("$AE$"&amp;AK$122)), INDIRECT(CONCATENATE("$AE$"&amp;AK$121)),
IF($K140=INDIRECT(CONCATENATE("$AF$"&amp;AK$122)), INDIRECT(CONCATENATE("$AF$"&amp;AK$121)),"X")))))))))))))))))))))))))))))))</f>
        <v>X</v>
      </c>
      <c r="AL140" s="6" t="str">
        <f ca="1">IF($K140=INDIRECT(CONCATENATE("$B$"&amp;AL$122)), INDIRECT(CONCATENATE("$B$"&amp;AL$121)),
IF($K140=INDIRECT(CONCATENATE("$C$"&amp;AL$122)), INDIRECT(CONCATENATE("$C$"&amp;AL$121)),
IF($K140=INDIRECT(CONCATENATE("$D$"&amp;AL$122)), INDIRECT(CONCATENATE("$D$"&amp;AL$121)),
IF($K140=INDIRECT(CONCATENATE("$E$"&amp;AL$122)), INDIRECT(CONCATENATE("$E$"&amp;AL$121)),
IF($K140=INDIRECT(CONCATENATE("$F$"&amp;AL$122)), INDIRECT(CONCATENATE("$F$"&amp;AL$121)),
IF($K140=INDIRECT(CONCATENATE("$G$"&amp;AL$122)), INDIRECT(CONCATENATE("$G$"&amp;AL$121)),
IF($K140=INDIRECT(CONCATENATE("$H$"&amp;AL$122)), INDIRECT(CONCATENATE("$H$"&amp;AL$121)),
IF($K140=INDIRECT(CONCATENATE("$I$"&amp;AL$122)), INDIRECT(CONCATENATE("$I$"&amp;AL$121)),
IF($K140=INDIRECT(CONCATENATE("$J$"&amp;AL$122)), INDIRECT(CONCATENATE("$J$"&amp;AL$121)),
IF($K140=INDIRECT(CONCATENATE("$K$"&amp;AL$122)), INDIRECT(CONCATENATE("$K$"&amp;AL$121)),
IF($K140=INDIRECT(CONCATENATE("$L$"&amp;AL$122)), INDIRECT(CONCATENATE("$L$"&amp;AL$121)),
IF($K140=INDIRECT(CONCATENATE("$M$"&amp;AL$122)), INDIRECT(CONCATENATE("$M$"&amp;AL$121)),
IF($K140=INDIRECT(CONCATENATE("$N$"&amp;AL$122)), INDIRECT(CONCATENATE("$N$"&amp;AL$121)),
IF($K140=INDIRECT(CONCATENATE("$O$"&amp;AL$122)), INDIRECT(CONCATENATE("$O$"&amp;AL$121)),
IF($K140=INDIRECT(CONCATENATE("$P$"&amp;AL$122)), INDIRECT(CONCATENATE("$P$"&amp;AL$121)),
IF($K140=INDIRECT(CONCATENATE("$Q$"&amp;AL$122)), INDIRECT(CONCATENATE("$Q$"&amp;AL$121)),
IF($K140=INDIRECT(CONCATENATE("$R$"&amp;AL$122)), INDIRECT(CONCATENATE("$R$"&amp;AL$121)),
IF($K140=INDIRECT(CONCATENATE("$S$"&amp;AL$122)), INDIRECT(CONCATENATE("$S$"&amp;AL$121)),
IF($K140=INDIRECT(CONCATENATE("$T$"&amp;AL$122)), INDIRECT(CONCATENATE("$T$"&amp;AL$121)),
IF($K140=INDIRECT(CONCATENATE("$U$"&amp;AL$122)), INDIRECT(CONCATENATE("$U$"&amp;AL$121)),
IF($K140=INDIRECT(CONCATENATE("$V$"&amp;AL$122)), INDIRECT(CONCATENATE("$V$"&amp;AL$121)),
IF($K140=INDIRECT(CONCATENATE("$W$"&amp;AL$122)), INDIRECT(CONCATENATE("$W$"&amp;AL$121)),
IF($K140=INDIRECT(CONCATENATE("$X$"&amp;AL$122)), INDIRECT(CONCATENATE("$X$"&amp;AL$121)),
IF($K140=INDIRECT(CONCATENATE("$Y$"&amp;AL$122)), INDIRECT(CONCATENATE("$Y$"&amp;AL$121)),
IF($K140=INDIRECT(CONCATENATE("$Z$"&amp;AL$122)), INDIRECT(CONCATENATE("$Z$"&amp;AL$121)),
IF($K140=INDIRECT(CONCATENATE("$AA$"&amp;AL$122)), INDIRECT(CONCATENATE("$AA$"&amp;AL$121)),
IF($K140=INDIRECT(CONCATENATE("$AB$"&amp;AL$122)), INDIRECT(CONCATENATE("$AB$"&amp;AL$121)),
IF($K140=INDIRECT(CONCATENATE("$AC$"&amp;AL$122)), INDIRECT(CONCATENATE("$AC$"&amp;AL$121)),
IF($K140=INDIRECT(CONCATENATE("$AD$"&amp;AL$122)), INDIRECT(CONCATENATE("$AD$"&amp;AL$121)),
IF($K140=INDIRECT(CONCATENATE("$AE$"&amp;AL$122)), INDIRECT(CONCATENATE("$AE$"&amp;AL$121)),
IF($K140=INDIRECT(CONCATENATE("$AF$"&amp;AL$122)), INDIRECT(CONCATENATE("$AF$"&amp;AL$121)),"X")))))))))))))))))))))))))))))))</f>
        <v>X</v>
      </c>
      <c r="AM140" s="6" t="str">
        <f t="shared" ref="AM140:BI141" ca="1" si="430">IF($K140=INDIRECT(CONCATENATE("$B$"&amp;AM$122)), INDIRECT(CONCATENATE("$B$"&amp;AM$121)),
IF($K140=INDIRECT(CONCATENATE("$C$"&amp;AM$122)), INDIRECT(CONCATENATE("$C$"&amp;AM$121)),
IF($K140=INDIRECT(CONCATENATE("$D$"&amp;AM$122)), INDIRECT(CONCATENATE("$D$"&amp;AM$121)),
IF($K140=INDIRECT(CONCATENATE("$E$"&amp;AM$122)), INDIRECT(CONCATENATE("$E$"&amp;AM$121)),
IF($K140=INDIRECT(CONCATENATE("$F$"&amp;AM$122)), INDIRECT(CONCATENATE("$F$"&amp;AM$121)),
IF($K140=INDIRECT(CONCATENATE("$G$"&amp;AM$122)), INDIRECT(CONCATENATE("$G$"&amp;AM$121)),
IF($K140=INDIRECT(CONCATENATE("$H$"&amp;AM$122)), INDIRECT(CONCATENATE("$H$"&amp;AM$121)),
IF($K140=INDIRECT(CONCATENATE("$I$"&amp;AM$122)), INDIRECT(CONCATENATE("$I$"&amp;AM$121)),
IF($K140=INDIRECT(CONCATENATE("$J$"&amp;AM$122)), INDIRECT(CONCATENATE("$J$"&amp;AM$121)),
IF($K140=INDIRECT(CONCATENATE("$K$"&amp;AM$122)), INDIRECT(CONCATENATE("$K$"&amp;AM$121)),
IF($K140=INDIRECT(CONCATENATE("$L$"&amp;AM$122)), INDIRECT(CONCATENATE("$L$"&amp;AM$121)),
IF($K140=INDIRECT(CONCATENATE("$M$"&amp;AM$122)), INDIRECT(CONCATENATE("$M$"&amp;AM$121)),
IF($K140=INDIRECT(CONCATENATE("$N$"&amp;AM$122)), INDIRECT(CONCATENATE("$N$"&amp;AM$121)),
IF($K140=INDIRECT(CONCATENATE("$O$"&amp;AM$122)), INDIRECT(CONCATENATE("$O$"&amp;AM$121)),
IF($K140=INDIRECT(CONCATENATE("$P$"&amp;AM$122)), INDIRECT(CONCATENATE("$P$"&amp;AM$121)),
IF($K140=INDIRECT(CONCATENATE("$Q$"&amp;AM$122)), INDIRECT(CONCATENATE("$Q$"&amp;AM$121)),
IF($K140=INDIRECT(CONCATENATE("$R$"&amp;AM$122)), INDIRECT(CONCATENATE("$R$"&amp;AM$121)),
IF($K140=INDIRECT(CONCATENATE("$S$"&amp;AM$122)), INDIRECT(CONCATENATE("$S$"&amp;AM$121)),
IF($K140=INDIRECT(CONCATENATE("$T$"&amp;AM$122)), INDIRECT(CONCATENATE("$T$"&amp;AM$121)),
IF($K140=INDIRECT(CONCATENATE("$U$"&amp;AM$122)), INDIRECT(CONCATENATE("$U$"&amp;AM$121)),
IF($K140=INDIRECT(CONCATENATE("$V$"&amp;AM$122)), INDIRECT(CONCATENATE("$V$"&amp;AM$121)),
IF($K140=INDIRECT(CONCATENATE("$W$"&amp;AM$122)), INDIRECT(CONCATENATE("$W$"&amp;AM$121)),
IF($K140=INDIRECT(CONCATENATE("$X$"&amp;AM$122)), INDIRECT(CONCATENATE("$X$"&amp;AM$121)),
IF($K140=INDIRECT(CONCATENATE("$Y$"&amp;AM$122)), INDIRECT(CONCATENATE("$Y$"&amp;AM$121)),
IF($K140=INDIRECT(CONCATENATE("$Z$"&amp;AM$122)), INDIRECT(CONCATENATE("$Z$"&amp;AM$121)),
IF($K140=INDIRECT(CONCATENATE("$AA$"&amp;AM$122)), INDIRECT(CONCATENATE("$AA$"&amp;AM$121)),
IF($K140=INDIRECT(CONCATENATE("$AB$"&amp;AM$122)), INDIRECT(CONCATENATE("$AB$"&amp;AM$121)),
IF($K140=INDIRECT(CONCATENATE("$AC$"&amp;AM$122)), INDIRECT(CONCATENATE("$AC$"&amp;AM$121)),
IF($K140=INDIRECT(CONCATENATE("$AD$"&amp;AM$122)), INDIRECT(CONCATENATE("$AD$"&amp;AM$121)),
IF($K140=INDIRECT(CONCATENATE("$AE$"&amp;AM$122)), INDIRECT(CONCATENATE("$AE$"&amp;AM$121)),
IF($K140=INDIRECT(CONCATENATE("$AF$"&amp;AM$122)), INDIRECT(CONCATENATE("$AF$"&amp;AM$121)),"X")))))))))))))))))))))))))))))))</f>
        <v>X</v>
      </c>
      <c r="AN140" s="6" t="str">
        <f ca="1">IF($K140=INDIRECT(CONCATENATE("$B$"&amp;AN$122)), INDIRECT(CONCATENATE("$B$"&amp;AN$121)),
IF($K140=INDIRECT(CONCATENATE("$C$"&amp;AN$122)), INDIRECT(CONCATENATE("$C$"&amp;AN$121)),
IF($K140=INDIRECT(CONCATENATE("$D$"&amp;AN$122)), INDIRECT(CONCATENATE("$D$"&amp;AN$121)),
IF($K140=INDIRECT(CONCATENATE("$E$"&amp;AN$122)), INDIRECT(CONCATENATE("$E$"&amp;AN$121)),
IF($K140=INDIRECT(CONCATENATE("$F$"&amp;AN$122)), INDIRECT(CONCATENATE("$F$"&amp;AN$121)),
IF($K140=INDIRECT(CONCATENATE("$G$"&amp;AN$122)), INDIRECT(CONCATENATE("$G$"&amp;AN$121)),
IF($K140=INDIRECT(CONCATENATE("$H$"&amp;AN$122)), INDIRECT(CONCATENATE("$H$"&amp;AN$121)),
IF($K140=INDIRECT(CONCATENATE("$I$"&amp;AN$122)), INDIRECT(CONCATENATE("$I$"&amp;AN$121)),
IF($K140=INDIRECT(CONCATENATE("$J$"&amp;AN$122)), INDIRECT(CONCATENATE("$J$"&amp;AN$121)),
IF($K140=INDIRECT(CONCATENATE("$K$"&amp;AN$122)), INDIRECT(CONCATENATE("$K$"&amp;AN$121)),
IF($K140=INDIRECT(CONCATENATE("$L$"&amp;AN$122)), INDIRECT(CONCATENATE("$L$"&amp;AN$121)),
IF($K140=INDIRECT(CONCATENATE("$M$"&amp;AN$122)), INDIRECT(CONCATENATE("$M$"&amp;AN$121)),
IF($K140=INDIRECT(CONCATENATE("$N$"&amp;AN$122)), INDIRECT(CONCATENATE("$N$"&amp;AN$121)),
IF($K140=INDIRECT(CONCATENATE("$O$"&amp;AN$122)), INDIRECT(CONCATENATE("$O$"&amp;AN$121)),
IF($K140=INDIRECT(CONCATENATE("$P$"&amp;AN$122)), INDIRECT(CONCATENATE("$P$"&amp;AN$121)),
IF($K140=INDIRECT(CONCATENATE("$Q$"&amp;AN$122)), INDIRECT(CONCATENATE("$Q$"&amp;AN$121)),
IF($K140=INDIRECT(CONCATENATE("$R$"&amp;AN$122)), INDIRECT(CONCATENATE("$R$"&amp;AN$121)),
IF($K140=INDIRECT(CONCATENATE("$S$"&amp;AN$122)), INDIRECT(CONCATENATE("$S$"&amp;AN$121)),
IF($K140=INDIRECT(CONCATENATE("$T$"&amp;AN$122)), INDIRECT(CONCATENATE("$T$"&amp;AN$121)),
IF($K140=INDIRECT(CONCATENATE("$U$"&amp;AN$122)), INDIRECT(CONCATENATE("$U$"&amp;AN$121)),
IF($K140=INDIRECT(CONCATENATE("$V$"&amp;AN$122)), INDIRECT(CONCATENATE("$V$"&amp;AN$121)),
IF($K140=INDIRECT(CONCATENATE("$W$"&amp;AN$122)), INDIRECT(CONCATENATE("$W$"&amp;AN$121)),
IF($K140=INDIRECT(CONCATENATE("$X$"&amp;AN$122)), INDIRECT(CONCATENATE("$X$"&amp;AN$121)),
IF($K140=INDIRECT(CONCATENATE("$Y$"&amp;AN$122)), INDIRECT(CONCATENATE("$Y$"&amp;AN$121)),
IF($K140=INDIRECT(CONCATENATE("$Z$"&amp;AN$122)), INDIRECT(CONCATENATE("$Z$"&amp;AN$121)),
IF($K140=INDIRECT(CONCATENATE("$AA$"&amp;AN$122)), INDIRECT(CONCATENATE("$AA$"&amp;AN$121)),
IF($K140=INDIRECT(CONCATENATE("$AB$"&amp;AN$122)), INDIRECT(CONCATENATE("$AB$"&amp;AN$121)),
IF($K140=INDIRECT(CONCATENATE("$AC$"&amp;AN$122)), INDIRECT(CONCATENATE("$AC$"&amp;AN$121)),
IF($K140=INDIRECT(CONCATENATE("$AD$"&amp;AN$122)), INDIRECT(CONCATENATE("$AD$"&amp;AN$121)),
IF($K140=INDIRECT(CONCATENATE("$AE$"&amp;AN$122)), INDIRECT(CONCATENATE("$AE$"&amp;AN$121)),
IF($K140=INDIRECT(CONCATENATE("$AF$"&amp;AN$122)), INDIRECT(CONCATENATE("$AF$"&amp;AN$121)),"X")))))))))))))))))))))))))))))))</f>
        <v>X</v>
      </c>
      <c r="AO140" s="6" t="str">
        <f t="shared" ca="1" si="430"/>
        <v>X</v>
      </c>
      <c r="AP140" s="6" t="str">
        <f ca="1">IF($K140=INDIRECT(CONCATENATE("$B$"&amp;AP$122)), INDIRECT(CONCATENATE("$B$"&amp;AP$121)),
IF($K140=INDIRECT(CONCATENATE("$C$"&amp;AP$122)), INDIRECT(CONCATENATE("$C$"&amp;AP$121)),
IF($K140=INDIRECT(CONCATENATE("$D$"&amp;AP$122)), INDIRECT(CONCATENATE("$D$"&amp;AP$121)),
IF($K140=INDIRECT(CONCATENATE("$E$"&amp;AP$122)), INDIRECT(CONCATENATE("$E$"&amp;AP$121)),
IF($K140=INDIRECT(CONCATENATE("$F$"&amp;AP$122)), INDIRECT(CONCATENATE("$F$"&amp;AP$121)),
IF($K140=INDIRECT(CONCATENATE("$G$"&amp;AP$122)), INDIRECT(CONCATENATE("$G$"&amp;AP$121)),
IF($K140=INDIRECT(CONCATENATE("$H$"&amp;AP$122)), INDIRECT(CONCATENATE("$H$"&amp;AP$121)),
IF($K140=INDIRECT(CONCATENATE("$I$"&amp;AP$122)), INDIRECT(CONCATENATE("$I$"&amp;AP$121)),
IF($K140=INDIRECT(CONCATENATE("$J$"&amp;AP$122)), INDIRECT(CONCATENATE("$J$"&amp;AP$121)),
IF($K140=INDIRECT(CONCATENATE("$K$"&amp;AP$122)), INDIRECT(CONCATENATE("$K$"&amp;AP$121)),
IF($K140=INDIRECT(CONCATENATE("$L$"&amp;AP$122)), INDIRECT(CONCATENATE("$L$"&amp;AP$121)),
IF($K140=INDIRECT(CONCATENATE("$M$"&amp;AP$122)), INDIRECT(CONCATENATE("$M$"&amp;AP$121)),
IF($K140=INDIRECT(CONCATENATE("$N$"&amp;AP$122)), INDIRECT(CONCATENATE("$N$"&amp;AP$121)),
IF($K140=INDIRECT(CONCATENATE("$O$"&amp;AP$122)), INDIRECT(CONCATENATE("$O$"&amp;AP$121)),
IF($K140=INDIRECT(CONCATENATE("$P$"&amp;AP$122)), INDIRECT(CONCATENATE("$P$"&amp;AP$121)),
IF($K140=INDIRECT(CONCATENATE("$Q$"&amp;AP$122)), INDIRECT(CONCATENATE("$Q$"&amp;AP$121)),
IF($K140=INDIRECT(CONCATENATE("$R$"&amp;AP$122)), INDIRECT(CONCATENATE("$R$"&amp;AP$121)),
IF($K140=INDIRECT(CONCATENATE("$S$"&amp;AP$122)), INDIRECT(CONCATENATE("$S$"&amp;AP$121)),
IF($K140=INDIRECT(CONCATENATE("$T$"&amp;AP$122)), INDIRECT(CONCATENATE("$T$"&amp;AP$121)),
IF($K140=INDIRECT(CONCATENATE("$U$"&amp;AP$122)), INDIRECT(CONCATENATE("$U$"&amp;AP$121)),
IF($K140=INDIRECT(CONCATENATE("$V$"&amp;AP$122)), INDIRECT(CONCATENATE("$V$"&amp;AP$121)),
IF($K140=INDIRECT(CONCATENATE("$W$"&amp;AP$122)), INDIRECT(CONCATENATE("$W$"&amp;AP$121)),
IF($K140=INDIRECT(CONCATENATE("$X$"&amp;AP$122)), INDIRECT(CONCATENATE("$X$"&amp;AP$121)),
IF($K140=INDIRECT(CONCATENATE("$Y$"&amp;AP$122)), INDIRECT(CONCATENATE("$Y$"&amp;AP$121)),
IF($K140=INDIRECT(CONCATENATE("$Z$"&amp;AP$122)), INDIRECT(CONCATENATE("$Z$"&amp;AP$121)),
IF($K140=INDIRECT(CONCATENATE("$AA$"&amp;AP$122)), INDIRECT(CONCATENATE("$AA$"&amp;AP$121)),
IF($K140=INDIRECT(CONCATENATE("$AB$"&amp;AP$122)), INDIRECT(CONCATENATE("$AB$"&amp;AP$121)),
IF($K140=INDIRECT(CONCATENATE("$AC$"&amp;AP$122)), INDIRECT(CONCATENATE("$AC$"&amp;AP$121)),
IF($K140=INDIRECT(CONCATENATE("$AD$"&amp;AP$122)), INDIRECT(CONCATENATE("$AD$"&amp;AP$121)),
IF($K140=INDIRECT(CONCATENATE("$AE$"&amp;AP$122)), INDIRECT(CONCATENATE("$AE$"&amp;AP$121)),
IF($K140=INDIRECT(CONCATENATE("$AF$"&amp;AP$122)), INDIRECT(CONCATENATE("$AF$"&amp;AP$121)),"X")))))))))))))))))))))))))))))))</f>
        <v>X</v>
      </c>
      <c r="AQ140" s="6" t="str">
        <f t="shared" ca="1" si="430"/>
        <v>X</v>
      </c>
      <c r="AR140" s="6" t="str">
        <f ca="1">IF($K140=INDIRECT(CONCATENATE("$B$"&amp;AR$122)), INDIRECT(CONCATENATE("$B$"&amp;AR$121)),
IF($K140=INDIRECT(CONCATENATE("$C$"&amp;AR$122)), INDIRECT(CONCATENATE("$C$"&amp;AR$121)),
IF($K140=INDIRECT(CONCATENATE("$D$"&amp;AR$122)), INDIRECT(CONCATENATE("$D$"&amp;AR$121)),
IF($K140=INDIRECT(CONCATENATE("$E$"&amp;AR$122)), INDIRECT(CONCATENATE("$E$"&amp;AR$121)),
IF($K140=INDIRECT(CONCATENATE("$F$"&amp;AR$122)), INDIRECT(CONCATENATE("$F$"&amp;AR$121)),
IF($K140=INDIRECT(CONCATENATE("$G$"&amp;AR$122)), INDIRECT(CONCATENATE("$G$"&amp;AR$121)),
IF($K140=INDIRECT(CONCATENATE("$H$"&amp;AR$122)), INDIRECT(CONCATENATE("$H$"&amp;AR$121)),
IF($K140=INDIRECT(CONCATENATE("$I$"&amp;AR$122)), INDIRECT(CONCATENATE("$I$"&amp;AR$121)),
IF($K140=INDIRECT(CONCATENATE("$J$"&amp;AR$122)), INDIRECT(CONCATENATE("$J$"&amp;AR$121)),
IF($K140=INDIRECT(CONCATENATE("$K$"&amp;AR$122)), INDIRECT(CONCATENATE("$K$"&amp;AR$121)),
IF($K140=INDIRECT(CONCATENATE("$L$"&amp;AR$122)), INDIRECT(CONCATENATE("$L$"&amp;AR$121)),
IF($K140=INDIRECT(CONCATENATE("$M$"&amp;AR$122)), INDIRECT(CONCATENATE("$M$"&amp;AR$121)),
IF($K140=INDIRECT(CONCATENATE("$N$"&amp;AR$122)), INDIRECT(CONCATENATE("$N$"&amp;AR$121)),
IF($K140=INDIRECT(CONCATENATE("$O$"&amp;AR$122)), INDIRECT(CONCATENATE("$O$"&amp;AR$121)),
IF($K140=INDIRECT(CONCATENATE("$P$"&amp;AR$122)), INDIRECT(CONCATENATE("$P$"&amp;AR$121)),
IF($K140=INDIRECT(CONCATENATE("$Q$"&amp;AR$122)), INDIRECT(CONCATENATE("$Q$"&amp;AR$121)),
IF($K140=INDIRECT(CONCATENATE("$R$"&amp;AR$122)), INDIRECT(CONCATENATE("$R$"&amp;AR$121)),
IF($K140=INDIRECT(CONCATENATE("$S$"&amp;AR$122)), INDIRECT(CONCATENATE("$S$"&amp;AR$121)),
IF($K140=INDIRECT(CONCATENATE("$T$"&amp;AR$122)), INDIRECT(CONCATENATE("$T$"&amp;AR$121)),
IF($K140=INDIRECT(CONCATENATE("$U$"&amp;AR$122)), INDIRECT(CONCATENATE("$U$"&amp;AR$121)),
IF($K140=INDIRECT(CONCATENATE("$V$"&amp;AR$122)), INDIRECT(CONCATENATE("$V$"&amp;AR$121)),
IF($K140=INDIRECT(CONCATENATE("$W$"&amp;AR$122)), INDIRECT(CONCATENATE("$W$"&amp;AR$121)),
IF($K140=INDIRECT(CONCATENATE("$X$"&amp;AR$122)), INDIRECT(CONCATENATE("$X$"&amp;AR$121)),
IF($K140=INDIRECT(CONCATENATE("$Y$"&amp;AR$122)), INDIRECT(CONCATENATE("$Y$"&amp;AR$121)),
IF($K140=INDIRECT(CONCATENATE("$Z$"&amp;AR$122)), INDIRECT(CONCATENATE("$Z$"&amp;AR$121)),
IF($K140=INDIRECT(CONCATENATE("$AA$"&amp;AR$122)), INDIRECT(CONCATENATE("$AA$"&amp;AR$121)),
IF($K140=INDIRECT(CONCATENATE("$AB$"&amp;AR$122)), INDIRECT(CONCATENATE("$AB$"&amp;AR$121)),
IF($K140=INDIRECT(CONCATENATE("$AC$"&amp;AR$122)), INDIRECT(CONCATENATE("$AC$"&amp;AR$121)),
IF($K140=INDIRECT(CONCATENATE("$AD$"&amp;AR$122)), INDIRECT(CONCATENATE("$AD$"&amp;AR$121)),
IF($K140=INDIRECT(CONCATENATE("$AE$"&amp;AR$122)), INDIRECT(CONCATENATE("$AE$"&amp;AR$121)),
IF($K140=INDIRECT(CONCATENATE("$AF$"&amp;AR$122)), INDIRECT(CONCATENATE("$AF$"&amp;AR$121)),"X")))))))))))))))))))))))))))))))</f>
        <v>X</v>
      </c>
      <c r="AS140" s="6" t="str">
        <f t="shared" ca="1" si="430"/>
        <v>X</v>
      </c>
      <c r="AT140" s="6" t="str">
        <f ca="1">IF($K140=INDIRECT(CONCATENATE("$B$"&amp;AT$122)), INDIRECT(CONCATENATE("$B$"&amp;AT$121)),
IF($K140=INDIRECT(CONCATENATE("$C$"&amp;AT$122)), INDIRECT(CONCATENATE("$C$"&amp;AT$121)),
IF($K140=INDIRECT(CONCATENATE("$D$"&amp;AT$122)), INDIRECT(CONCATENATE("$D$"&amp;AT$121)),
IF($K140=INDIRECT(CONCATENATE("$E$"&amp;AT$122)), INDIRECT(CONCATENATE("$E$"&amp;AT$121)),
IF($K140=INDIRECT(CONCATENATE("$F$"&amp;AT$122)), INDIRECT(CONCATENATE("$F$"&amp;AT$121)),
IF($K140=INDIRECT(CONCATENATE("$G$"&amp;AT$122)), INDIRECT(CONCATENATE("$G$"&amp;AT$121)),
IF($K140=INDIRECT(CONCATENATE("$H$"&amp;AT$122)), INDIRECT(CONCATENATE("$H$"&amp;AT$121)),
IF($K140=INDIRECT(CONCATENATE("$I$"&amp;AT$122)), INDIRECT(CONCATENATE("$I$"&amp;AT$121)),
IF($K140=INDIRECT(CONCATENATE("$J$"&amp;AT$122)), INDIRECT(CONCATENATE("$J$"&amp;AT$121)),
IF($K140=INDIRECT(CONCATENATE("$K$"&amp;AT$122)), INDIRECT(CONCATENATE("$K$"&amp;AT$121)),
IF($K140=INDIRECT(CONCATENATE("$L$"&amp;AT$122)), INDIRECT(CONCATENATE("$L$"&amp;AT$121)),
IF($K140=INDIRECT(CONCATENATE("$M$"&amp;AT$122)), INDIRECT(CONCATENATE("$M$"&amp;AT$121)),
IF($K140=INDIRECT(CONCATENATE("$N$"&amp;AT$122)), INDIRECT(CONCATENATE("$N$"&amp;AT$121)),
IF($K140=INDIRECT(CONCATENATE("$O$"&amp;AT$122)), INDIRECT(CONCATENATE("$O$"&amp;AT$121)),
IF($K140=INDIRECT(CONCATENATE("$P$"&amp;AT$122)), INDIRECT(CONCATENATE("$P$"&amp;AT$121)),
IF($K140=INDIRECT(CONCATENATE("$Q$"&amp;AT$122)), INDIRECT(CONCATENATE("$Q$"&amp;AT$121)),
IF($K140=INDIRECT(CONCATENATE("$R$"&amp;AT$122)), INDIRECT(CONCATENATE("$R$"&amp;AT$121)),
IF($K140=INDIRECT(CONCATENATE("$S$"&amp;AT$122)), INDIRECT(CONCATENATE("$S$"&amp;AT$121)),
IF($K140=INDIRECT(CONCATENATE("$T$"&amp;AT$122)), INDIRECT(CONCATENATE("$T$"&amp;AT$121)),
IF($K140=INDIRECT(CONCATENATE("$U$"&amp;AT$122)), INDIRECT(CONCATENATE("$U$"&amp;AT$121)),
IF($K140=INDIRECT(CONCATENATE("$V$"&amp;AT$122)), INDIRECT(CONCATENATE("$V$"&amp;AT$121)),
IF($K140=INDIRECT(CONCATENATE("$W$"&amp;AT$122)), INDIRECT(CONCATENATE("$W$"&amp;AT$121)),
IF($K140=INDIRECT(CONCATENATE("$X$"&amp;AT$122)), INDIRECT(CONCATENATE("$X$"&amp;AT$121)),
IF($K140=INDIRECT(CONCATENATE("$Y$"&amp;AT$122)), INDIRECT(CONCATENATE("$Y$"&amp;AT$121)),
IF($K140=INDIRECT(CONCATENATE("$Z$"&amp;AT$122)), INDIRECT(CONCATENATE("$Z$"&amp;AT$121)),
IF($K140=INDIRECT(CONCATENATE("$AA$"&amp;AT$122)), INDIRECT(CONCATENATE("$AA$"&amp;AT$121)),
IF($K140=INDIRECT(CONCATENATE("$AB$"&amp;AT$122)), INDIRECT(CONCATENATE("$AB$"&amp;AT$121)),
IF($K140=INDIRECT(CONCATENATE("$AC$"&amp;AT$122)), INDIRECT(CONCATENATE("$AC$"&amp;AT$121)),
IF($K140=INDIRECT(CONCATENATE("$AD$"&amp;AT$122)), INDIRECT(CONCATENATE("$AD$"&amp;AT$121)),
IF($K140=INDIRECT(CONCATENATE("$AE$"&amp;AT$122)), INDIRECT(CONCATENATE("$AE$"&amp;AT$121)),
IF($K140=INDIRECT(CONCATENATE("$AF$"&amp;AT$122)), INDIRECT(CONCATENATE("$AF$"&amp;AT$121)),"X")))))))))))))))))))))))))))))))</f>
        <v>X</v>
      </c>
      <c r="AU140" s="6" t="str">
        <f t="shared" ca="1" si="430"/>
        <v>X</v>
      </c>
      <c r="AV140" s="6" t="str">
        <f ca="1">IF($K140=INDIRECT(CONCATENATE("$B$"&amp;AV$122)), INDIRECT(CONCATENATE("$B$"&amp;AV$121)),
IF($K140=INDIRECT(CONCATENATE("$C$"&amp;AV$122)), INDIRECT(CONCATENATE("$C$"&amp;AV$121)),
IF($K140=INDIRECT(CONCATENATE("$D$"&amp;AV$122)), INDIRECT(CONCATENATE("$D$"&amp;AV$121)),
IF($K140=INDIRECT(CONCATENATE("$E$"&amp;AV$122)), INDIRECT(CONCATENATE("$E$"&amp;AV$121)),
IF($K140=INDIRECT(CONCATENATE("$F$"&amp;AV$122)), INDIRECT(CONCATENATE("$F$"&amp;AV$121)),
IF($K140=INDIRECT(CONCATENATE("$G$"&amp;AV$122)), INDIRECT(CONCATENATE("$G$"&amp;AV$121)),
IF($K140=INDIRECT(CONCATENATE("$H$"&amp;AV$122)), INDIRECT(CONCATENATE("$H$"&amp;AV$121)),
IF($K140=INDIRECT(CONCATENATE("$I$"&amp;AV$122)), INDIRECT(CONCATENATE("$I$"&amp;AV$121)),
IF($K140=INDIRECT(CONCATENATE("$J$"&amp;AV$122)), INDIRECT(CONCATENATE("$J$"&amp;AV$121)),
IF($K140=INDIRECT(CONCATENATE("$K$"&amp;AV$122)), INDIRECT(CONCATENATE("$K$"&amp;AV$121)),
IF($K140=INDIRECT(CONCATENATE("$L$"&amp;AV$122)), INDIRECT(CONCATENATE("$L$"&amp;AV$121)),
IF($K140=INDIRECT(CONCATENATE("$M$"&amp;AV$122)), INDIRECT(CONCATENATE("$M$"&amp;AV$121)),
IF($K140=INDIRECT(CONCATENATE("$N$"&amp;AV$122)), INDIRECT(CONCATENATE("$N$"&amp;AV$121)),
IF($K140=INDIRECT(CONCATENATE("$O$"&amp;AV$122)), INDIRECT(CONCATENATE("$O$"&amp;AV$121)),
IF($K140=INDIRECT(CONCATENATE("$P$"&amp;AV$122)), INDIRECT(CONCATENATE("$P$"&amp;AV$121)),
IF($K140=INDIRECT(CONCATENATE("$Q$"&amp;AV$122)), INDIRECT(CONCATENATE("$Q$"&amp;AV$121)),
IF($K140=INDIRECT(CONCATENATE("$R$"&amp;AV$122)), INDIRECT(CONCATENATE("$R$"&amp;AV$121)),
IF($K140=INDIRECT(CONCATENATE("$S$"&amp;AV$122)), INDIRECT(CONCATENATE("$S$"&amp;AV$121)),
IF($K140=INDIRECT(CONCATENATE("$T$"&amp;AV$122)), INDIRECT(CONCATENATE("$T$"&amp;AV$121)),
IF($K140=INDIRECT(CONCATENATE("$U$"&amp;AV$122)), INDIRECT(CONCATENATE("$U$"&amp;AV$121)),
IF($K140=INDIRECT(CONCATENATE("$V$"&amp;AV$122)), INDIRECT(CONCATENATE("$V$"&amp;AV$121)),
IF($K140=INDIRECT(CONCATENATE("$W$"&amp;AV$122)), INDIRECT(CONCATENATE("$W$"&amp;AV$121)),
IF($K140=INDIRECT(CONCATENATE("$X$"&amp;AV$122)), INDIRECT(CONCATENATE("$X$"&amp;AV$121)),
IF($K140=INDIRECT(CONCATENATE("$Y$"&amp;AV$122)), INDIRECT(CONCATENATE("$Y$"&amp;AV$121)),
IF($K140=INDIRECT(CONCATENATE("$Z$"&amp;AV$122)), INDIRECT(CONCATENATE("$Z$"&amp;AV$121)),
IF($K140=INDIRECT(CONCATENATE("$AA$"&amp;AV$122)), INDIRECT(CONCATENATE("$AA$"&amp;AV$121)),
IF($K140=INDIRECT(CONCATENATE("$AB$"&amp;AV$122)), INDIRECT(CONCATENATE("$AB$"&amp;AV$121)),
IF($K140=INDIRECT(CONCATENATE("$AC$"&amp;AV$122)), INDIRECT(CONCATENATE("$AC$"&amp;AV$121)),
IF($K140=INDIRECT(CONCATENATE("$AD$"&amp;AV$122)), INDIRECT(CONCATENATE("$AD$"&amp;AV$121)),
IF($K140=INDIRECT(CONCATENATE("$AE$"&amp;AV$122)), INDIRECT(CONCATENATE("$AE$"&amp;AV$121)),
IF($K140=INDIRECT(CONCATENATE("$AF$"&amp;AV$122)), INDIRECT(CONCATENATE("$AF$"&amp;AV$121)),"X")))))))))))))))))))))))))))))))</f>
        <v>X</v>
      </c>
      <c r="AW140" s="6" t="str">
        <f t="shared" ca="1" si="430"/>
        <v>X</v>
      </c>
      <c r="AX140" s="6" t="str">
        <f ca="1">IF($K140=INDIRECT(CONCATENATE("$B$"&amp;AX$122)), INDIRECT(CONCATENATE("$B$"&amp;AX$121)),
IF($K140=INDIRECT(CONCATENATE("$C$"&amp;AX$122)), INDIRECT(CONCATENATE("$C$"&amp;AX$121)),
IF($K140=INDIRECT(CONCATENATE("$D$"&amp;AX$122)), INDIRECT(CONCATENATE("$D$"&amp;AX$121)),
IF($K140=INDIRECT(CONCATENATE("$E$"&amp;AX$122)), INDIRECT(CONCATENATE("$E$"&amp;AX$121)),
IF($K140=INDIRECT(CONCATENATE("$F$"&amp;AX$122)), INDIRECT(CONCATENATE("$F$"&amp;AX$121)),
IF($K140=INDIRECT(CONCATENATE("$G$"&amp;AX$122)), INDIRECT(CONCATENATE("$G$"&amp;AX$121)),
IF($K140=INDIRECT(CONCATENATE("$H$"&amp;AX$122)), INDIRECT(CONCATENATE("$H$"&amp;AX$121)),
IF($K140=INDIRECT(CONCATENATE("$I$"&amp;AX$122)), INDIRECT(CONCATENATE("$I$"&amp;AX$121)),
IF($K140=INDIRECT(CONCATENATE("$J$"&amp;AX$122)), INDIRECT(CONCATENATE("$J$"&amp;AX$121)),
IF($K140=INDIRECT(CONCATENATE("$K$"&amp;AX$122)), INDIRECT(CONCATENATE("$K$"&amp;AX$121)),
IF($K140=INDIRECT(CONCATENATE("$L$"&amp;AX$122)), INDIRECT(CONCATENATE("$L$"&amp;AX$121)),
IF($K140=INDIRECT(CONCATENATE("$M$"&amp;AX$122)), INDIRECT(CONCATENATE("$M$"&amp;AX$121)),
IF($K140=INDIRECT(CONCATENATE("$N$"&amp;AX$122)), INDIRECT(CONCATENATE("$N$"&amp;AX$121)),
IF($K140=INDIRECT(CONCATENATE("$O$"&amp;AX$122)), INDIRECT(CONCATENATE("$O$"&amp;AX$121)),
IF($K140=INDIRECT(CONCATENATE("$P$"&amp;AX$122)), INDIRECT(CONCATENATE("$P$"&amp;AX$121)),
IF($K140=INDIRECT(CONCATENATE("$Q$"&amp;AX$122)), INDIRECT(CONCATENATE("$Q$"&amp;AX$121)),
IF($K140=INDIRECT(CONCATENATE("$R$"&amp;AX$122)), INDIRECT(CONCATENATE("$R$"&amp;AX$121)),
IF($K140=INDIRECT(CONCATENATE("$S$"&amp;AX$122)), INDIRECT(CONCATENATE("$S$"&amp;AX$121)),
IF($K140=INDIRECT(CONCATENATE("$T$"&amp;AX$122)), INDIRECT(CONCATENATE("$T$"&amp;AX$121)),
IF($K140=INDIRECT(CONCATENATE("$U$"&amp;AX$122)), INDIRECT(CONCATENATE("$U$"&amp;AX$121)),
IF($K140=INDIRECT(CONCATENATE("$V$"&amp;AX$122)), INDIRECT(CONCATENATE("$V$"&amp;AX$121)),
IF($K140=INDIRECT(CONCATENATE("$W$"&amp;AX$122)), INDIRECT(CONCATENATE("$W$"&amp;AX$121)),
IF($K140=INDIRECT(CONCATENATE("$X$"&amp;AX$122)), INDIRECT(CONCATENATE("$X$"&amp;AX$121)),
IF($K140=INDIRECT(CONCATENATE("$Y$"&amp;AX$122)), INDIRECT(CONCATENATE("$Y$"&amp;AX$121)),
IF($K140=INDIRECT(CONCATENATE("$Z$"&amp;AX$122)), INDIRECT(CONCATENATE("$Z$"&amp;AX$121)),
IF($K140=INDIRECT(CONCATENATE("$AA$"&amp;AX$122)), INDIRECT(CONCATENATE("$AA$"&amp;AX$121)),
IF($K140=INDIRECT(CONCATENATE("$AB$"&amp;AX$122)), INDIRECT(CONCATENATE("$AB$"&amp;AX$121)),
IF($K140=INDIRECT(CONCATENATE("$AC$"&amp;AX$122)), INDIRECT(CONCATENATE("$AC$"&amp;AX$121)),
IF($K140=INDIRECT(CONCATENATE("$AD$"&amp;AX$122)), INDIRECT(CONCATENATE("$AD$"&amp;AX$121)),
IF($K140=INDIRECT(CONCATENATE("$AE$"&amp;AX$122)), INDIRECT(CONCATENATE("$AE$"&amp;AX$121)),
IF($K140=INDIRECT(CONCATENATE("$AF$"&amp;AX$122)), INDIRECT(CONCATENATE("$AF$"&amp;AX$121)),"X")))))))))))))))))))))))))))))))</f>
        <v>X</v>
      </c>
      <c r="AY140" s="6" t="str">
        <f t="shared" ca="1" si="430"/>
        <v>X</v>
      </c>
      <c r="AZ140" s="6" t="str">
        <f ca="1">IF($K140=INDIRECT(CONCATENATE("$B$"&amp;AZ$122)), INDIRECT(CONCATENATE("$B$"&amp;AZ$121)),
IF($K140=INDIRECT(CONCATENATE("$C$"&amp;AZ$122)), INDIRECT(CONCATENATE("$C$"&amp;AZ$121)),
IF($K140=INDIRECT(CONCATENATE("$D$"&amp;AZ$122)), INDIRECT(CONCATENATE("$D$"&amp;AZ$121)),
IF($K140=INDIRECT(CONCATENATE("$E$"&amp;AZ$122)), INDIRECT(CONCATENATE("$E$"&amp;AZ$121)),
IF($K140=INDIRECT(CONCATENATE("$F$"&amp;AZ$122)), INDIRECT(CONCATENATE("$F$"&amp;AZ$121)),
IF($K140=INDIRECT(CONCATENATE("$G$"&amp;AZ$122)), INDIRECT(CONCATENATE("$G$"&amp;AZ$121)),
IF($K140=INDIRECT(CONCATENATE("$H$"&amp;AZ$122)), INDIRECT(CONCATENATE("$H$"&amp;AZ$121)),
IF($K140=INDIRECT(CONCATENATE("$I$"&amp;AZ$122)), INDIRECT(CONCATENATE("$I$"&amp;AZ$121)),
IF($K140=INDIRECT(CONCATENATE("$J$"&amp;AZ$122)), INDIRECT(CONCATENATE("$J$"&amp;AZ$121)),
IF($K140=INDIRECT(CONCATENATE("$K$"&amp;AZ$122)), INDIRECT(CONCATENATE("$K$"&amp;AZ$121)),
IF($K140=INDIRECT(CONCATENATE("$L$"&amp;AZ$122)), INDIRECT(CONCATENATE("$L$"&amp;AZ$121)),
IF($K140=INDIRECT(CONCATENATE("$M$"&amp;AZ$122)), INDIRECT(CONCATENATE("$M$"&amp;AZ$121)),
IF($K140=INDIRECT(CONCATENATE("$N$"&amp;AZ$122)), INDIRECT(CONCATENATE("$N$"&amp;AZ$121)),
IF($K140=INDIRECT(CONCATENATE("$O$"&amp;AZ$122)), INDIRECT(CONCATENATE("$O$"&amp;AZ$121)),
IF($K140=INDIRECT(CONCATENATE("$P$"&amp;AZ$122)), INDIRECT(CONCATENATE("$P$"&amp;AZ$121)),
IF($K140=INDIRECT(CONCATENATE("$Q$"&amp;AZ$122)), INDIRECT(CONCATENATE("$Q$"&amp;AZ$121)),
IF($K140=INDIRECT(CONCATENATE("$R$"&amp;AZ$122)), INDIRECT(CONCATENATE("$R$"&amp;AZ$121)),
IF($K140=INDIRECT(CONCATENATE("$S$"&amp;AZ$122)), INDIRECT(CONCATENATE("$S$"&amp;AZ$121)),
IF($K140=INDIRECT(CONCATENATE("$T$"&amp;AZ$122)), INDIRECT(CONCATENATE("$T$"&amp;AZ$121)),
IF($K140=INDIRECT(CONCATENATE("$U$"&amp;AZ$122)), INDIRECT(CONCATENATE("$U$"&amp;AZ$121)),
IF($K140=INDIRECT(CONCATENATE("$V$"&amp;AZ$122)), INDIRECT(CONCATENATE("$V$"&amp;AZ$121)),
IF($K140=INDIRECT(CONCATENATE("$W$"&amp;AZ$122)), INDIRECT(CONCATENATE("$W$"&amp;AZ$121)),
IF($K140=INDIRECT(CONCATENATE("$X$"&amp;AZ$122)), INDIRECT(CONCATENATE("$X$"&amp;AZ$121)),
IF($K140=INDIRECT(CONCATENATE("$Y$"&amp;AZ$122)), INDIRECT(CONCATENATE("$Y$"&amp;AZ$121)),
IF($K140=INDIRECT(CONCATENATE("$Z$"&amp;AZ$122)), INDIRECT(CONCATENATE("$Z$"&amp;AZ$121)),
IF($K140=INDIRECT(CONCATENATE("$AA$"&amp;AZ$122)), INDIRECT(CONCATENATE("$AA$"&amp;AZ$121)),
IF($K140=INDIRECT(CONCATENATE("$AB$"&amp;AZ$122)), INDIRECT(CONCATENATE("$AB$"&amp;AZ$121)),
IF($K140=INDIRECT(CONCATENATE("$AC$"&amp;AZ$122)), INDIRECT(CONCATENATE("$AC$"&amp;AZ$121)),
IF($K140=INDIRECT(CONCATENATE("$AD$"&amp;AZ$122)), INDIRECT(CONCATENATE("$AD$"&amp;AZ$121)),
IF($K140=INDIRECT(CONCATENATE("$AE$"&amp;AZ$122)), INDIRECT(CONCATENATE("$AE$"&amp;AZ$121)),
IF($K140=INDIRECT(CONCATENATE("$AF$"&amp;AZ$122)), INDIRECT(CONCATENATE("$AF$"&amp;AZ$121)),"X")))))))))))))))))))))))))))))))</f>
        <v>X</v>
      </c>
      <c r="BA140" s="6" t="str">
        <f t="shared" ca="1" si="430"/>
        <v>X</v>
      </c>
      <c r="BB140" s="6" t="str">
        <f ca="1">IF($K140=INDIRECT(CONCATENATE("$B$"&amp;BB$122)), INDIRECT(CONCATENATE("$B$"&amp;BB$121)),
IF($K140=INDIRECT(CONCATENATE("$C$"&amp;BB$122)), INDIRECT(CONCATENATE("$C$"&amp;BB$121)),
IF($K140=INDIRECT(CONCATENATE("$D$"&amp;BB$122)), INDIRECT(CONCATENATE("$D$"&amp;BB$121)),
IF($K140=INDIRECT(CONCATENATE("$E$"&amp;BB$122)), INDIRECT(CONCATENATE("$E$"&amp;BB$121)),
IF($K140=INDIRECT(CONCATENATE("$F$"&amp;BB$122)), INDIRECT(CONCATENATE("$F$"&amp;BB$121)),
IF($K140=INDIRECT(CONCATENATE("$G$"&amp;BB$122)), INDIRECT(CONCATENATE("$G$"&amp;BB$121)),
IF($K140=INDIRECT(CONCATENATE("$H$"&amp;BB$122)), INDIRECT(CONCATENATE("$H$"&amp;BB$121)),
IF($K140=INDIRECT(CONCATENATE("$I$"&amp;BB$122)), INDIRECT(CONCATENATE("$I$"&amp;BB$121)),
IF($K140=INDIRECT(CONCATENATE("$J$"&amp;BB$122)), INDIRECT(CONCATENATE("$J$"&amp;BB$121)),
IF($K140=INDIRECT(CONCATENATE("$K$"&amp;BB$122)), INDIRECT(CONCATENATE("$K$"&amp;BB$121)),
IF($K140=INDIRECT(CONCATENATE("$L$"&amp;BB$122)), INDIRECT(CONCATENATE("$L$"&amp;BB$121)),
IF($K140=INDIRECT(CONCATENATE("$M$"&amp;BB$122)), INDIRECT(CONCATENATE("$M$"&amp;BB$121)),
IF($K140=INDIRECT(CONCATENATE("$N$"&amp;BB$122)), INDIRECT(CONCATENATE("$N$"&amp;BB$121)),
IF($K140=INDIRECT(CONCATENATE("$O$"&amp;BB$122)), INDIRECT(CONCATENATE("$O$"&amp;BB$121)),
IF($K140=INDIRECT(CONCATENATE("$P$"&amp;BB$122)), INDIRECT(CONCATENATE("$P$"&amp;BB$121)),
IF($K140=INDIRECT(CONCATENATE("$Q$"&amp;BB$122)), INDIRECT(CONCATENATE("$Q$"&amp;BB$121)),
IF($K140=INDIRECT(CONCATENATE("$R$"&amp;BB$122)), INDIRECT(CONCATENATE("$R$"&amp;BB$121)),
IF($K140=INDIRECT(CONCATENATE("$S$"&amp;BB$122)), INDIRECT(CONCATENATE("$S$"&amp;BB$121)),
IF($K140=INDIRECT(CONCATENATE("$T$"&amp;BB$122)), INDIRECT(CONCATENATE("$T$"&amp;BB$121)),
IF($K140=INDIRECT(CONCATENATE("$U$"&amp;BB$122)), INDIRECT(CONCATENATE("$U$"&amp;BB$121)),
IF($K140=INDIRECT(CONCATENATE("$V$"&amp;BB$122)), INDIRECT(CONCATENATE("$V$"&amp;BB$121)),
IF($K140=INDIRECT(CONCATENATE("$W$"&amp;BB$122)), INDIRECT(CONCATENATE("$W$"&amp;BB$121)),
IF($K140=INDIRECT(CONCATENATE("$X$"&amp;BB$122)), INDIRECT(CONCATENATE("$X$"&amp;BB$121)),
IF($K140=INDIRECT(CONCATENATE("$Y$"&amp;BB$122)), INDIRECT(CONCATENATE("$Y$"&amp;BB$121)),
IF($K140=INDIRECT(CONCATENATE("$Z$"&amp;BB$122)), INDIRECT(CONCATENATE("$Z$"&amp;BB$121)),
IF($K140=INDIRECT(CONCATENATE("$AA$"&amp;BB$122)), INDIRECT(CONCATENATE("$AA$"&amp;BB$121)),
IF($K140=INDIRECT(CONCATENATE("$AB$"&amp;BB$122)), INDIRECT(CONCATENATE("$AB$"&amp;BB$121)),
IF($K140=INDIRECT(CONCATENATE("$AC$"&amp;BB$122)), INDIRECT(CONCATENATE("$AC$"&amp;BB$121)),
IF($K140=INDIRECT(CONCATENATE("$AD$"&amp;BB$122)), INDIRECT(CONCATENATE("$AD$"&amp;BB$121)),
IF($K140=INDIRECT(CONCATENATE("$AE$"&amp;BB$122)), INDIRECT(CONCATENATE("$AE$"&amp;BB$121)),
IF($K140=INDIRECT(CONCATENATE("$AF$"&amp;BB$122)), INDIRECT(CONCATENATE("$AF$"&amp;BB$121)),"X")))))))))))))))))))))))))))))))</f>
        <v>X</v>
      </c>
      <c r="BC140" s="6" t="str">
        <f t="shared" ca="1" si="430"/>
        <v>X</v>
      </c>
      <c r="BD140" s="6" t="str">
        <f ca="1">IF($K140=INDIRECT(CONCATENATE("$B$"&amp;BD$122)), INDIRECT(CONCATENATE("$B$"&amp;BD$121)),
IF($K140=INDIRECT(CONCATENATE("$C$"&amp;BD$122)), INDIRECT(CONCATENATE("$C$"&amp;BD$121)),
IF($K140=INDIRECT(CONCATENATE("$D$"&amp;BD$122)), INDIRECT(CONCATENATE("$D$"&amp;BD$121)),
IF($K140=INDIRECT(CONCATENATE("$E$"&amp;BD$122)), INDIRECT(CONCATENATE("$E$"&amp;BD$121)),
IF($K140=INDIRECT(CONCATENATE("$F$"&amp;BD$122)), INDIRECT(CONCATENATE("$F$"&amp;BD$121)),
IF($K140=INDIRECT(CONCATENATE("$G$"&amp;BD$122)), INDIRECT(CONCATENATE("$G$"&amp;BD$121)),
IF($K140=INDIRECT(CONCATENATE("$H$"&amp;BD$122)), INDIRECT(CONCATENATE("$H$"&amp;BD$121)),
IF($K140=INDIRECT(CONCATENATE("$I$"&amp;BD$122)), INDIRECT(CONCATENATE("$I$"&amp;BD$121)),
IF($K140=INDIRECT(CONCATENATE("$J$"&amp;BD$122)), INDIRECT(CONCATENATE("$J$"&amp;BD$121)),
IF($K140=INDIRECT(CONCATENATE("$K$"&amp;BD$122)), INDIRECT(CONCATENATE("$K$"&amp;BD$121)),
IF($K140=INDIRECT(CONCATENATE("$L$"&amp;BD$122)), INDIRECT(CONCATENATE("$L$"&amp;BD$121)),
IF($K140=INDIRECT(CONCATENATE("$M$"&amp;BD$122)), INDIRECT(CONCATENATE("$M$"&amp;BD$121)),
IF($K140=INDIRECT(CONCATENATE("$N$"&amp;BD$122)), INDIRECT(CONCATENATE("$N$"&amp;BD$121)),
IF($K140=INDIRECT(CONCATENATE("$O$"&amp;BD$122)), INDIRECT(CONCATENATE("$O$"&amp;BD$121)),
IF($K140=INDIRECT(CONCATENATE("$P$"&amp;BD$122)), INDIRECT(CONCATENATE("$P$"&amp;BD$121)),
IF($K140=INDIRECT(CONCATENATE("$Q$"&amp;BD$122)), INDIRECT(CONCATENATE("$Q$"&amp;BD$121)),
IF($K140=INDIRECT(CONCATENATE("$R$"&amp;BD$122)), INDIRECT(CONCATENATE("$R$"&amp;BD$121)),
IF($K140=INDIRECT(CONCATENATE("$S$"&amp;BD$122)), INDIRECT(CONCATENATE("$S$"&amp;BD$121)),
IF($K140=INDIRECT(CONCATENATE("$T$"&amp;BD$122)), INDIRECT(CONCATENATE("$T$"&amp;BD$121)),
IF($K140=INDIRECT(CONCATENATE("$U$"&amp;BD$122)), INDIRECT(CONCATENATE("$U$"&amp;BD$121)),
IF($K140=INDIRECT(CONCATENATE("$V$"&amp;BD$122)), INDIRECT(CONCATENATE("$V$"&amp;BD$121)),
IF($K140=INDIRECT(CONCATENATE("$W$"&amp;BD$122)), INDIRECT(CONCATENATE("$W$"&amp;BD$121)),
IF($K140=INDIRECT(CONCATENATE("$X$"&amp;BD$122)), INDIRECT(CONCATENATE("$X$"&amp;BD$121)),
IF($K140=INDIRECT(CONCATENATE("$Y$"&amp;BD$122)), INDIRECT(CONCATENATE("$Y$"&amp;BD$121)),
IF($K140=INDIRECT(CONCATENATE("$Z$"&amp;BD$122)), INDIRECT(CONCATENATE("$Z$"&amp;BD$121)),
IF($K140=INDIRECT(CONCATENATE("$AA$"&amp;BD$122)), INDIRECT(CONCATENATE("$AA$"&amp;BD$121)),
IF($K140=INDIRECT(CONCATENATE("$AB$"&amp;BD$122)), INDIRECT(CONCATENATE("$AB$"&amp;BD$121)),
IF($K140=INDIRECT(CONCATENATE("$AC$"&amp;BD$122)), INDIRECT(CONCATENATE("$AC$"&amp;BD$121)),
IF($K140=INDIRECT(CONCATENATE("$AD$"&amp;BD$122)), INDIRECT(CONCATENATE("$AD$"&amp;BD$121)),
IF($K140=INDIRECT(CONCATENATE("$AE$"&amp;BD$122)), INDIRECT(CONCATENATE("$AE$"&amp;BD$121)),
IF($K140=INDIRECT(CONCATENATE("$AF$"&amp;BD$122)), INDIRECT(CONCATENATE("$AF$"&amp;BD$121)),"X")))))))))))))))))))))))))))))))</f>
        <v>X</v>
      </c>
      <c r="BE140" s="6" t="str">
        <f t="shared" ca="1" si="430"/>
        <v>X</v>
      </c>
      <c r="BF140" s="6" t="str">
        <f ca="1">IF($K140=INDIRECT(CONCATENATE("$B$"&amp;BF$122)), INDIRECT(CONCATENATE("$B$"&amp;BF$121)),
IF($K140=INDIRECT(CONCATENATE("$C$"&amp;BF$122)), INDIRECT(CONCATENATE("$C$"&amp;BF$121)),
IF($K140=INDIRECT(CONCATENATE("$D$"&amp;BF$122)), INDIRECT(CONCATENATE("$D$"&amp;BF$121)),
IF($K140=INDIRECT(CONCATENATE("$E$"&amp;BF$122)), INDIRECT(CONCATENATE("$E$"&amp;BF$121)),
IF($K140=INDIRECT(CONCATENATE("$F$"&amp;BF$122)), INDIRECT(CONCATENATE("$F$"&amp;BF$121)),
IF($K140=INDIRECT(CONCATENATE("$G$"&amp;BF$122)), INDIRECT(CONCATENATE("$G$"&amp;BF$121)),
IF($K140=INDIRECT(CONCATENATE("$H$"&amp;BF$122)), INDIRECT(CONCATENATE("$H$"&amp;BF$121)),
IF($K140=INDIRECT(CONCATENATE("$I$"&amp;BF$122)), INDIRECT(CONCATENATE("$I$"&amp;BF$121)),
IF($K140=INDIRECT(CONCATENATE("$J$"&amp;BF$122)), INDIRECT(CONCATENATE("$J$"&amp;BF$121)),
IF($K140=INDIRECT(CONCATENATE("$K$"&amp;BF$122)), INDIRECT(CONCATENATE("$K$"&amp;BF$121)),
IF($K140=INDIRECT(CONCATENATE("$L$"&amp;BF$122)), INDIRECT(CONCATENATE("$L$"&amp;BF$121)),
IF($K140=INDIRECT(CONCATENATE("$M$"&amp;BF$122)), INDIRECT(CONCATENATE("$M$"&amp;BF$121)),
IF($K140=INDIRECT(CONCATENATE("$N$"&amp;BF$122)), INDIRECT(CONCATENATE("$N$"&amp;BF$121)),
IF($K140=INDIRECT(CONCATENATE("$O$"&amp;BF$122)), INDIRECT(CONCATENATE("$O$"&amp;BF$121)),
IF($K140=INDIRECT(CONCATENATE("$P$"&amp;BF$122)), INDIRECT(CONCATENATE("$P$"&amp;BF$121)),
IF($K140=INDIRECT(CONCATENATE("$Q$"&amp;BF$122)), INDIRECT(CONCATENATE("$Q$"&amp;BF$121)),
IF($K140=INDIRECT(CONCATENATE("$R$"&amp;BF$122)), INDIRECT(CONCATENATE("$R$"&amp;BF$121)),
IF($K140=INDIRECT(CONCATENATE("$S$"&amp;BF$122)), INDIRECT(CONCATENATE("$S$"&amp;BF$121)),
IF($K140=INDIRECT(CONCATENATE("$T$"&amp;BF$122)), INDIRECT(CONCATENATE("$T$"&amp;BF$121)),
IF($K140=INDIRECT(CONCATENATE("$U$"&amp;BF$122)), INDIRECT(CONCATENATE("$U$"&amp;BF$121)),
IF($K140=INDIRECT(CONCATENATE("$V$"&amp;BF$122)), INDIRECT(CONCATENATE("$V$"&amp;BF$121)),
IF($K140=INDIRECT(CONCATENATE("$W$"&amp;BF$122)), INDIRECT(CONCATENATE("$W$"&amp;BF$121)),
IF($K140=INDIRECT(CONCATENATE("$X$"&amp;BF$122)), INDIRECT(CONCATENATE("$X$"&amp;BF$121)),
IF($K140=INDIRECT(CONCATENATE("$Y$"&amp;BF$122)), INDIRECT(CONCATENATE("$Y$"&amp;BF$121)),
IF($K140=INDIRECT(CONCATENATE("$Z$"&amp;BF$122)), INDIRECT(CONCATENATE("$Z$"&amp;BF$121)),
IF($K140=INDIRECT(CONCATENATE("$AA$"&amp;BF$122)), INDIRECT(CONCATENATE("$AA$"&amp;BF$121)),
IF($K140=INDIRECT(CONCATENATE("$AB$"&amp;BF$122)), INDIRECT(CONCATENATE("$AB$"&amp;BF$121)),
IF($K140=INDIRECT(CONCATENATE("$AC$"&amp;BF$122)), INDIRECT(CONCATENATE("$AC$"&amp;BF$121)),
IF($K140=INDIRECT(CONCATENATE("$AD$"&amp;BF$122)), INDIRECT(CONCATENATE("$AD$"&amp;BF$121)),
IF($K140=INDIRECT(CONCATENATE("$AE$"&amp;BF$122)), INDIRECT(CONCATENATE("$AE$"&amp;BF$121)),
IF($K140=INDIRECT(CONCATENATE("$AF$"&amp;BF$122)), INDIRECT(CONCATENATE("$AF$"&amp;BF$121)),"X")))))))))))))))))))))))))))))))</f>
        <v>X</v>
      </c>
      <c r="BG140" s="6" t="str">
        <f t="shared" ca="1" si="430"/>
        <v>X</v>
      </c>
      <c r="BH140" s="6" t="str">
        <f ca="1">IF($K140=INDIRECT(CONCATENATE("$B$"&amp;BH$122)), INDIRECT(CONCATENATE("$B$"&amp;BH$121)),
IF($K140=INDIRECT(CONCATENATE("$C$"&amp;BH$122)), INDIRECT(CONCATENATE("$C$"&amp;BH$121)),
IF($K140=INDIRECT(CONCATENATE("$D$"&amp;BH$122)), INDIRECT(CONCATENATE("$D$"&amp;BH$121)),
IF($K140=INDIRECT(CONCATENATE("$E$"&amp;BH$122)), INDIRECT(CONCATENATE("$E$"&amp;BH$121)),
IF($K140=INDIRECT(CONCATENATE("$F$"&amp;BH$122)), INDIRECT(CONCATENATE("$F$"&amp;BH$121)),
IF($K140=INDIRECT(CONCATENATE("$G$"&amp;BH$122)), INDIRECT(CONCATENATE("$G$"&amp;BH$121)),
IF($K140=INDIRECT(CONCATENATE("$H$"&amp;BH$122)), INDIRECT(CONCATENATE("$H$"&amp;BH$121)),
IF($K140=INDIRECT(CONCATENATE("$I$"&amp;BH$122)), INDIRECT(CONCATENATE("$I$"&amp;BH$121)),
IF($K140=INDIRECT(CONCATENATE("$J$"&amp;BH$122)), INDIRECT(CONCATENATE("$J$"&amp;BH$121)),
IF($K140=INDIRECT(CONCATENATE("$K$"&amp;BH$122)), INDIRECT(CONCATENATE("$K$"&amp;BH$121)),
IF($K140=INDIRECT(CONCATENATE("$L$"&amp;BH$122)), INDIRECT(CONCATENATE("$L$"&amp;BH$121)),
IF($K140=INDIRECT(CONCATENATE("$M$"&amp;BH$122)), INDIRECT(CONCATENATE("$M$"&amp;BH$121)),
IF($K140=INDIRECT(CONCATENATE("$N$"&amp;BH$122)), INDIRECT(CONCATENATE("$N$"&amp;BH$121)),
IF($K140=INDIRECT(CONCATENATE("$O$"&amp;BH$122)), INDIRECT(CONCATENATE("$O$"&amp;BH$121)),
IF($K140=INDIRECT(CONCATENATE("$P$"&amp;BH$122)), INDIRECT(CONCATENATE("$P$"&amp;BH$121)),
IF($K140=INDIRECT(CONCATENATE("$Q$"&amp;BH$122)), INDIRECT(CONCATENATE("$Q$"&amp;BH$121)),
IF($K140=INDIRECT(CONCATENATE("$R$"&amp;BH$122)), INDIRECT(CONCATENATE("$R$"&amp;BH$121)),
IF($K140=INDIRECT(CONCATENATE("$S$"&amp;BH$122)), INDIRECT(CONCATENATE("$S$"&amp;BH$121)),
IF($K140=INDIRECT(CONCATENATE("$T$"&amp;BH$122)), INDIRECT(CONCATENATE("$T$"&amp;BH$121)),
IF($K140=INDIRECT(CONCATENATE("$U$"&amp;BH$122)), INDIRECT(CONCATENATE("$U$"&amp;BH$121)),
IF($K140=INDIRECT(CONCATENATE("$V$"&amp;BH$122)), INDIRECT(CONCATENATE("$V$"&amp;BH$121)),
IF($K140=INDIRECT(CONCATENATE("$W$"&amp;BH$122)), INDIRECT(CONCATENATE("$W$"&amp;BH$121)),
IF($K140=INDIRECT(CONCATENATE("$X$"&amp;BH$122)), INDIRECT(CONCATENATE("$X$"&amp;BH$121)),
IF($K140=INDIRECT(CONCATENATE("$Y$"&amp;BH$122)), INDIRECT(CONCATENATE("$Y$"&amp;BH$121)),
IF($K140=INDIRECT(CONCATENATE("$Z$"&amp;BH$122)), INDIRECT(CONCATENATE("$Z$"&amp;BH$121)),
IF($K140=INDIRECT(CONCATENATE("$AA$"&amp;BH$122)), INDIRECT(CONCATENATE("$AA$"&amp;BH$121)),
IF($K140=INDIRECT(CONCATENATE("$AB$"&amp;BH$122)), INDIRECT(CONCATENATE("$AB$"&amp;BH$121)),
IF($K140=INDIRECT(CONCATENATE("$AC$"&amp;BH$122)), INDIRECT(CONCATENATE("$AC$"&amp;BH$121)),
IF($K140=INDIRECT(CONCATENATE("$AD$"&amp;BH$122)), INDIRECT(CONCATENATE("$AD$"&amp;BH$121)),
IF($K140=INDIRECT(CONCATENATE("$AE$"&amp;BH$122)), INDIRECT(CONCATENATE("$AE$"&amp;BH$121)),
IF($K140=INDIRECT(CONCATENATE("$AF$"&amp;BH$122)), INDIRECT(CONCATENATE("$AF$"&amp;BH$121)),"X")))))))))))))))))))))))))))))))</f>
        <v>X</v>
      </c>
      <c r="BI140" s="6" t="str">
        <f t="shared" ca="1" si="430"/>
        <v>X</v>
      </c>
      <c r="BJ140" s="6" t="str">
        <f ca="1">IF($K140=INDIRECT(CONCATENATE("$B$"&amp;BJ$122)), INDIRECT(CONCATENATE("$B$"&amp;BJ$121)),
IF($K140=INDIRECT(CONCATENATE("$C$"&amp;BJ$122)), INDIRECT(CONCATENATE("$C$"&amp;BJ$121)),
IF($K140=INDIRECT(CONCATENATE("$D$"&amp;BJ$122)), INDIRECT(CONCATENATE("$D$"&amp;BJ$121)),
IF($K140=INDIRECT(CONCATENATE("$E$"&amp;BJ$122)), INDIRECT(CONCATENATE("$E$"&amp;BJ$121)),
IF($K140=INDIRECT(CONCATENATE("$F$"&amp;BJ$122)), INDIRECT(CONCATENATE("$F$"&amp;BJ$121)),
IF($K140=INDIRECT(CONCATENATE("$G$"&amp;BJ$122)), INDIRECT(CONCATENATE("$G$"&amp;BJ$121)),
IF($K140=INDIRECT(CONCATENATE("$H$"&amp;BJ$122)), INDIRECT(CONCATENATE("$H$"&amp;BJ$121)),
IF($K140=INDIRECT(CONCATENATE("$I$"&amp;BJ$122)), INDIRECT(CONCATENATE("$I$"&amp;BJ$121)),
IF($K140=INDIRECT(CONCATENATE("$J$"&amp;BJ$122)), INDIRECT(CONCATENATE("$J$"&amp;BJ$121)),
IF($K140=INDIRECT(CONCATENATE("$K$"&amp;BJ$122)), INDIRECT(CONCATENATE("$K$"&amp;BJ$121)),
IF($K140=INDIRECT(CONCATENATE("$L$"&amp;BJ$122)), INDIRECT(CONCATENATE("$L$"&amp;BJ$121)),
IF($K140=INDIRECT(CONCATENATE("$M$"&amp;BJ$122)), INDIRECT(CONCATENATE("$M$"&amp;BJ$121)),
IF($K140=INDIRECT(CONCATENATE("$N$"&amp;BJ$122)), INDIRECT(CONCATENATE("$N$"&amp;BJ$121)),
IF($K140=INDIRECT(CONCATENATE("$O$"&amp;BJ$122)), INDIRECT(CONCATENATE("$O$"&amp;BJ$121)),
IF($K140=INDIRECT(CONCATENATE("$P$"&amp;BJ$122)), INDIRECT(CONCATENATE("$P$"&amp;BJ$121)),
IF($K140=INDIRECT(CONCATENATE("$Q$"&amp;BJ$122)), INDIRECT(CONCATENATE("$Q$"&amp;BJ$121)),
IF($K140=INDIRECT(CONCATENATE("$R$"&amp;BJ$122)), INDIRECT(CONCATENATE("$R$"&amp;BJ$121)),
IF($K140=INDIRECT(CONCATENATE("$S$"&amp;BJ$122)), INDIRECT(CONCATENATE("$S$"&amp;BJ$121)),
IF($K140=INDIRECT(CONCATENATE("$T$"&amp;BJ$122)), INDIRECT(CONCATENATE("$T$"&amp;BJ$121)),
IF($K140=INDIRECT(CONCATENATE("$U$"&amp;BJ$122)), INDIRECT(CONCATENATE("$U$"&amp;BJ$121)),
IF($K140=INDIRECT(CONCATENATE("$V$"&amp;BJ$122)), INDIRECT(CONCATENATE("$V$"&amp;BJ$121)),
IF($K140=INDIRECT(CONCATENATE("$W$"&amp;BJ$122)), INDIRECT(CONCATENATE("$W$"&amp;BJ$121)),
IF($K140=INDIRECT(CONCATENATE("$X$"&amp;BJ$122)), INDIRECT(CONCATENATE("$X$"&amp;BJ$121)),
IF($K140=INDIRECT(CONCATENATE("$Y$"&amp;BJ$122)), INDIRECT(CONCATENATE("$Y$"&amp;BJ$121)),
IF($K140=INDIRECT(CONCATENATE("$Z$"&amp;BJ$122)), INDIRECT(CONCATENATE("$Z$"&amp;BJ$121)),
IF($K140=INDIRECT(CONCATENATE("$AA$"&amp;BJ$122)), INDIRECT(CONCATENATE("$AA$"&amp;BJ$121)),
IF($K140=INDIRECT(CONCATENATE("$AB$"&amp;BJ$122)), INDIRECT(CONCATENATE("$AB$"&amp;BJ$121)),
IF($K140=INDIRECT(CONCATENATE("$AC$"&amp;BJ$122)), INDIRECT(CONCATENATE("$AC$"&amp;BJ$121)),
IF($K140=INDIRECT(CONCATENATE("$AD$"&amp;BJ$122)), INDIRECT(CONCATENATE("$AD$"&amp;BJ$121)),
IF($K140=INDIRECT(CONCATENATE("$AE$"&amp;BJ$122)), INDIRECT(CONCATENATE("$AE$"&amp;BJ$121)),
IF($K140=INDIRECT(CONCATENATE("$AF$"&amp;BJ$122)), INDIRECT(CONCATENATE("$AF$"&amp;BJ$121)),"X")))))))))))))))))))))))))))))))</f>
        <v>X</v>
      </c>
      <c r="BK140" s="12" t="str">
        <f t="shared" ca="1" si="415"/>
        <v>X</v>
      </c>
      <c r="BL140" s="6" t="str">
        <f t="shared" ca="1" si="415"/>
        <v>X</v>
      </c>
      <c r="BM140" s="6" t="str">
        <f t="shared" ca="1" si="416"/>
        <v>X</v>
      </c>
      <c r="BN140" s="6" t="str">
        <f t="shared" ca="1" si="416"/>
        <v>X</v>
      </c>
      <c r="BO140" s="6" t="str">
        <f t="shared" ca="1" si="417"/>
        <v>X</v>
      </c>
      <c r="BP140" s="6" t="str">
        <f t="shared" ca="1" si="417"/>
        <v>X</v>
      </c>
      <c r="BQ140" s="6" t="str">
        <f t="shared" ca="1" si="418"/>
        <v>X</v>
      </c>
      <c r="BR140" s="6" t="str">
        <f t="shared" ca="1" si="418"/>
        <v>X</v>
      </c>
      <c r="BS140" s="6" t="str">
        <f t="shared" ca="1" si="419"/>
        <v>X</v>
      </c>
      <c r="BT140" s="6" t="str">
        <f t="shared" ca="1" si="419"/>
        <v>X</v>
      </c>
      <c r="BU140" s="6" t="str">
        <f t="shared" ca="1" si="420"/>
        <v>X</v>
      </c>
      <c r="BV140" s="6" t="str">
        <f t="shared" ca="1" si="420"/>
        <v>X</v>
      </c>
      <c r="BW140" s="6" t="str">
        <f t="shared" ca="1" si="421"/>
        <v>X</v>
      </c>
      <c r="BX140" s="6" t="str">
        <f t="shared" ca="1" si="421"/>
        <v>X</v>
      </c>
      <c r="BY140" s="6" t="str">
        <f t="shared" ca="1" si="422"/>
        <v>X</v>
      </c>
      <c r="BZ140" s="6" t="str">
        <f t="shared" ca="1" si="422"/>
        <v>X</v>
      </c>
      <c r="CA140" s="6" t="str">
        <f t="shared" ca="1" si="423"/>
        <v>X</v>
      </c>
      <c r="CB140" s="6" t="str">
        <f t="shared" ca="1" si="423"/>
        <v>X</v>
      </c>
      <c r="CC140" s="6" t="str">
        <f t="shared" ca="1" si="424"/>
        <v>X</v>
      </c>
      <c r="CD140" s="6" t="str">
        <f t="shared" ca="1" si="424"/>
        <v>X</v>
      </c>
      <c r="CE140" s="6" t="str">
        <f t="shared" ca="1" si="425"/>
        <v>X</v>
      </c>
      <c r="CF140" s="6" t="str">
        <f t="shared" ca="1" si="425"/>
        <v>X</v>
      </c>
      <c r="CG140" s="6" t="str">
        <f t="shared" ca="1" si="407"/>
        <v>X</v>
      </c>
      <c r="CH140" s="6" t="str">
        <f t="shared" ca="1" si="408"/>
        <v>X</v>
      </c>
      <c r="CI140" s="6" t="str">
        <f t="shared" ca="1" si="409"/>
        <v>X</v>
      </c>
      <c r="CJ140" s="6" t="str">
        <f t="shared" ca="1" si="410"/>
        <v>X</v>
      </c>
      <c r="CK140" s="6" t="str">
        <f t="shared" ca="1" si="426"/>
        <v>X</v>
      </c>
      <c r="CL140" s="6" t="str">
        <f t="shared" ca="1" si="426"/>
        <v>X</v>
      </c>
    </row>
    <row r="141" spans="1:90" ht="18.75" customHeight="1">
      <c r="A141" s="256"/>
      <c r="B141" s="257"/>
      <c r="C141" s="257"/>
      <c r="D141" s="257"/>
      <c r="E141" s="257"/>
      <c r="F141" s="257"/>
      <c r="G141" s="257"/>
      <c r="H141" s="257"/>
      <c r="I141" s="257"/>
      <c r="J141" s="258"/>
      <c r="K141" s="250" t="s">
        <v>87</v>
      </c>
      <c r="L141" s="251"/>
      <c r="M141" s="90"/>
      <c r="N141" s="267" t="str">
        <f t="shared" ca="1" si="413"/>
        <v>PLANEJADA</v>
      </c>
      <c r="O141" s="267"/>
      <c r="P141" s="10">
        <f t="shared" si="384"/>
        <v>0</v>
      </c>
      <c r="Q141" s="10">
        <f t="shared" si="385"/>
        <v>0</v>
      </c>
      <c r="R141" s="8">
        <f t="shared" si="386"/>
        <v>0</v>
      </c>
      <c r="S141" s="9" t="str">
        <f t="shared" ca="1" si="387"/>
        <v>-</v>
      </c>
      <c r="T141" s="9" t="str">
        <f t="shared" ca="1" si="388"/>
        <v>-</v>
      </c>
      <c r="U141" s="92"/>
      <c r="V141" s="190"/>
      <c r="W141" s="190"/>
      <c r="X141" s="190"/>
      <c r="Y141" s="190"/>
      <c r="Z141" s="190"/>
      <c r="AA141" s="190"/>
      <c r="AB141" s="190"/>
      <c r="AC141" s="190"/>
      <c r="AD141" s="39">
        <f t="shared" si="389"/>
        <v>0</v>
      </c>
      <c r="AE141" s="7">
        <f t="shared" si="390"/>
        <v>0</v>
      </c>
      <c r="AF141" s="32" t="str">
        <f t="shared" si="391"/>
        <v>OK</v>
      </c>
      <c r="AI141" s="6" t="str">
        <f ca="1">IF($K141=INDIRECT(CONCATENATE("$B$"&amp;AI$122)), INDIRECT(CONCATENATE("$B$"&amp;AI$121)),
IF($K141=INDIRECT(CONCATENATE("$C$"&amp;AI$122)), INDIRECT(CONCATENATE("$C$"&amp;AI$121)),
IF($K141=INDIRECT(CONCATENATE("$D$"&amp;AI$122)), INDIRECT(CONCATENATE("$D$"&amp;AI$121)),
IF($K141=INDIRECT(CONCATENATE("$E$"&amp;AI$122)), INDIRECT(CONCATENATE("$E$"&amp;AI$121)),
IF($K141=INDIRECT(CONCATENATE("$F$"&amp;AI$122)), INDIRECT(CONCATENATE("$F$"&amp;AI$121)),
IF($K141=INDIRECT(CONCATENATE("$G$"&amp;AI$122)), INDIRECT(CONCATENATE("$G$"&amp;AI$121)),
IF($K141=INDIRECT(CONCATENATE("$H$"&amp;AI$122)), INDIRECT(CONCATENATE("$H$"&amp;AI$121)),
IF($K141=INDIRECT(CONCATENATE("$I$"&amp;AI$122)), INDIRECT(CONCATENATE("$I$"&amp;AI$121)),
IF($K141=INDIRECT(CONCATENATE("$J$"&amp;AI$122)), INDIRECT(CONCATENATE("$J$"&amp;AI$121)),
IF($K141=INDIRECT(CONCATENATE("$K$"&amp;AI$122)), INDIRECT(CONCATENATE("$K$"&amp;AI$121)),
IF($K141=INDIRECT(CONCATENATE("$L$"&amp;AI$122)), INDIRECT(CONCATENATE("$L$"&amp;AI$121)),
IF($K141=INDIRECT(CONCATENATE("$M$"&amp;AI$122)), INDIRECT(CONCATENATE("$M$"&amp;AI$121)),
IF($K141=INDIRECT(CONCATENATE("$N$"&amp;AI$122)), INDIRECT(CONCATENATE("$N$"&amp;AI$121)),
IF($K141=INDIRECT(CONCATENATE("$O$"&amp;AI$122)), INDIRECT(CONCATENATE("$O$"&amp;AI$121)),
IF($K141=INDIRECT(CONCATENATE("$P$"&amp;AI$122)), INDIRECT(CONCATENATE("$P$"&amp;AI$121)),
IF($K141=INDIRECT(CONCATENATE("$Q$"&amp;AI$122)), INDIRECT(CONCATENATE("$Q$"&amp;AI$121)),
IF($K141=INDIRECT(CONCATENATE("$R$"&amp;AI$122)), INDIRECT(CONCATENATE("$R$"&amp;AI$121)),
IF($K141=INDIRECT(CONCATENATE("$S$"&amp;AI$122)), INDIRECT(CONCATENATE("$S$"&amp;AI$121)),
IF($K141=INDIRECT(CONCATENATE("$T$"&amp;AI$122)), INDIRECT(CONCATENATE("$T$"&amp;AI$121)),
IF($K141=INDIRECT(CONCATENATE("$U$"&amp;AI$122)), INDIRECT(CONCATENATE("$U$"&amp;AI$121)),
IF($K141=INDIRECT(CONCATENATE("$V$"&amp;AI$122)), INDIRECT(CONCATENATE("$V$"&amp;AI$121)),
IF($K141=INDIRECT(CONCATENATE("$W$"&amp;AI$122)), INDIRECT(CONCATENATE("$W$"&amp;AI$121)),
IF($K141=INDIRECT(CONCATENATE("$X$"&amp;AI$122)), INDIRECT(CONCATENATE("$X$"&amp;AI$121)),
IF($K141=INDIRECT(CONCATENATE("$Y$"&amp;AI$122)), INDIRECT(CONCATENATE("$Y$"&amp;AI$121)),
IF($K141=INDIRECT(CONCATENATE("$Z$"&amp;AI$122)), INDIRECT(CONCATENATE("$Z$"&amp;AI$121)),
IF($K141=INDIRECT(CONCATENATE("$AA$"&amp;AI$122)), INDIRECT(CONCATENATE("$AA$"&amp;AI$121)),
IF($K141=INDIRECT(CONCATENATE("$AB$"&amp;AI$122)), INDIRECT(CONCATENATE("$AB$"&amp;AI$121)),
IF($K141=INDIRECT(CONCATENATE("$AC$"&amp;AI$122)), INDIRECT(CONCATENATE("$AC$"&amp;AI$121)),
IF($K141=INDIRECT(CONCATENATE("$AD$"&amp;AI$122)), INDIRECT(CONCATENATE("$AD$"&amp;AI$121)),
IF($K141=INDIRECT(CONCATENATE("$AE$"&amp;AI$122)), INDIRECT(CONCATENATE("$AE$"&amp;AI$121)),
IF($K141=INDIRECT(CONCATENATE("$AF$"&amp;AI$122)), INDIRECT(CONCATENATE("$AF$"&amp;AI$121)),"X")))))))))))))))))))))))))))))))</f>
        <v>X</v>
      </c>
      <c r="AJ141" s="6" t="str">
        <f ca="1">IF($K141=INDIRECT(CONCATENATE("$B$"&amp;AJ$122)), INDIRECT(CONCATENATE("$B$"&amp;AJ$121)),
IF($K141=INDIRECT(CONCATENATE("$C$"&amp;AJ$122)), INDIRECT(CONCATENATE("$C$"&amp;AJ$121)),
IF($K141=INDIRECT(CONCATENATE("$D$"&amp;AJ$122)), INDIRECT(CONCATENATE("$D$"&amp;AJ$121)),
IF($K141=INDIRECT(CONCATENATE("$E$"&amp;AJ$122)), INDIRECT(CONCATENATE("$E$"&amp;AJ$121)),
IF($K141=INDIRECT(CONCATENATE("$F$"&amp;AJ$122)), INDIRECT(CONCATENATE("$F$"&amp;AJ$121)),
IF($K141=INDIRECT(CONCATENATE("$G$"&amp;AJ$122)), INDIRECT(CONCATENATE("$G$"&amp;AJ$121)),
IF($K141=INDIRECT(CONCATENATE("$H$"&amp;AJ$122)), INDIRECT(CONCATENATE("$H$"&amp;AJ$121)),
IF($K141=INDIRECT(CONCATENATE("$I$"&amp;AJ$122)), INDIRECT(CONCATENATE("$I$"&amp;AJ$121)),
IF($K141=INDIRECT(CONCATENATE("$J$"&amp;AJ$122)), INDIRECT(CONCATENATE("$J$"&amp;AJ$121)),
IF($K141=INDIRECT(CONCATENATE("$K$"&amp;AJ$122)), INDIRECT(CONCATENATE("$K$"&amp;AJ$121)),
IF($K141=INDIRECT(CONCATENATE("$L$"&amp;AJ$122)), INDIRECT(CONCATENATE("$L$"&amp;AJ$121)),
IF($K141=INDIRECT(CONCATENATE("$M$"&amp;AJ$122)), INDIRECT(CONCATENATE("$M$"&amp;AJ$121)),
IF($K141=INDIRECT(CONCATENATE("$N$"&amp;AJ$122)), INDIRECT(CONCATENATE("$N$"&amp;AJ$121)),
IF($K141=INDIRECT(CONCATENATE("$O$"&amp;AJ$122)), INDIRECT(CONCATENATE("$O$"&amp;AJ$121)),
IF($K141=INDIRECT(CONCATENATE("$P$"&amp;AJ$122)), INDIRECT(CONCATENATE("$P$"&amp;AJ$121)),
IF($K141=INDIRECT(CONCATENATE("$Q$"&amp;AJ$122)), INDIRECT(CONCATENATE("$Q$"&amp;AJ$121)),
IF($K141=INDIRECT(CONCATENATE("$R$"&amp;AJ$122)), INDIRECT(CONCATENATE("$R$"&amp;AJ$121)),
IF($K141=INDIRECT(CONCATENATE("$S$"&amp;AJ$122)), INDIRECT(CONCATENATE("$S$"&amp;AJ$121)),
IF($K141=INDIRECT(CONCATENATE("$T$"&amp;AJ$122)), INDIRECT(CONCATENATE("$T$"&amp;AJ$121)),
IF($K141=INDIRECT(CONCATENATE("$U$"&amp;AJ$122)), INDIRECT(CONCATENATE("$U$"&amp;AJ$121)),
IF($K141=INDIRECT(CONCATENATE("$V$"&amp;AJ$122)), INDIRECT(CONCATENATE("$V$"&amp;AJ$121)),
IF($K141=INDIRECT(CONCATENATE("$W$"&amp;AJ$122)), INDIRECT(CONCATENATE("$W$"&amp;AJ$121)),
IF($K141=INDIRECT(CONCATENATE("$X$"&amp;AJ$122)), INDIRECT(CONCATENATE("$X$"&amp;AJ$121)),
IF($K141=INDIRECT(CONCATENATE("$Y$"&amp;AJ$122)), INDIRECT(CONCATENATE("$Y$"&amp;AJ$121)),
IF($K141=INDIRECT(CONCATENATE("$Z$"&amp;AJ$122)), INDIRECT(CONCATENATE("$Z$"&amp;AJ$121)),
IF($K141=INDIRECT(CONCATENATE("$AA$"&amp;AJ$122)), INDIRECT(CONCATENATE("$AA$"&amp;AJ$121)),
IF($K141=INDIRECT(CONCATENATE("$AB$"&amp;AJ$122)), INDIRECT(CONCATENATE("$AB$"&amp;AJ$121)),
IF($K141=INDIRECT(CONCATENATE("$AC$"&amp;AJ$122)), INDIRECT(CONCATENATE("$AC$"&amp;AJ$121)),
IF($K141=INDIRECT(CONCATENATE("$AD$"&amp;AJ$122)), INDIRECT(CONCATENATE("$AD$"&amp;AJ$121)),
IF($K141=INDIRECT(CONCATENATE("$AE$"&amp;AJ$122)), INDIRECT(CONCATENATE("$AE$"&amp;AJ$121)),
IF($K141=INDIRECT(CONCATENATE("$AF$"&amp;AJ$122)), INDIRECT(CONCATENATE("$AF$"&amp;AJ$121)),"X")))))))))))))))))))))))))))))))</f>
        <v>X</v>
      </c>
      <c r="AK141" s="6" t="str">
        <f t="shared" ref="AK141" ca="1" si="431">IF($K141=INDIRECT(CONCATENATE("$B$"&amp;AK$122)), INDIRECT(CONCATENATE("$B$"&amp;AK$121)),
IF($K141=INDIRECT(CONCATENATE("$C$"&amp;AK$122)), INDIRECT(CONCATENATE("$C$"&amp;AK$121)),
IF($K141=INDIRECT(CONCATENATE("$D$"&amp;AK$122)), INDIRECT(CONCATENATE("$D$"&amp;AK$121)),
IF($K141=INDIRECT(CONCATENATE("$E$"&amp;AK$122)), INDIRECT(CONCATENATE("$E$"&amp;AK$121)),
IF($K141=INDIRECT(CONCATENATE("$F$"&amp;AK$122)), INDIRECT(CONCATENATE("$F$"&amp;AK$121)),
IF($K141=INDIRECT(CONCATENATE("$G$"&amp;AK$122)), INDIRECT(CONCATENATE("$G$"&amp;AK$121)),
IF($K141=INDIRECT(CONCATENATE("$H$"&amp;AK$122)), INDIRECT(CONCATENATE("$H$"&amp;AK$121)),
IF($K141=INDIRECT(CONCATENATE("$I$"&amp;AK$122)), INDIRECT(CONCATENATE("$I$"&amp;AK$121)),
IF($K141=INDIRECT(CONCATENATE("$J$"&amp;AK$122)), INDIRECT(CONCATENATE("$J$"&amp;AK$121)),
IF($K141=INDIRECT(CONCATENATE("$K$"&amp;AK$122)), INDIRECT(CONCATENATE("$K$"&amp;AK$121)),
IF($K141=INDIRECT(CONCATENATE("$L$"&amp;AK$122)), INDIRECT(CONCATENATE("$L$"&amp;AK$121)),
IF($K141=INDIRECT(CONCATENATE("$M$"&amp;AK$122)), INDIRECT(CONCATENATE("$M$"&amp;AK$121)),
IF($K141=INDIRECT(CONCATENATE("$N$"&amp;AK$122)), INDIRECT(CONCATENATE("$N$"&amp;AK$121)),
IF($K141=INDIRECT(CONCATENATE("$O$"&amp;AK$122)), INDIRECT(CONCATENATE("$O$"&amp;AK$121)),
IF($K141=INDIRECT(CONCATENATE("$P$"&amp;AK$122)), INDIRECT(CONCATENATE("$P$"&amp;AK$121)),
IF($K141=INDIRECT(CONCATENATE("$Q$"&amp;AK$122)), INDIRECT(CONCATENATE("$Q$"&amp;AK$121)),
IF($K141=INDIRECT(CONCATENATE("$R$"&amp;AK$122)), INDIRECT(CONCATENATE("$R$"&amp;AK$121)),
IF($K141=INDIRECT(CONCATENATE("$S$"&amp;AK$122)), INDIRECT(CONCATENATE("$S$"&amp;AK$121)),
IF($K141=INDIRECT(CONCATENATE("$T$"&amp;AK$122)), INDIRECT(CONCATENATE("$T$"&amp;AK$121)),
IF($K141=INDIRECT(CONCATENATE("$U$"&amp;AK$122)), INDIRECT(CONCATENATE("$U$"&amp;AK$121)),
IF($K141=INDIRECT(CONCATENATE("$V$"&amp;AK$122)), INDIRECT(CONCATENATE("$V$"&amp;AK$121)),
IF($K141=INDIRECT(CONCATENATE("$W$"&amp;AK$122)), INDIRECT(CONCATENATE("$W$"&amp;AK$121)),
IF($K141=INDIRECT(CONCATENATE("$X$"&amp;AK$122)), INDIRECT(CONCATENATE("$X$"&amp;AK$121)),
IF($K141=INDIRECT(CONCATENATE("$Y$"&amp;AK$122)), INDIRECT(CONCATENATE("$Y$"&amp;AK$121)),
IF($K141=INDIRECT(CONCATENATE("$Z$"&amp;AK$122)), INDIRECT(CONCATENATE("$Z$"&amp;AK$121)),
IF($K141=INDIRECT(CONCATENATE("$AA$"&amp;AK$122)), INDIRECT(CONCATENATE("$AA$"&amp;AK$121)),
IF($K141=INDIRECT(CONCATENATE("$AB$"&amp;AK$122)), INDIRECT(CONCATENATE("$AB$"&amp;AK$121)),
IF($K141=INDIRECT(CONCATENATE("$AC$"&amp;AK$122)), INDIRECT(CONCATENATE("$AC$"&amp;AK$121)),
IF($K141=INDIRECT(CONCATENATE("$AD$"&amp;AK$122)), INDIRECT(CONCATENATE("$AD$"&amp;AK$121)),
IF($K141=INDIRECT(CONCATENATE("$AE$"&amp;AK$122)), INDIRECT(CONCATENATE("$AE$"&amp;AK$121)),
IF($K141=INDIRECT(CONCATENATE("$AF$"&amp;AK$122)), INDIRECT(CONCATENATE("$AF$"&amp;AK$121)),"X")))))))))))))))))))))))))))))))</f>
        <v>X</v>
      </c>
      <c r="AL141" s="6" t="str">
        <f ca="1">IF($K141=INDIRECT(CONCATENATE("$B$"&amp;AL$122)), INDIRECT(CONCATENATE("$B$"&amp;AL$121)),
IF($K141=INDIRECT(CONCATENATE("$C$"&amp;AL$122)), INDIRECT(CONCATENATE("$C$"&amp;AL$121)),
IF($K141=INDIRECT(CONCATENATE("$D$"&amp;AL$122)), INDIRECT(CONCATENATE("$D$"&amp;AL$121)),
IF($K141=INDIRECT(CONCATENATE("$E$"&amp;AL$122)), INDIRECT(CONCATENATE("$E$"&amp;AL$121)),
IF($K141=INDIRECT(CONCATENATE("$F$"&amp;AL$122)), INDIRECT(CONCATENATE("$F$"&amp;AL$121)),
IF($K141=INDIRECT(CONCATENATE("$G$"&amp;AL$122)), INDIRECT(CONCATENATE("$G$"&amp;AL$121)),
IF($K141=INDIRECT(CONCATENATE("$H$"&amp;AL$122)), INDIRECT(CONCATENATE("$H$"&amp;AL$121)),
IF($K141=INDIRECT(CONCATENATE("$I$"&amp;AL$122)), INDIRECT(CONCATENATE("$I$"&amp;AL$121)),
IF($K141=INDIRECT(CONCATENATE("$J$"&amp;AL$122)), INDIRECT(CONCATENATE("$J$"&amp;AL$121)),
IF($K141=INDIRECT(CONCATENATE("$K$"&amp;AL$122)), INDIRECT(CONCATENATE("$K$"&amp;AL$121)),
IF($K141=INDIRECT(CONCATENATE("$L$"&amp;AL$122)), INDIRECT(CONCATENATE("$L$"&amp;AL$121)),
IF($K141=INDIRECT(CONCATENATE("$M$"&amp;AL$122)), INDIRECT(CONCATENATE("$M$"&amp;AL$121)),
IF($K141=INDIRECT(CONCATENATE("$N$"&amp;AL$122)), INDIRECT(CONCATENATE("$N$"&amp;AL$121)),
IF($K141=INDIRECT(CONCATENATE("$O$"&amp;AL$122)), INDIRECT(CONCATENATE("$O$"&amp;AL$121)),
IF($K141=INDIRECT(CONCATENATE("$P$"&amp;AL$122)), INDIRECT(CONCATENATE("$P$"&amp;AL$121)),
IF($K141=INDIRECT(CONCATENATE("$Q$"&amp;AL$122)), INDIRECT(CONCATENATE("$Q$"&amp;AL$121)),
IF($K141=INDIRECT(CONCATENATE("$R$"&amp;AL$122)), INDIRECT(CONCATENATE("$R$"&amp;AL$121)),
IF($K141=INDIRECT(CONCATENATE("$S$"&amp;AL$122)), INDIRECT(CONCATENATE("$S$"&amp;AL$121)),
IF($K141=INDIRECT(CONCATENATE("$T$"&amp;AL$122)), INDIRECT(CONCATENATE("$T$"&amp;AL$121)),
IF($K141=INDIRECT(CONCATENATE("$U$"&amp;AL$122)), INDIRECT(CONCATENATE("$U$"&amp;AL$121)),
IF($K141=INDIRECT(CONCATENATE("$V$"&amp;AL$122)), INDIRECT(CONCATENATE("$V$"&amp;AL$121)),
IF($K141=INDIRECT(CONCATENATE("$W$"&amp;AL$122)), INDIRECT(CONCATENATE("$W$"&amp;AL$121)),
IF($K141=INDIRECT(CONCATENATE("$X$"&amp;AL$122)), INDIRECT(CONCATENATE("$X$"&amp;AL$121)),
IF($K141=INDIRECT(CONCATENATE("$Y$"&amp;AL$122)), INDIRECT(CONCATENATE("$Y$"&amp;AL$121)),
IF($K141=INDIRECT(CONCATENATE("$Z$"&amp;AL$122)), INDIRECT(CONCATENATE("$Z$"&amp;AL$121)),
IF($K141=INDIRECT(CONCATENATE("$AA$"&amp;AL$122)), INDIRECT(CONCATENATE("$AA$"&amp;AL$121)),
IF($K141=INDIRECT(CONCATENATE("$AB$"&amp;AL$122)), INDIRECT(CONCATENATE("$AB$"&amp;AL$121)),
IF($K141=INDIRECT(CONCATENATE("$AC$"&amp;AL$122)), INDIRECT(CONCATENATE("$AC$"&amp;AL$121)),
IF($K141=INDIRECT(CONCATENATE("$AD$"&amp;AL$122)), INDIRECT(CONCATENATE("$AD$"&amp;AL$121)),
IF($K141=INDIRECT(CONCATENATE("$AE$"&amp;AL$122)), INDIRECT(CONCATENATE("$AE$"&amp;AL$121)),
IF($K141=INDIRECT(CONCATENATE("$AF$"&amp;AL$122)), INDIRECT(CONCATENATE("$AF$"&amp;AL$121)),"X")))))))))))))))))))))))))))))))</f>
        <v>X</v>
      </c>
      <c r="AM141" s="6" t="str">
        <f t="shared" ca="1" si="430"/>
        <v>X</v>
      </c>
      <c r="AN141" s="6" t="str">
        <f ca="1">IF($K141=INDIRECT(CONCATENATE("$B$"&amp;AN$122)), INDIRECT(CONCATENATE("$B$"&amp;AN$121)),
IF($K141=INDIRECT(CONCATENATE("$C$"&amp;AN$122)), INDIRECT(CONCATENATE("$C$"&amp;AN$121)),
IF($K141=INDIRECT(CONCATENATE("$D$"&amp;AN$122)), INDIRECT(CONCATENATE("$D$"&amp;AN$121)),
IF($K141=INDIRECT(CONCATENATE("$E$"&amp;AN$122)), INDIRECT(CONCATENATE("$E$"&amp;AN$121)),
IF($K141=INDIRECT(CONCATENATE("$F$"&amp;AN$122)), INDIRECT(CONCATENATE("$F$"&amp;AN$121)),
IF($K141=INDIRECT(CONCATENATE("$G$"&amp;AN$122)), INDIRECT(CONCATENATE("$G$"&amp;AN$121)),
IF($K141=INDIRECT(CONCATENATE("$H$"&amp;AN$122)), INDIRECT(CONCATENATE("$H$"&amp;AN$121)),
IF($K141=INDIRECT(CONCATENATE("$I$"&amp;AN$122)), INDIRECT(CONCATENATE("$I$"&amp;AN$121)),
IF($K141=INDIRECT(CONCATENATE("$J$"&amp;AN$122)), INDIRECT(CONCATENATE("$J$"&amp;AN$121)),
IF($K141=INDIRECT(CONCATENATE("$K$"&amp;AN$122)), INDIRECT(CONCATENATE("$K$"&amp;AN$121)),
IF($K141=INDIRECT(CONCATENATE("$L$"&amp;AN$122)), INDIRECT(CONCATENATE("$L$"&amp;AN$121)),
IF($K141=INDIRECT(CONCATENATE("$M$"&amp;AN$122)), INDIRECT(CONCATENATE("$M$"&amp;AN$121)),
IF($K141=INDIRECT(CONCATENATE("$N$"&amp;AN$122)), INDIRECT(CONCATENATE("$N$"&amp;AN$121)),
IF($K141=INDIRECT(CONCATENATE("$O$"&amp;AN$122)), INDIRECT(CONCATENATE("$O$"&amp;AN$121)),
IF($K141=INDIRECT(CONCATENATE("$P$"&amp;AN$122)), INDIRECT(CONCATENATE("$P$"&amp;AN$121)),
IF($K141=INDIRECT(CONCATENATE("$Q$"&amp;AN$122)), INDIRECT(CONCATENATE("$Q$"&amp;AN$121)),
IF($K141=INDIRECT(CONCATENATE("$R$"&amp;AN$122)), INDIRECT(CONCATENATE("$R$"&amp;AN$121)),
IF($K141=INDIRECT(CONCATENATE("$S$"&amp;AN$122)), INDIRECT(CONCATENATE("$S$"&amp;AN$121)),
IF($K141=INDIRECT(CONCATENATE("$T$"&amp;AN$122)), INDIRECT(CONCATENATE("$T$"&amp;AN$121)),
IF($K141=INDIRECT(CONCATENATE("$U$"&amp;AN$122)), INDIRECT(CONCATENATE("$U$"&amp;AN$121)),
IF($K141=INDIRECT(CONCATENATE("$V$"&amp;AN$122)), INDIRECT(CONCATENATE("$V$"&amp;AN$121)),
IF($K141=INDIRECT(CONCATENATE("$W$"&amp;AN$122)), INDIRECT(CONCATENATE("$W$"&amp;AN$121)),
IF($K141=INDIRECT(CONCATENATE("$X$"&amp;AN$122)), INDIRECT(CONCATENATE("$X$"&amp;AN$121)),
IF($K141=INDIRECT(CONCATENATE("$Y$"&amp;AN$122)), INDIRECT(CONCATENATE("$Y$"&amp;AN$121)),
IF($K141=INDIRECT(CONCATENATE("$Z$"&amp;AN$122)), INDIRECT(CONCATENATE("$Z$"&amp;AN$121)),
IF($K141=INDIRECT(CONCATENATE("$AA$"&amp;AN$122)), INDIRECT(CONCATENATE("$AA$"&amp;AN$121)),
IF($K141=INDIRECT(CONCATENATE("$AB$"&amp;AN$122)), INDIRECT(CONCATENATE("$AB$"&amp;AN$121)),
IF($K141=INDIRECT(CONCATENATE("$AC$"&amp;AN$122)), INDIRECT(CONCATENATE("$AC$"&amp;AN$121)),
IF($K141=INDIRECT(CONCATENATE("$AD$"&amp;AN$122)), INDIRECT(CONCATENATE("$AD$"&amp;AN$121)),
IF($K141=INDIRECT(CONCATENATE("$AE$"&amp;AN$122)), INDIRECT(CONCATENATE("$AE$"&amp;AN$121)),
IF($K141=INDIRECT(CONCATENATE("$AF$"&amp;AN$122)), INDIRECT(CONCATENATE("$AF$"&amp;AN$121)),"X")))))))))))))))))))))))))))))))</f>
        <v>X</v>
      </c>
      <c r="AO141" s="6" t="str">
        <f t="shared" ca="1" si="430"/>
        <v>X</v>
      </c>
      <c r="AP141" s="6" t="str">
        <f ca="1">IF($K141=INDIRECT(CONCATENATE("$B$"&amp;AP$122)), INDIRECT(CONCATENATE("$B$"&amp;AP$121)),
IF($K141=INDIRECT(CONCATENATE("$C$"&amp;AP$122)), INDIRECT(CONCATENATE("$C$"&amp;AP$121)),
IF($K141=INDIRECT(CONCATENATE("$D$"&amp;AP$122)), INDIRECT(CONCATENATE("$D$"&amp;AP$121)),
IF($K141=INDIRECT(CONCATENATE("$E$"&amp;AP$122)), INDIRECT(CONCATENATE("$E$"&amp;AP$121)),
IF($K141=INDIRECT(CONCATENATE("$F$"&amp;AP$122)), INDIRECT(CONCATENATE("$F$"&amp;AP$121)),
IF($K141=INDIRECT(CONCATENATE("$G$"&amp;AP$122)), INDIRECT(CONCATENATE("$G$"&amp;AP$121)),
IF($K141=INDIRECT(CONCATENATE("$H$"&amp;AP$122)), INDIRECT(CONCATENATE("$H$"&amp;AP$121)),
IF($K141=INDIRECT(CONCATENATE("$I$"&amp;AP$122)), INDIRECT(CONCATENATE("$I$"&amp;AP$121)),
IF($K141=INDIRECT(CONCATENATE("$J$"&amp;AP$122)), INDIRECT(CONCATENATE("$J$"&amp;AP$121)),
IF($K141=INDIRECT(CONCATENATE("$K$"&amp;AP$122)), INDIRECT(CONCATENATE("$K$"&amp;AP$121)),
IF($K141=INDIRECT(CONCATENATE("$L$"&amp;AP$122)), INDIRECT(CONCATENATE("$L$"&amp;AP$121)),
IF($K141=INDIRECT(CONCATENATE("$M$"&amp;AP$122)), INDIRECT(CONCATENATE("$M$"&amp;AP$121)),
IF($K141=INDIRECT(CONCATENATE("$N$"&amp;AP$122)), INDIRECT(CONCATENATE("$N$"&amp;AP$121)),
IF($K141=INDIRECT(CONCATENATE("$O$"&amp;AP$122)), INDIRECT(CONCATENATE("$O$"&amp;AP$121)),
IF($K141=INDIRECT(CONCATENATE("$P$"&amp;AP$122)), INDIRECT(CONCATENATE("$P$"&amp;AP$121)),
IF($K141=INDIRECT(CONCATENATE("$Q$"&amp;AP$122)), INDIRECT(CONCATENATE("$Q$"&amp;AP$121)),
IF($K141=INDIRECT(CONCATENATE("$R$"&amp;AP$122)), INDIRECT(CONCATENATE("$R$"&amp;AP$121)),
IF($K141=INDIRECT(CONCATENATE("$S$"&amp;AP$122)), INDIRECT(CONCATENATE("$S$"&amp;AP$121)),
IF($K141=INDIRECT(CONCATENATE("$T$"&amp;AP$122)), INDIRECT(CONCATENATE("$T$"&amp;AP$121)),
IF($K141=INDIRECT(CONCATENATE("$U$"&amp;AP$122)), INDIRECT(CONCATENATE("$U$"&amp;AP$121)),
IF($K141=INDIRECT(CONCATENATE("$V$"&amp;AP$122)), INDIRECT(CONCATENATE("$V$"&amp;AP$121)),
IF($K141=INDIRECT(CONCATENATE("$W$"&amp;AP$122)), INDIRECT(CONCATENATE("$W$"&amp;AP$121)),
IF($K141=INDIRECT(CONCATENATE("$X$"&amp;AP$122)), INDIRECT(CONCATENATE("$X$"&amp;AP$121)),
IF($K141=INDIRECT(CONCATENATE("$Y$"&amp;AP$122)), INDIRECT(CONCATENATE("$Y$"&amp;AP$121)),
IF($K141=INDIRECT(CONCATENATE("$Z$"&amp;AP$122)), INDIRECT(CONCATENATE("$Z$"&amp;AP$121)),
IF($K141=INDIRECT(CONCATENATE("$AA$"&amp;AP$122)), INDIRECT(CONCATENATE("$AA$"&amp;AP$121)),
IF($K141=INDIRECT(CONCATENATE("$AB$"&amp;AP$122)), INDIRECT(CONCATENATE("$AB$"&amp;AP$121)),
IF($K141=INDIRECT(CONCATENATE("$AC$"&amp;AP$122)), INDIRECT(CONCATENATE("$AC$"&amp;AP$121)),
IF($K141=INDIRECT(CONCATENATE("$AD$"&amp;AP$122)), INDIRECT(CONCATENATE("$AD$"&amp;AP$121)),
IF($K141=INDIRECT(CONCATENATE("$AE$"&amp;AP$122)), INDIRECT(CONCATENATE("$AE$"&amp;AP$121)),
IF($K141=INDIRECT(CONCATENATE("$AF$"&amp;AP$122)), INDIRECT(CONCATENATE("$AF$"&amp;AP$121)),"X")))))))))))))))))))))))))))))))</f>
        <v>X</v>
      </c>
      <c r="AQ141" s="6" t="str">
        <f t="shared" ca="1" si="430"/>
        <v>X</v>
      </c>
      <c r="AR141" s="6" t="str">
        <f ca="1">IF($K141=INDIRECT(CONCATENATE("$B$"&amp;AR$122)), INDIRECT(CONCATENATE("$B$"&amp;AR$121)),
IF($K141=INDIRECT(CONCATENATE("$C$"&amp;AR$122)), INDIRECT(CONCATENATE("$C$"&amp;AR$121)),
IF($K141=INDIRECT(CONCATENATE("$D$"&amp;AR$122)), INDIRECT(CONCATENATE("$D$"&amp;AR$121)),
IF($K141=INDIRECT(CONCATENATE("$E$"&amp;AR$122)), INDIRECT(CONCATENATE("$E$"&amp;AR$121)),
IF($K141=INDIRECT(CONCATENATE("$F$"&amp;AR$122)), INDIRECT(CONCATENATE("$F$"&amp;AR$121)),
IF($K141=INDIRECT(CONCATENATE("$G$"&amp;AR$122)), INDIRECT(CONCATENATE("$G$"&amp;AR$121)),
IF($K141=INDIRECT(CONCATENATE("$H$"&amp;AR$122)), INDIRECT(CONCATENATE("$H$"&amp;AR$121)),
IF($K141=INDIRECT(CONCATENATE("$I$"&amp;AR$122)), INDIRECT(CONCATENATE("$I$"&amp;AR$121)),
IF($K141=INDIRECT(CONCATENATE("$J$"&amp;AR$122)), INDIRECT(CONCATENATE("$J$"&amp;AR$121)),
IF($K141=INDIRECT(CONCATENATE("$K$"&amp;AR$122)), INDIRECT(CONCATENATE("$K$"&amp;AR$121)),
IF($K141=INDIRECT(CONCATENATE("$L$"&amp;AR$122)), INDIRECT(CONCATENATE("$L$"&amp;AR$121)),
IF($K141=INDIRECT(CONCATENATE("$M$"&amp;AR$122)), INDIRECT(CONCATENATE("$M$"&amp;AR$121)),
IF($K141=INDIRECT(CONCATENATE("$N$"&amp;AR$122)), INDIRECT(CONCATENATE("$N$"&amp;AR$121)),
IF($K141=INDIRECT(CONCATENATE("$O$"&amp;AR$122)), INDIRECT(CONCATENATE("$O$"&amp;AR$121)),
IF($K141=INDIRECT(CONCATENATE("$P$"&amp;AR$122)), INDIRECT(CONCATENATE("$P$"&amp;AR$121)),
IF($K141=INDIRECT(CONCATENATE("$Q$"&amp;AR$122)), INDIRECT(CONCATENATE("$Q$"&amp;AR$121)),
IF($K141=INDIRECT(CONCATENATE("$R$"&amp;AR$122)), INDIRECT(CONCATENATE("$R$"&amp;AR$121)),
IF($K141=INDIRECT(CONCATENATE("$S$"&amp;AR$122)), INDIRECT(CONCATENATE("$S$"&amp;AR$121)),
IF($K141=INDIRECT(CONCATENATE("$T$"&amp;AR$122)), INDIRECT(CONCATENATE("$T$"&amp;AR$121)),
IF($K141=INDIRECT(CONCATENATE("$U$"&amp;AR$122)), INDIRECT(CONCATENATE("$U$"&amp;AR$121)),
IF($K141=INDIRECT(CONCATENATE("$V$"&amp;AR$122)), INDIRECT(CONCATENATE("$V$"&amp;AR$121)),
IF($K141=INDIRECT(CONCATENATE("$W$"&amp;AR$122)), INDIRECT(CONCATENATE("$W$"&amp;AR$121)),
IF($K141=INDIRECT(CONCATENATE("$X$"&amp;AR$122)), INDIRECT(CONCATENATE("$X$"&amp;AR$121)),
IF($K141=INDIRECT(CONCATENATE("$Y$"&amp;AR$122)), INDIRECT(CONCATENATE("$Y$"&amp;AR$121)),
IF($K141=INDIRECT(CONCATENATE("$Z$"&amp;AR$122)), INDIRECT(CONCATENATE("$Z$"&amp;AR$121)),
IF($K141=INDIRECT(CONCATENATE("$AA$"&amp;AR$122)), INDIRECT(CONCATENATE("$AA$"&amp;AR$121)),
IF($K141=INDIRECT(CONCATENATE("$AB$"&amp;AR$122)), INDIRECT(CONCATENATE("$AB$"&amp;AR$121)),
IF($K141=INDIRECT(CONCATENATE("$AC$"&amp;AR$122)), INDIRECT(CONCATENATE("$AC$"&amp;AR$121)),
IF($K141=INDIRECT(CONCATENATE("$AD$"&amp;AR$122)), INDIRECT(CONCATENATE("$AD$"&amp;AR$121)),
IF($K141=INDIRECT(CONCATENATE("$AE$"&amp;AR$122)), INDIRECT(CONCATENATE("$AE$"&amp;AR$121)),
IF($K141=INDIRECT(CONCATENATE("$AF$"&amp;AR$122)), INDIRECT(CONCATENATE("$AF$"&amp;AR$121)),"X")))))))))))))))))))))))))))))))</f>
        <v>X</v>
      </c>
      <c r="AS141" s="6" t="str">
        <f t="shared" ca="1" si="430"/>
        <v>X</v>
      </c>
      <c r="AT141" s="6" t="str">
        <f ca="1">IF($K141=INDIRECT(CONCATENATE("$B$"&amp;AT$122)), INDIRECT(CONCATENATE("$B$"&amp;AT$121)),
IF($K141=INDIRECT(CONCATENATE("$C$"&amp;AT$122)), INDIRECT(CONCATENATE("$C$"&amp;AT$121)),
IF($K141=INDIRECT(CONCATENATE("$D$"&amp;AT$122)), INDIRECT(CONCATENATE("$D$"&amp;AT$121)),
IF($K141=INDIRECT(CONCATENATE("$E$"&amp;AT$122)), INDIRECT(CONCATENATE("$E$"&amp;AT$121)),
IF($K141=INDIRECT(CONCATENATE("$F$"&amp;AT$122)), INDIRECT(CONCATENATE("$F$"&amp;AT$121)),
IF($K141=INDIRECT(CONCATENATE("$G$"&amp;AT$122)), INDIRECT(CONCATENATE("$G$"&amp;AT$121)),
IF($K141=INDIRECT(CONCATENATE("$H$"&amp;AT$122)), INDIRECT(CONCATENATE("$H$"&amp;AT$121)),
IF($K141=INDIRECT(CONCATENATE("$I$"&amp;AT$122)), INDIRECT(CONCATENATE("$I$"&amp;AT$121)),
IF($K141=INDIRECT(CONCATENATE("$J$"&amp;AT$122)), INDIRECT(CONCATENATE("$J$"&amp;AT$121)),
IF($K141=INDIRECT(CONCATENATE("$K$"&amp;AT$122)), INDIRECT(CONCATENATE("$K$"&amp;AT$121)),
IF($K141=INDIRECT(CONCATENATE("$L$"&amp;AT$122)), INDIRECT(CONCATENATE("$L$"&amp;AT$121)),
IF($K141=INDIRECT(CONCATENATE("$M$"&amp;AT$122)), INDIRECT(CONCATENATE("$M$"&amp;AT$121)),
IF($K141=INDIRECT(CONCATENATE("$N$"&amp;AT$122)), INDIRECT(CONCATENATE("$N$"&amp;AT$121)),
IF($K141=INDIRECT(CONCATENATE("$O$"&amp;AT$122)), INDIRECT(CONCATENATE("$O$"&amp;AT$121)),
IF($K141=INDIRECT(CONCATENATE("$P$"&amp;AT$122)), INDIRECT(CONCATENATE("$P$"&amp;AT$121)),
IF($K141=INDIRECT(CONCATENATE("$Q$"&amp;AT$122)), INDIRECT(CONCATENATE("$Q$"&amp;AT$121)),
IF($K141=INDIRECT(CONCATENATE("$R$"&amp;AT$122)), INDIRECT(CONCATENATE("$R$"&amp;AT$121)),
IF($K141=INDIRECT(CONCATENATE("$S$"&amp;AT$122)), INDIRECT(CONCATENATE("$S$"&amp;AT$121)),
IF($K141=INDIRECT(CONCATENATE("$T$"&amp;AT$122)), INDIRECT(CONCATENATE("$T$"&amp;AT$121)),
IF($K141=INDIRECT(CONCATENATE("$U$"&amp;AT$122)), INDIRECT(CONCATENATE("$U$"&amp;AT$121)),
IF($K141=INDIRECT(CONCATENATE("$V$"&amp;AT$122)), INDIRECT(CONCATENATE("$V$"&amp;AT$121)),
IF($K141=INDIRECT(CONCATENATE("$W$"&amp;AT$122)), INDIRECT(CONCATENATE("$W$"&amp;AT$121)),
IF($K141=INDIRECT(CONCATENATE("$X$"&amp;AT$122)), INDIRECT(CONCATENATE("$X$"&amp;AT$121)),
IF($K141=INDIRECT(CONCATENATE("$Y$"&amp;AT$122)), INDIRECT(CONCATENATE("$Y$"&amp;AT$121)),
IF($K141=INDIRECT(CONCATENATE("$Z$"&amp;AT$122)), INDIRECT(CONCATENATE("$Z$"&amp;AT$121)),
IF($K141=INDIRECT(CONCATENATE("$AA$"&amp;AT$122)), INDIRECT(CONCATENATE("$AA$"&amp;AT$121)),
IF($K141=INDIRECT(CONCATENATE("$AB$"&amp;AT$122)), INDIRECT(CONCATENATE("$AB$"&amp;AT$121)),
IF($K141=INDIRECT(CONCATENATE("$AC$"&amp;AT$122)), INDIRECT(CONCATENATE("$AC$"&amp;AT$121)),
IF($K141=INDIRECT(CONCATENATE("$AD$"&amp;AT$122)), INDIRECT(CONCATENATE("$AD$"&amp;AT$121)),
IF($K141=INDIRECT(CONCATENATE("$AE$"&amp;AT$122)), INDIRECT(CONCATENATE("$AE$"&amp;AT$121)),
IF($K141=INDIRECT(CONCATENATE("$AF$"&amp;AT$122)), INDIRECT(CONCATENATE("$AF$"&amp;AT$121)),"X")))))))))))))))))))))))))))))))</f>
        <v>X</v>
      </c>
      <c r="AU141" s="6" t="str">
        <f t="shared" ca="1" si="430"/>
        <v>X</v>
      </c>
      <c r="AV141" s="6" t="str">
        <f ca="1">IF($K141=INDIRECT(CONCATENATE("$B$"&amp;AV$122)), INDIRECT(CONCATENATE("$B$"&amp;AV$121)),
IF($K141=INDIRECT(CONCATENATE("$C$"&amp;AV$122)), INDIRECT(CONCATENATE("$C$"&amp;AV$121)),
IF($K141=INDIRECT(CONCATENATE("$D$"&amp;AV$122)), INDIRECT(CONCATENATE("$D$"&amp;AV$121)),
IF($K141=INDIRECT(CONCATENATE("$E$"&amp;AV$122)), INDIRECT(CONCATENATE("$E$"&amp;AV$121)),
IF($K141=INDIRECT(CONCATENATE("$F$"&amp;AV$122)), INDIRECT(CONCATENATE("$F$"&amp;AV$121)),
IF($K141=INDIRECT(CONCATENATE("$G$"&amp;AV$122)), INDIRECT(CONCATENATE("$G$"&amp;AV$121)),
IF($K141=INDIRECT(CONCATENATE("$H$"&amp;AV$122)), INDIRECT(CONCATENATE("$H$"&amp;AV$121)),
IF($K141=INDIRECT(CONCATENATE("$I$"&amp;AV$122)), INDIRECT(CONCATENATE("$I$"&amp;AV$121)),
IF($K141=INDIRECT(CONCATENATE("$J$"&amp;AV$122)), INDIRECT(CONCATENATE("$J$"&amp;AV$121)),
IF($K141=INDIRECT(CONCATENATE("$K$"&amp;AV$122)), INDIRECT(CONCATENATE("$K$"&amp;AV$121)),
IF($K141=INDIRECT(CONCATENATE("$L$"&amp;AV$122)), INDIRECT(CONCATENATE("$L$"&amp;AV$121)),
IF($K141=INDIRECT(CONCATENATE("$M$"&amp;AV$122)), INDIRECT(CONCATENATE("$M$"&amp;AV$121)),
IF($K141=INDIRECT(CONCATENATE("$N$"&amp;AV$122)), INDIRECT(CONCATENATE("$N$"&amp;AV$121)),
IF($K141=INDIRECT(CONCATENATE("$O$"&amp;AV$122)), INDIRECT(CONCATENATE("$O$"&amp;AV$121)),
IF($K141=INDIRECT(CONCATENATE("$P$"&amp;AV$122)), INDIRECT(CONCATENATE("$P$"&amp;AV$121)),
IF($K141=INDIRECT(CONCATENATE("$Q$"&amp;AV$122)), INDIRECT(CONCATENATE("$Q$"&amp;AV$121)),
IF($K141=INDIRECT(CONCATENATE("$R$"&amp;AV$122)), INDIRECT(CONCATENATE("$R$"&amp;AV$121)),
IF($K141=INDIRECT(CONCATENATE("$S$"&amp;AV$122)), INDIRECT(CONCATENATE("$S$"&amp;AV$121)),
IF($K141=INDIRECT(CONCATENATE("$T$"&amp;AV$122)), INDIRECT(CONCATENATE("$T$"&amp;AV$121)),
IF($K141=INDIRECT(CONCATENATE("$U$"&amp;AV$122)), INDIRECT(CONCATENATE("$U$"&amp;AV$121)),
IF($K141=INDIRECT(CONCATENATE("$V$"&amp;AV$122)), INDIRECT(CONCATENATE("$V$"&amp;AV$121)),
IF($K141=INDIRECT(CONCATENATE("$W$"&amp;AV$122)), INDIRECT(CONCATENATE("$W$"&amp;AV$121)),
IF($K141=INDIRECT(CONCATENATE("$X$"&amp;AV$122)), INDIRECT(CONCATENATE("$X$"&amp;AV$121)),
IF($K141=INDIRECT(CONCATENATE("$Y$"&amp;AV$122)), INDIRECT(CONCATENATE("$Y$"&amp;AV$121)),
IF($K141=INDIRECT(CONCATENATE("$Z$"&amp;AV$122)), INDIRECT(CONCATENATE("$Z$"&amp;AV$121)),
IF($K141=INDIRECT(CONCATENATE("$AA$"&amp;AV$122)), INDIRECT(CONCATENATE("$AA$"&amp;AV$121)),
IF($K141=INDIRECT(CONCATENATE("$AB$"&amp;AV$122)), INDIRECT(CONCATENATE("$AB$"&amp;AV$121)),
IF($K141=INDIRECT(CONCATENATE("$AC$"&amp;AV$122)), INDIRECT(CONCATENATE("$AC$"&amp;AV$121)),
IF($K141=INDIRECT(CONCATENATE("$AD$"&amp;AV$122)), INDIRECT(CONCATENATE("$AD$"&amp;AV$121)),
IF($K141=INDIRECT(CONCATENATE("$AE$"&amp;AV$122)), INDIRECT(CONCATENATE("$AE$"&amp;AV$121)),
IF($K141=INDIRECT(CONCATENATE("$AF$"&amp;AV$122)), INDIRECT(CONCATENATE("$AF$"&amp;AV$121)),"X")))))))))))))))))))))))))))))))</f>
        <v>X</v>
      </c>
      <c r="AW141" s="6" t="str">
        <f t="shared" ca="1" si="430"/>
        <v>X</v>
      </c>
      <c r="AX141" s="6" t="str">
        <f ca="1">IF($K141=INDIRECT(CONCATENATE("$B$"&amp;AX$122)), INDIRECT(CONCATENATE("$B$"&amp;AX$121)),
IF($K141=INDIRECT(CONCATENATE("$C$"&amp;AX$122)), INDIRECT(CONCATENATE("$C$"&amp;AX$121)),
IF($K141=INDIRECT(CONCATENATE("$D$"&amp;AX$122)), INDIRECT(CONCATENATE("$D$"&amp;AX$121)),
IF($K141=INDIRECT(CONCATENATE("$E$"&amp;AX$122)), INDIRECT(CONCATENATE("$E$"&amp;AX$121)),
IF($K141=INDIRECT(CONCATENATE("$F$"&amp;AX$122)), INDIRECT(CONCATENATE("$F$"&amp;AX$121)),
IF($K141=INDIRECT(CONCATENATE("$G$"&amp;AX$122)), INDIRECT(CONCATENATE("$G$"&amp;AX$121)),
IF($K141=INDIRECT(CONCATENATE("$H$"&amp;AX$122)), INDIRECT(CONCATENATE("$H$"&amp;AX$121)),
IF($K141=INDIRECT(CONCATENATE("$I$"&amp;AX$122)), INDIRECT(CONCATENATE("$I$"&amp;AX$121)),
IF($K141=INDIRECT(CONCATENATE("$J$"&amp;AX$122)), INDIRECT(CONCATENATE("$J$"&amp;AX$121)),
IF($K141=INDIRECT(CONCATENATE("$K$"&amp;AX$122)), INDIRECT(CONCATENATE("$K$"&amp;AX$121)),
IF($K141=INDIRECT(CONCATENATE("$L$"&amp;AX$122)), INDIRECT(CONCATENATE("$L$"&amp;AX$121)),
IF($K141=INDIRECT(CONCATENATE("$M$"&amp;AX$122)), INDIRECT(CONCATENATE("$M$"&amp;AX$121)),
IF($K141=INDIRECT(CONCATENATE("$N$"&amp;AX$122)), INDIRECT(CONCATENATE("$N$"&amp;AX$121)),
IF($K141=INDIRECT(CONCATENATE("$O$"&amp;AX$122)), INDIRECT(CONCATENATE("$O$"&amp;AX$121)),
IF($K141=INDIRECT(CONCATENATE("$P$"&amp;AX$122)), INDIRECT(CONCATENATE("$P$"&amp;AX$121)),
IF($K141=INDIRECT(CONCATENATE("$Q$"&amp;AX$122)), INDIRECT(CONCATENATE("$Q$"&amp;AX$121)),
IF($K141=INDIRECT(CONCATENATE("$R$"&amp;AX$122)), INDIRECT(CONCATENATE("$R$"&amp;AX$121)),
IF($K141=INDIRECT(CONCATENATE("$S$"&amp;AX$122)), INDIRECT(CONCATENATE("$S$"&amp;AX$121)),
IF($K141=INDIRECT(CONCATENATE("$T$"&amp;AX$122)), INDIRECT(CONCATENATE("$T$"&amp;AX$121)),
IF($K141=INDIRECT(CONCATENATE("$U$"&amp;AX$122)), INDIRECT(CONCATENATE("$U$"&amp;AX$121)),
IF($K141=INDIRECT(CONCATENATE("$V$"&amp;AX$122)), INDIRECT(CONCATENATE("$V$"&amp;AX$121)),
IF($K141=INDIRECT(CONCATENATE("$W$"&amp;AX$122)), INDIRECT(CONCATENATE("$W$"&amp;AX$121)),
IF($K141=INDIRECT(CONCATENATE("$X$"&amp;AX$122)), INDIRECT(CONCATENATE("$X$"&amp;AX$121)),
IF($K141=INDIRECT(CONCATENATE("$Y$"&amp;AX$122)), INDIRECT(CONCATENATE("$Y$"&amp;AX$121)),
IF($K141=INDIRECT(CONCATENATE("$Z$"&amp;AX$122)), INDIRECT(CONCATENATE("$Z$"&amp;AX$121)),
IF($K141=INDIRECT(CONCATENATE("$AA$"&amp;AX$122)), INDIRECT(CONCATENATE("$AA$"&amp;AX$121)),
IF($K141=INDIRECT(CONCATENATE("$AB$"&amp;AX$122)), INDIRECT(CONCATENATE("$AB$"&amp;AX$121)),
IF($K141=INDIRECT(CONCATENATE("$AC$"&amp;AX$122)), INDIRECT(CONCATENATE("$AC$"&amp;AX$121)),
IF($K141=INDIRECT(CONCATENATE("$AD$"&amp;AX$122)), INDIRECT(CONCATENATE("$AD$"&amp;AX$121)),
IF($K141=INDIRECT(CONCATENATE("$AE$"&amp;AX$122)), INDIRECT(CONCATENATE("$AE$"&amp;AX$121)),
IF($K141=INDIRECT(CONCATENATE("$AF$"&amp;AX$122)), INDIRECT(CONCATENATE("$AF$"&amp;AX$121)),"X")))))))))))))))))))))))))))))))</f>
        <v>X</v>
      </c>
      <c r="AY141" s="6" t="str">
        <f t="shared" ca="1" si="430"/>
        <v>X</v>
      </c>
      <c r="AZ141" s="6" t="str">
        <f ca="1">IF($K141=INDIRECT(CONCATENATE("$B$"&amp;AZ$122)), INDIRECT(CONCATENATE("$B$"&amp;AZ$121)),
IF($K141=INDIRECT(CONCATENATE("$C$"&amp;AZ$122)), INDIRECT(CONCATENATE("$C$"&amp;AZ$121)),
IF($K141=INDIRECT(CONCATENATE("$D$"&amp;AZ$122)), INDIRECT(CONCATENATE("$D$"&amp;AZ$121)),
IF($K141=INDIRECT(CONCATENATE("$E$"&amp;AZ$122)), INDIRECT(CONCATENATE("$E$"&amp;AZ$121)),
IF($K141=INDIRECT(CONCATENATE("$F$"&amp;AZ$122)), INDIRECT(CONCATENATE("$F$"&amp;AZ$121)),
IF($K141=INDIRECT(CONCATENATE("$G$"&amp;AZ$122)), INDIRECT(CONCATENATE("$G$"&amp;AZ$121)),
IF($K141=INDIRECT(CONCATENATE("$H$"&amp;AZ$122)), INDIRECT(CONCATENATE("$H$"&amp;AZ$121)),
IF($K141=INDIRECT(CONCATENATE("$I$"&amp;AZ$122)), INDIRECT(CONCATENATE("$I$"&amp;AZ$121)),
IF($K141=INDIRECT(CONCATENATE("$J$"&amp;AZ$122)), INDIRECT(CONCATENATE("$J$"&amp;AZ$121)),
IF($K141=INDIRECT(CONCATENATE("$K$"&amp;AZ$122)), INDIRECT(CONCATENATE("$K$"&amp;AZ$121)),
IF($K141=INDIRECT(CONCATENATE("$L$"&amp;AZ$122)), INDIRECT(CONCATENATE("$L$"&amp;AZ$121)),
IF($K141=INDIRECT(CONCATENATE("$M$"&amp;AZ$122)), INDIRECT(CONCATENATE("$M$"&amp;AZ$121)),
IF($K141=INDIRECT(CONCATENATE("$N$"&amp;AZ$122)), INDIRECT(CONCATENATE("$N$"&amp;AZ$121)),
IF($K141=INDIRECT(CONCATENATE("$O$"&amp;AZ$122)), INDIRECT(CONCATENATE("$O$"&amp;AZ$121)),
IF($K141=INDIRECT(CONCATENATE("$P$"&amp;AZ$122)), INDIRECT(CONCATENATE("$P$"&amp;AZ$121)),
IF($K141=INDIRECT(CONCATENATE("$Q$"&amp;AZ$122)), INDIRECT(CONCATENATE("$Q$"&amp;AZ$121)),
IF($K141=INDIRECT(CONCATENATE("$R$"&amp;AZ$122)), INDIRECT(CONCATENATE("$R$"&amp;AZ$121)),
IF($K141=INDIRECT(CONCATENATE("$S$"&amp;AZ$122)), INDIRECT(CONCATENATE("$S$"&amp;AZ$121)),
IF($K141=INDIRECT(CONCATENATE("$T$"&amp;AZ$122)), INDIRECT(CONCATENATE("$T$"&amp;AZ$121)),
IF($K141=INDIRECT(CONCATENATE("$U$"&amp;AZ$122)), INDIRECT(CONCATENATE("$U$"&amp;AZ$121)),
IF($K141=INDIRECT(CONCATENATE("$V$"&amp;AZ$122)), INDIRECT(CONCATENATE("$V$"&amp;AZ$121)),
IF($K141=INDIRECT(CONCATENATE("$W$"&amp;AZ$122)), INDIRECT(CONCATENATE("$W$"&amp;AZ$121)),
IF($K141=INDIRECT(CONCATENATE("$X$"&amp;AZ$122)), INDIRECT(CONCATENATE("$X$"&amp;AZ$121)),
IF($K141=INDIRECT(CONCATENATE("$Y$"&amp;AZ$122)), INDIRECT(CONCATENATE("$Y$"&amp;AZ$121)),
IF($K141=INDIRECT(CONCATENATE("$Z$"&amp;AZ$122)), INDIRECT(CONCATENATE("$Z$"&amp;AZ$121)),
IF($K141=INDIRECT(CONCATENATE("$AA$"&amp;AZ$122)), INDIRECT(CONCATENATE("$AA$"&amp;AZ$121)),
IF($K141=INDIRECT(CONCATENATE("$AB$"&amp;AZ$122)), INDIRECT(CONCATENATE("$AB$"&amp;AZ$121)),
IF($K141=INDIRECT(CONCATENATE("$AC$"&amp;AZ$122)), INDIRECT(CONCATENATE("$AC$"&amp;AZ$121)),
IF($K141=INDIRECT(CONCATENATE("$AD$"&amp;AZ$122)), INDIRECT(CONCATENATE("$AD$"&amp;AZ$121)),
IF($K141=INDIRECT(CONCATENATE("$AE$"&amp;AZ$122)), INDIRECT(CONCATENATE("$AE$"&amp;AZ$121)),
IF($K141=INDIRECT(CONCATENATE("$AF$"&amp;AZ$122)), INDIRECT(CONCATENATE("$AF$"&amp;AZ$121)),"X")))))))))))))))))))))))))))))))</f>
        <v>X</v>
      </c>
      <c r="BA141" s="6" t="str">
        <f t="shared" ca="1" si="430"/>
        <v>X</v>
      </c>
      <c r="BB141" s="6" t="str">
        <f ca="1">IF($K141=INDIRECT(CONCATENATE("$B$"&amp;BB$122)), INDIRECT(CONCATENATE("$B$"&amp;BB$121)),
IF($K141=INDIRECT(CONCATENATE("$C$"&amp;BB$122)), INDIRECT(CONCATENATE("$C$"&amp;BB$121)),
IF($K141=INDIRECT(CONCATENATE("$D$"&amp;BB$122)), INDIRECT(CONCATENATE("$D$"&amp;BB$121)),
IF($K141=INDIRECT(CONCATENATE("$E$"&amp;BB$122)), INDIRECT(CONCATENATE("$E$"&amp;BB$121)),
IF($K141=INDIRECT(CONCATENATE("$F$"&amp;BB$122)), INDIRECT(CONCATENATE("$F$"&amp;BB$121)),
IF($K141=INDIRECT(CONCATENATE("$G$"&amp;BB$122)), INDIRECT(CONCATENATE("$G$"&amp;BB$121)),
IF($K141=INDIRECT(CONCATENATE("$H$"&amp;BB$122)), INDIRECT(CONCATENATE("$H$"&amp;BB$121)),
IF($K141=INDIRECT(CONCATENATE("$I$"&amp;BB$122)), INDIRECT(CONCATENATE("$I$"&amp;BB$121)),
IF($K141=INDIRECT(CONCATENATE("$J$"&amp;BB$122)), INDIRECT(CONCATENATE("$J$"&amp;BB$121)),
IF($K141=INDIRECT(CONCATENATE("$K$"&amp;BB$122)), INDIRECT(CONCATENATE("$K$"&amp;BB$121)),
IF($K141=INDIRECT(CONCATENATE("$L$"&amp;BB$122)), INDIRECT(CONCATENATE("$L$"&amp;BB$121)),
IF($K141=INDIRECT(CONCATENATE("$M$"&amp;BB$122)), INDIRECT(CONCATENATE("$M$"&amp;BB$121)),
IF($K141=INDIRECT(CONCATENATE("$N$"&amp;BB$122)), INDIRECT(CONCATENATE("$N$"&amp;BB$121)),
IF($K141=INDIRECT(CONCATENATE("$O$"&amp;BB$122)), INDIRECT(CONCATENATE("$O$"&amp;BB$121)),
IF($K141=INDIRECT(CONCATENATE("$P$"&amp;BB$122)), INDIRECT(CONCATENATE("$P$"&amp;BB$121)),
IF($K141=INDIRECT(CONCATENATE("$Q$"&amp;BB$122)), INDIRECT(CONCATENATE("$Q$"&amp;BB$121)),
IF($K141=INDIRECT(CONCATENATE("$R$"&amp;BB$122)), INDIRECT(CONCATENATE("$R$"&amp;BB$121)),
IF($K141=INDIRECT(CONCATENATE("$S$"&amp;BB$122)), INDIRECT(CONCATENATE("$S$"&amp;BB$121)),
IF($K141=INDIRECT(CONCATENATE("$T$"&amp;BB$122)), INDIRECT(CONCATENATE("$T$"&amp;BB$121)),
IF($K141=INDIRECT(CONCATENATE("$U$"&amp;BB$122)), INDIRECT(CONCATENATE("$U$"&amp;BB$121)),
IF($K141=INDIRECT(CONCATENATE("$V$"&amp;BB$122)), INDIRECT(CONCATENATE("$V$"&amp;BB$121)),
IF($K141=INDIRECT(CONCATENATE("$W$"&amp;BB$122)), INDIRECT(CONCATENATE("$W$"&amp;BB$121)),
IF($K141=INDIRECT(CONCATENATE("$X$"&amp;BB$122)), INDIRECT(CONCATENATE("$X$"&amp;BB$121)),
IF($K141=INDIRECT(CONCATENATE("$Y$"&amp;BB$122)), INDIRECT(CONCATENATE("$Y$"&amp;BB$121)),
IF($K141=INDIRECT(CONCATENATE("$Z$"&amp;BB$122)), INDIRECT(CONCATENATE("$Z$"&amp;BB$121)),
IF($K141=INDIRECT(CONCATENATE("$AA$"&amp;BB$122)), INDIRECT(CONCATENATE("$AA$"&amp;BB$121)),
IF($K141=INDIRECT(CONCATENATE("$AB$"&amp;BB$122)), INDIRECT(CONCATENATE("$AB$"&amp;BB$121)),
IF($K141=INDIRECT(CONCATENATE("$AC$"&amp;BB$122)), INDIRECT(CONCATENATE("$AC$"&amp;BB$121)),
IF($K141=INDIRECT(CONCATENATE("$AD$"&amp;BB$122)), INDIRECT(CONCATENATE("$AD$"&amp;BB$121)),
IF($K141=INDIRECT(CONCATENATE("$AE$"&amp;BB$122)), INDIRECT(CONCATENATE("$AE$"&amp;BB$121)),
IF($K141=INDIRECT(CONCATENATE("$AF$"&amp;BB$122)), INDIRECT(CONCATENATE("$AF$"&amp;BB$121)),"X")))))))))))))))))))))))))))))))</f>
        <v>X</v>
      </c>
      <c r="BC141" s="6" t="str">
        <f t="shared" ca="1" si="430"/>
        <v>X</v>
      </c>
      <c r="BD141" s="6" t="str">
        <f ca="1">IF($K141=INDIRECT(CONCATENATE("$B$"&amp;BD$122)), INDIRECT(CONCATENATE("$B$"&amp;BD$121)),
IF($K141=INDIRECT(CONCATENATE("$C$"&amp;BD$122)), INDIRECT(CONCATENATE("$C$"&amp;BD$121)),
IF($K141=INDIRECT(CONCATENATE("$D$"&amp;BD$122)), INDIRECT(CONCATENATE("$D$"&amp;BD$121)),
IF($K141=INDIRECT(CONCATENATE("$E$"&amp;BD$122)), INDIRECT(CONCATENATE("$E$"&amp;BD$121)),
IF($K141=INDIRECT(CONCATENATE("$F$"&amp;BD$122)), INDIRECT(CONCATENATE("$F$"&amp;BD$121)),
IF($K141=INDIRECT(CONCATENATE("$G$"&amp;BD$122)), INDIRECT(CONCATENATE("$G$"&amp;BD$121)),
IF($K141=INDIRECT(CONCATENATE("$H$"&amp;BD$122)), INDIRECT(CONCATENATE("$H$"&amp;BD$121)),
IF($K141=INDIRECT(CONCATENATE("$I$"&amp;BD$122)), INDIRECT(CONCATENATE("$I$"&amp;BD$121)),
IF($K141=INDIRECT(CONCATENATE("$J$"&amp;BD$122)), INDIRECT(CONCATENATE("$J$"&amp;BD$121)),
IF($K141=INDIRECT(CONCATENATE("$K$"&amp;BD$122)), INDIRECT(CONCATENATE("$K$"&amp;BD$121)),
IF($K141=INDIRECT(CONCATENATE("$L$"&amp;BD$122)), INDIRECT(CONCATENATE("$L$"&amp;BD$121)),
IF($K141=INDIRECT(CONCATENATE("$M$"&amp;BD$122)), INDIRECT(CONCATENATE("$M$"&amp;BD$121)),
IF($K141=INDIRECT(CONCATENATE("$N$"&amp;BD$122)), INDIRECT(CONCATENATE("$N$"&amp;BD$121)),
IF($K141=INDIRECT(CONCATENATE("$O$"&amp;BD$122)), INDIRECT(CONCATENATE("$O$"&amp;BD$121)),
IF($K141=INDIRECT(CONCATENATE("$P$"&amp;BD$122)), INDIRECT(CONCATENATE("$P$"&amp;BD$121)),
IF($K141=INDIRECT(CONCATENATE("$Q$"&amp;BD$122)), INDIRECT(CONCATENATE("$Q$"&amp;BD$121)),
IF($K141=INDIRECT(CONCATENATE("$R$"&amp;BD$122)), INDIRECT(CONCATENATE("$R$"&amp;BD$121)),
IF($K141=INDIRECT(CONCATENATE("$S$"&amp;BD$122)), INDIRECT(CONCATENATE("$S$"&amp;BD$121)),
IF($K141=INDIRECT(CONCATENATE("$T$"&amp;BD$122)), INDIRECT(CONCATENATE("$T$"&amp;BD$121)),
IF($K141=INDIRECT(CONCATENATE("$U$"&amp;BD$122)), INDIRECT(CONCATENATE("$U$"&amp;BD$121)),
IF($K141=INDIRECT(CONCATENATE("$V$"&amp;BD$122)), INDIRECT(CONCATENATE("$V$"&amp;BD$121)),
IF($K141=INDIRECT(CONCATENATE("$W$"&amp;BD$122)), INDIRECT(CONCATENATE("$W$"&amp;BD$121)),
IF($K141=INDIRECT(CONCATENATE("$X$"&amp;BD$122)), INDIRECT(CONCATENATE("$X$"&amp;BD$121)),
IF($K141=INDIRECT(CONCATENATE("$Y$"&amp;BD$122)), INDIRECT(CONCATENATE("$Y$"&amp;BD$121)),
IF($K141=INDIRECT(CONCATENATE("$Z$"&amp;BD$122)), INDIRECT(CONCATENATE("$Z$"&amp;BD$121)),
IF($K141=INDIRECT(CONCATENATE("$AA$"&amp;BD$122)), INDIRECT(CONCATENATE("$AA$"&amp;BD$121)),
IF($K141=INDIRECT(CONCATENATE("$AB$"&amp;BD$122)), INDIRECT(CONCATENATE("$AB$"&amp;BD$121)),
IF($K141=INDIRECT(CONCATENATE("$AC$"&amp;BD$122)), INDIRECT(CONCATENATE("$AC$"&amp;BD$121)),
IF($K141=INDIRECT(CONCATENATE("$AD$"&amp;BD$122)), INDIRECT(CONCATENATE("$AD$"&amp;BD$121)),
IF($K141=INDIRECT(CONCATENATE("$AE$"&amp;BD$122)), INDIRECT(CONCATENATE("$AE$"&amp;BD$121)),
IF($K141=INDIRECT(CONCATENATE("$AF$"&amp;BD$122)), INDIRECT(CONCATENATE("$AF$"&amp;BD$121)),"X")))))))))))))))))))))))))))))))</f>
        <v>X</v>
      </c>
      <c r="BE141" s="6" t="str">
        <f t="shared" ca="1" si="430"/>
        <v>X</v>
      </c>
      <c r="BF141" s="6" t="str">
        <f ca="1">IF($K141=INDIRECT(CONCATENATE("$B$"&amp;BF$122)), INDIRECT(CONCATENATE("$B$"&amp;BF$121)),
IF($K141=INDIRECT(CONCATENATE("$C$"&amp;BF$122)), INDIRECT(CONCATENATE("$C$"&amp;BF$121)),
IF($K141=INDIRECT(CONCATENATE("$D$"&amp;BF$122)), INDIRECT(CONCATENATE("$D$"&amp;BF$121)),
IF($K141=INDIRECT(CONCATENATE("$E$"&amp;BF$122)), INDIRECT(CONCATENATE("$E$"&amp;BF$121)),
IF($K141=INDIRECT(CONCATENATE("$F$"&amp;BF$122)), INDIRECT(CONCATENATE("$F$"&amp;BF$121)),
IF($K141=INDIRECT(CONCATENATE("$G$"&amp;BF$122)), INDIRECT(CONCATENATE("$G$"&amp;BF$121)),
IF($K141=INDIRECT(CONCATENATE("$H$"&amp;BF$122)), INDIRECT(CONCATENATE("$H$"&amp;BF$121)),
IF($K141=INDIRECT(CONCATENATE("$I$"&amp;BF$122)), INDIRECT(CONCATENATE("$I$"&amp;BF$121)),
IF($K141=INDIRECT(CONCATENATE("$J$"&amp;BF$122)), INDIRECT(CONCATENATE("$J$"&amp;BF$121)),
IF($K141=INDIRECT(CONCATENATE("$K$"&amp;BF$122)), INDIRECT(CONCATENATE("$K$"&amp;BF$121)),
IF($K141=INDIRECT(CONCATENATE("$L$"&amp;BF$122)), INDIRECT(CONCATENATE("$L$"&amp;BF$121)),
IF($K141=INDIRECT(CONCATENATE("$M$"&amp;BF$122)), INDIRECT(CONCATENATE("$M$"&amp;BF$121)),
IF($K141=INDIRECT(CONCATENATE("$N$"&amp;BF$122)), INDIRECT(CONCATENATE("$N$"&amp;BF$121)),
IF($K141=INDIRECT(CONCATENATE("$O$"&amp;BF$122)), INDIRECT(CONCATENATE("$O$"&amp;BF$121)),
IF($K141=INDIRECT(CONCATENATE("$P$"&amp;BF$122)), INDIRECT(CONCATENATE("$P$"&amp;BF$121)),
IF($K141=INDIRECT(CONCATENATE("$Q$"&amp;BF$122)), INDIRECT(CONCATENATE("$Q$"&amp;BF$121)),
IF($K141=INDIRECT(CONCATENATE("$R$"&amp;BF$122)), INDIRECT(CONCATENATE("$R$"&amp;BF$121)),
IF($K141=INDIRECT(CONCATENATE("$S$"&amp;BF$122)), INDIRECT(CONCATENATE("$S$"&amp;BF$121)),
IF($K141=INDIRECT(CONCATENATE("$T$"&amp;BF$122)), INDIRECT(CONCATENATE("$T$"&amp;BF$121)),
IF($K141=INDIRECT(CONCATENATE("$U$"&amp;BF$122)), INDIRECT(CONCATENATE("$U$"&amp;BF$121)),
IF($K141=INDIRECT(CONCATENATE("$V$"&amp;BF$122)), INDIRECT(CONCATENATE("$V$"&amp;BF$121)),
IF($K141=INDIRECT(CONCATENATE("$W$"&amp;BF$122)), INDIRECT(CONCATENATE("$W$"&amp;BF$121)),
IF($K141=INDIRECT(CONCATENATE("$X$"&amp;BF$122)), INDIRECT(CONCATENATE("$X$"&amp;BF$121)),
IF($K141=INDIRECT(CONCATENATE("$Y$"&amp;BF$122)), INDIRECT(CONCATENATE("$Y$"&amp;BF$121)),
IF($K141=INDIRECT(CONCATENATE("$Z$"&amp;BF$122)), INDIRECT(CONCATENATE("$Z$"&amp;BF$121)),
IF($K141=INDIRECT(CONCATENATE("$AA$"&amp;BF$122)), INDIRECT(CONCATENATE("$AA$"&amp;BF$121)),
IF($K141=INDIRECT(CONCATENATE("$AB$"&amp;BF$122)), INDIRECT(CONCATENATE("$AB$"&amp;BF$121)),
IF($K141=INDIRECT(CONCATENATE("$AC$"&amp;BF$122)), INDIRECT(CONCATENATE("$AC$"&amp;BF$121)),
IF($K141=INDIRECT(CONCATENATE("$AD$"&amp;BF$122)), INDIRECT(CONCATENATE("$AD$"&amp;BF$121)),
IF($K141=INDIRECT(CONCATENATE("$AE$"&amp;BF$122)), INDIRECT(CONCATENATE("$AE$"&amp;BF$121)),
IF($K141=INDIRECT(CONCATENATE("$AF$"&amp;BF$122)), INDIRECT(CONCATENATE("$AF$"&amp;BF$121)),"X")))))))))))))))))))))))))))))))</f>
        <v>X</v>
      </c>
      <c r="BG141" s="6" t="str">
        <f t="shared" ca="1" si="430"/>
        <v>X</v>
      </c>
      <c r="BH141" s="6" t="str">
        <f ca="1">IF($K141=INDIRECT(CONCATENATE("$B$"&amp;BH$122)), INDIRECT(CONCATENATE("$B$"&amp;BH$121)),
IF($K141=INDIRECT(CONCATENATE("$C$"&amp;BH$122)), INDIRECT(CONCATENATE("$C$"&amp;BH$121)),
IF($K141=INDIRECT(CONCATENATE("$D$"&amp;BH$122)), INDIRECT(CONCATENATE("$D$"&amp;BH$121)),
IF($K141=INDIRECT(CONCATENATE("$E$"&amp;BH$122)), INDIRECT(CONCATENATE("$E$"&amp;BH$121)),
IF($K141=INDIRECT(CONCATENATE("$F$"&amp;BH$122)), INDIRECT(CONCATENATE("$F$"&amp;BH$121)),
IF($K141=INDIRECT(CONCATENATE("$G$"&amp;BH$122)), INDIRECT(CONCATENATE("$G$"&amp;BH$121)),
IF($K141=INDIRECT(CONCATENATE("$H$"&amp;BH$122)), INDIRECT(CONCATENATE("$H$"&amp;BH$121)),
IF($K141=INDIRECT(CONCATENATE("$I$"&amp;BH$122)), INDIRECT(CONCATENATE("$I$"&amp;BH$121)),
IF($K141=INDIRECT(CONCATENATE("$J$"&amp;BH$122)), INDIRECT(CONCATENATE("$J$"&amp;BH$121)),
IF($K141=INDIRECT(CONCATENATE("$K$"&amp;BH$122)), INDIRECT(CONCATENATE("$K$"&amp;BH$121)),
IF($K141=INDIRECT(CONCATENATE("$L$"&amp;BH$122)), INDIRECT(CONCATENATE("$L$"&amp;BH$121)),
IF($K141=INDIRECT(CONCATENATE("$M$"&amp;BH$122)), INDIRECT(CONCATENATE("$M$"&amp;BH$121)),
IF($K141=INDIRECT(CONCATENATE("$N$"&amp;BH$122)), INDIRECT(CONCATENATE("$N$"&amp;BH$121)),
IF($K141=INDIRECT(CONCATENATE("$O$"&amp;BH$122)), INDIRECT(CONCATENATE("$O$"&amp;BH$121)),
IF($K141=INDIRECT(CONCATENATE("$P$"&amp;BH$122)), INDIRECT(CONCATENATE("$P$"&amp;BH$121)),
IF($K141=INDIRECT(CONCATENATE("$Q$"&amp;BH$122)), INDIRECT(CONCATENATE("$Q$"&amp;BH$121)),
IF($K141=INDIRECT(CONCATENATE("$R$"&amp;BH$122)), INDIRECT(CONCATENATE("$R$"&amp;BH$121)),
IF($K141=INDIRECT(CONCATENATE("$S$"&amp;BH$122)), INDIRECT(CONCATENATE("$S$"&amp;BH$121)),
IF($K141=INDIRECT(CONCATENATE("$T$"&amp;BH$122)), INDIRECT(CONCATENATE("$T$"&amp;BH$121)),
IF($K141=INDIRECT(CONCATENATE("$U$"&amp;BH$122)), INDIRECT(CONCATENATE("$U$"&amp;BH$121)),
IF($K141=INDIRECT(CONCATENATE("$V$"&amp;BH$122)), INDIRECT(CONCATENATE("$V$"&amp;BH$121)),
IF($K141=INDIRECT(CONCATENATE("$W$"&amp;BH$122)), INDIRECT(CONCATENATE("$W$"&amp;BH$121)),
IF($K141=INDIRECT(CONCATENATE("$X$"&amp;BH$122)), INDIRECT(CONCATENATE("$X$"&amp;BH$121)),
IF($K141=INDIRECT(CONCATENATE("$Y$"&amp;BH$122)), INDIRECT(CONCATENATE("$Y$"&amp;BH$121)),
IF($K141=INDIRECT(CONCATENATE("$Z$"&amp;BH$122)), INDIRECT(CONCATENATE("$Z$"&amp;BH$121)),
IF($K141=INDIRECT(CONCATENATE("$AA$"&amp;BH$122)), INDIRECT(CONCATENATE("$AA$"&amp;BH$121)),
IF($K141=INDIRECT(CONCATENATE("$AB$"&amp;BH$122)), INDIRECT(CONCATENATE("$AB$"&amp;BH$121)),
IF($K141=INDIRECT(CONCATENATE("$AC$"&amp;BH$122)), INDIRECT(CONCATENATE("$AC$"&amp;BH$121)),
IF($K141=INDIRECT(CONCATENATE("$AD$"&amp;BH$122)), INDIRECT(CONCATENATE("$AD$"&amp;BH$121)),
IF($K141=INDIRECT(CONCATENATE("$AE$"&amp;BH$122)), INDIRECT(CONCATENATE("$AE$"&amp;BH$121)),
IF($K141=INDIRECT(CONCATENATE("$AF$"&amp;BH$122)), INDIRECT(CONCATENATE("$AF$"&amp;BH$121)),"X")))))))))))))))))))))))))))))))</f>
        <v>X</v>
      </c>
      <c r="BI141" s="6" t="str">
        <f t="shared" ca="1" si="430"/>
        <v>X</v>
      </c>
      <c r="BJ141" s="6" t="str">
        <f ca="1">IF($K141=INDIRECT(CONCATENATE("$B$"&amp;BJ$122)), INDIRECT(CONCATENATE("$B$"&amp;BJ$121)),
IF($K141=INDIRECT(CONCATENATE("$C$"&amp;BJ$122)), INDIRECT(CONCATENATE("$C$"&amp;BJ$121)),
IF($K141=INDIRECT(CONCATENATE("$D$"&amp;BJ$122)), INDIRECT(CONCATENATE("$D$"&amp;BJ$121)),
IF($K141=INDIRECT(CONCATENATE("$E$"&amp;BJ$122)), INDIRECT(CONCATENATE("$E$"&amp;BJ$121)),
IF($K141=INDIRECT(CONCATENATE("$F$"&amp;BJ$122)), INDIRECT(CONCATENATE("$F$"&amp;BJ$121)),
IF($K141=INDIRECT(CONCATENATE("$G$"&amp;BJ$122)), INDIRECT(CONCATENATE("$G$"&amp;BJ$121)),
IF($K141=INDIRECT(CONCATENATE("$H$"&amp;BJ$122)), INDIRECT(CONCATENATE("$H$"&amp;BJ$121)),
IF($K141=INDIRECT(CONCATENATE("$I$"&amp;BJ$122)), INDIRECT(CONCATENATE("$I$"&amp;BJ$121)),
IF($K141=INDIRECT(CONCATENATE("$J$"&amp;BJ$122)), INDIRECT(CONCATENATE("$J$"&amp;BJ$121)),
IF($K141=INDIRECT(CONCATENATE("$K$"&amp;BJ$122)), INDIRECT(CONCATENATE("$K$"&amp;BJ$121)),
IF($K141=INDIRECT(CONCATENATE("$L$"&amp;BJ$122)), INDIRECT(CONCATENATE("$L$"&amp;BJ$121)),
IF($K141=INDIRECT(CONCATENATE("$M$"&amp;BJ$122)), INDIRECT(CONCATENATE("$M$"&amp;BJ$121)),
IF($K141=INDIRECT(CONCATENATE("$N$"&amp;BJ$122)), INDIRECT(CONCATENATE("$N$"&amp;BJ$121)),
IF($K141=INDIRECT(CONCATENATE("$O$"&amp;BJ$122)), INDIRECT(CONCATENATE("$O$"&amp;BJ$121)),
IF($K141=INDIRECT(CONCATENATE("$P$"&amp;BJ$122)), INDIRECT(CONCATENATE("$P$"&amp;BJ$121)),
IF($K141=INDIRECT(CONCATENATE("$Q$"&amp;BJ$122)), INDIRECT(CONCATENATE("$Q$"&amp;BJ$121)),
IF($K141=INDIRECT(CONCATENATE("$R$"&amp;BJ$122)), INDIRECT(CONCATENATE("$R$"&amp;BJ$121)),
IF($K141=INDIRECT(CONCATENATE("$S$"&amp;BJ$122)), INDIRECT(CONCATENATE("$S$"&amp;BJ$121)),
IF($K141=INDIRECT(CONCATENATE("$T$"&amp;BJ$122)), INDIRECT(CONCATENATE("$T$"&amp;BJ$121)),
IF($K141=INDIRECT(CONCATENATE("$U$"&amp;BJ$122)), INDIRECT(CONCATENATE("$U$"&amp;BJ$121)),
IF($K141=INDIRECT(CONCATENATE("$V$"&amp;BJ$122)), INDIRECT(CONCATENATE("$V$"&amp;BJ$121)),
IF($K141=INDIRECT(CONCATENATE("$W$"&amp;BJ$122)), INDIRECT(CONCATENATE("$W$"&amp;BJ$121)),
IF($K141=INDIRECT(CONCATENATE("$X$"&amp;BJ$122)), INDIRECT(CONCATENATE("$X$"&amp;BJ$121)),
IF($K141=INDIRECT(CONCATENATE("$Y$"&amp;BJ$122)), INDIRECT(CONCATENATE("$Y$"&amp;BJ$121)),
IF($K141=INDIRECT(CONCATENATE("$Z$"&amp;BJ$122)), INDIRECT(CONCATENATE("$Z$"&amp;BJ$121)),
IF($K141=INDIRECT(CONCATENATE("$AA$"&amp;BJ$122)), INDIRECT(CONCATENATE("$AA$"&amp;BJ$121)),
IF($K141=INDIRECT(CONCATENATE("$AB$"&amp;BJ$122)), INDIRECT(CONCATENATE("$AB$"&amp;BJ$121)),
IF($K141=INDIRECT(CONCATENATE("$AC$"&amp;BJ$122)), INDIRECT(CONCATENATE("$AC$"&amp;BJ$121)),
IF($K141=INDIRECT(CONCATENATE("$AD$"&amp;BJ$122)), INDIRECT(CONCATENATE("$AD$"&amp;BJ$121)),
IF($K141=INDIRECT(CONCATENATE("$AE$"&amp;BJ$122)), INDIRECT(CONCATENATE("$AE$"&amp;BJ$121)),
IF($K141=INDIRECT(CONCATENATE("$AF$"&amp;BJ$122)), INDIRECT(CONCATENATE("$AF$"&amp;BJ$121)),"X")))))))))))))))))))))))))))))))</f>
        <v>X</v>
      </c>
      <c r="BK141" s="12" t="str">
        <f t="shared" ca="1" si="415"/>
        <v>X</v>
      </c>
      <c r="BL141" s="6" t="str">
        <f t="shared" ca="1" si="415"/>
        <v>X</v>
      </c>
      <c r="BM141" s="6" t="str">
        <f t="shared" ca="1" si="416"/>
        <v>X</v>
      </c>
      <c r="BN141" s="6" t="str">
        <f t="shared" ca="1" si="416"/>
        <v>X</v>
      </c>
      <c r="BO141" s="6" t="str">
        <f t="shared" ca="1" si="417"/>
        <v>X</v>
      </c>
      <c r="BP141" s="6" t="str">
        <f t="shared" ca="1" si="417"/>
        <v>X</v>
      </c>
      <c r="BQ141" s="6" t="str">
        <f t="shared" ca="1" si="418"/>
        <v>X</v>
      </c>
      <c r="BR141" s="6" t="str">
        <f t="shared" ca="1" si="418"/>
        <v>X</v>
      </c>
      <c r="BS141" s="6" t="str">
        <f t="shared" ca="1" si="419"/>
        <v>X</v>
      </c>
      <c r="BT141" s="6" t="str">
        <f t="shared" ca="1" si="419"/>
        <v>X</v>
      </c>
      <c r="BU141" s="6" t="str">
        <f t="shared" ca="1" si="420"/>
        <v>X</v>
      </c>
      <c r="BV141" s="6" t="str">
        <f t="shared" ca="1" si="420"/>
        <v>X</v>
      </c>
      <c r="BW141" s="6" t="str">
        <f t="shared" ca="1" si="421"/>
        <v>X</v>
      </c>
      <c r="BX141" s="6" t="str">
        <f t="shared" ca="1" si="421"/>
        <v>X</v>
      </c>
      <c r="BY141" s="6" t="str">
        <f t="shared" ca="1" si="422"/>
        <v>X</v>
      </c>
      <c r="BZ141" s="6" t="str">
        <f t="shared" ca="1" si="422"/>
        <v>X</v>
      </c>
      <c r="CA141" s="6" t="str">
        <f t="shared" ca="1" si="423"/>
        <v>X</v>
      </c>
      <c r="CB141" s="6" t="str">
        <f t="shared" ca="1" si="423"/>
        <v>X</v>
      </c>
      <c r="CC141" s="6" t="str">
        <f t="shared" ca="1" si="424"/>
        <v>X</v>
      </c>
      <c r="CD141" s="6" t="str">
        <f t="shared" ca="1" si="424"/>
        <v>X</v>
      </c>
      <c r="CE141" s="6" t="str">
        <f t="shared" ca="1" si="425"/>
        <v>X</v>
      </c>
      <c r="CF141" s="6" t="str">
        <f t="shared" ca="1" si="425"/>
        <v>X</v>
      </c>
      <c r="CG141" s="6" t="str">
        <f t="shared" ca="1" si="407"/>
        <v>X</v>
      </c>
      <c r="CH141" s="6" t="str">
        <f t="shared" ca="1" si="408"/>
        <v>X</v>
      </c>
      <c r="CI141" s="6" t="str">
        <f t="shared" ca="1" si="409"/>
        <v>X</v>
      </c>
      <c r="CJ141" s="6" t="str">
        <f t="shared" ca="1" si="410"/>
        <v>X</v>
      </c>
      <c r="CK141" s="6" t="str">
        <f t="shared" ca="1" si="426"/>
        <v>X</v>
      </c>
      <c r="CL141" s="6" t="str">
        <f t="shared" ca="1" si="426"/>
        <v>X</v>
      </c>
    </row>
  </sheetData>
  <sheetProtection formatCells="0" selectLockedCells="1"/>
  <protectedRanges>
    <protectedRange algorithmName="SHA-512" hashValue="HfT5AV8ytN0rxbDWeo3Kag40nyVQT1Pga5ldzCE66W/bWKEjB0/VO/WGe3nSpf26mXMOJGhMxYj87Lxyye9d8Q==" saltValue="2pyQOm5F/RsqjDaIZ8qOeQ==" spinCount="100000" sqref="W1:W2 Q2:T7" name="Intervalo1"/>
  </protectedRanges>
  <mergeCells count="616">
    <mergeCell ref="A58:A59"/>
    <mergeCell ref="AD52:AD53"/>
    <mergeCell ref="AF49:AF55"/>
    <mergeCell ref="AF73:AF79"/>
    <mergeCell ref="A73:AE73"/>
    <mergeCell ref="AF89:AF95"/>
    <mergeCell ref="A89:AE89"/>
    <mergeCell ref="A81:AF81"/>
    <mergeCell ref="A57:AF57"/>
    <mergeCell ref="A49:AE4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AA60:AA61"/>
    <mergeCell ref="P121:P122"/>
    <mergeCell ref="A97:AF97"/>
    <mergeCell ref="A98:A99"/>
    <mergeCell ref="A90:A91"/>
    <mergeCell ref="J96:K96"/>
    <mergeCell ref="A66:A67"/>
    <mergeCell ref="X56:Z56"/>
    <mergeCell ref="A50:A51"/>
    <mergeCell ref="AD121:AE121"/>
    <mergeCell ref="A65:AF65"/>
    <mergeCell ref="A74:A75"/>
    <mergeCell ref="Q121:Q122"/>
    <mergeCell ref="U84:U85"/>
    <mergeCell ref="V84:V85"/>
    <mergeCell ref="W84:W85"/>
    <mergeCell ref="R52:R53"/>
    <mergeCell ref="S52:S53"/>
    <mergeCell ref="T52:T53"/>
    <mergeCell ref="U52:U53"/>
    <mergeCell ref="V52:V53"/>
    <mergeCell ref="W52:W53"/>
    <mergeCell ref="AE52:AE53"/>
    <mergeCell ref="A60:A61"/>
    <mergeCell ref="M68:M69"/>
    <mergeCell ref="N141:O141"/>
    <mergeCell ref="AC52:AC53"/>
    <mergeCell ref="A126:J126"/>
    <mergeCell ref="A127:J127"/>
    <mergeCell ref="A128:J128"/>
    <mergeCell ref="N128:O128"/>
    <mergeCell ref="Y124:AC124"/>
    <mergeCell ref="Y127:AC127"/>
    <mergeCell ref="Y128:AC128"/>
    <mergeCell ref="V127:X127"/>
    <mergeCell ref="V128:X128"/>
    <mergeCell ref="Y125:AC125"/>
    <mergeCell ref="N125:O125"/>
    <mergeCell ref="AB52:AB53"/>
    <mergeCell ref="N136:O136"/>
    <mergeCell ref="V131:X131"/>
    <mergeCell ref="V125:X125"/>
    <mergeCell ref="N127:O127"/>
    <mergeCell ref="V140:X140"/>
    <mergeCell ref="V137:X137"/>
    <mergeCell ref="V138:X138"/>
    <mergeCell ref="V139:X139"/>
    <mergeCell ref="N140:O140"/>
    <mergeCell ref="S121:U121"/>
    <mergeCell ref="V124:X124"/>
    <mergeCell ref="N130:O130"/>
    <mergeCell ref="N132:O132"/>
    <mergeCell ref="N131:O131"/>
    <mergeCell ref="N133:O133"/>
    <mergeCell ref="V133:X133"/>
    <mergeCell ref="V129:X129"/>
    <mergeCell ref="N135:O135"/>
    <mergeCell ref="V135:X135"/>
    <mergeCell ref="V130:X130"/>
    <mergeCell ref="V126:X126"/>
    <mergeCell ref="N124:O124"/>
    <mergeCell ref="A82:A83"/>
    <mergeCell ref="K138:L138"/>
    <mergeCell ref="K139:L139"/>
    <mergeCell ref="A125:J125"/>
    <mergeCell ref="N129:O129"/>
    <mergeCell ref="N137:O137"/>
    <mergeCell ref="N138:O138"/>
    <mergeCell ref="N139:O139"/>
    <mergeCell ref="K131:L131"/>
    <mergeCell ref="K132:L132"/>
    <mergeCell ref="K133:L133"/>
    <mergeCell ref="K134:L134"/>
    <mergeCell ref="K135:L135"/>
    <mergeCell ref="A139:J139"/>
    <mergeCell ref="A124:J124"/>
    <mergeCell ref="K130:L130"/>
    <mergeCell ref="A129:J129"/>
    <mergeCell ref="N126:O126"/>
    <mergeCell ref="N134:O134"/>
    <mergeCell ref="K126:L126"/>
    <mergeCell ref="K127:L127"/>
    <mergeCell ref="K128:L128"/>
    <mergeCell ref="A84:A85"/>
    <mergeCell ref="B84:B85"/>
    <mergeCell ref="Y136:AC136"/>
    <mergeCell ref="Y137:AC137"/>
    <mergeCell ref="Y140:AC140"/>
    <mergeCell ref="Y132:AC132"/>
    <mergeCell ref="Y131:AC131"/>
    <mergeCell ref="Y138:AC138"/>
    <mergeCell ref="Y139:AC139"/>
    <mergeCell ref="Y133:AC133"/>
    <mergeCell ref="K136:L136"/>
    <mergeCell ref="K137:L137"/>
    <mergeCell ref="K140:L140"/>
    <mergeCell ref="Y130:AC130"/>
    <mergeCell ref="V136:X136"/>
    <mergeCell ref="V134:X134"/>
    <mergeCell ref="V132:X132"/>
    <mergeCell ref="Y126:AC126"/>
    <mergeCell ref="A12:A13"/>
    <mergeCell ref="C12:C13"/>
    <mergeCell ref="A140:J140"/>
    <mergeCell ref="A141:J141"/>
    <mergeCell ref="M121:M122"/>
    <mergeCell ref="A130:J130"/>
    <mergeCell ref="A131:J131"/>
    <mergeCell ref="A132:J132"/>
    <mergeCell ref="A133:J133"/>
    <mergeCell ref="A134:J134"/>
    <mergeCell ref="A135:J135"/>
    <mergeCell ref="A136:J136"/>
    <mergeCell ref="A137:J137"/>
    <mergeCell ref="A138:J138"/>
    <mergeCell ref="K124:L124"/>
    <mergeCell ref="K125:L125"/>
    <mergeCell ref="Y141:AC141"/>
    <mergeCell ref="Y134:AC134"/>
    <mergeCell ref="Y135:AC135"/>
    <mergeCell ref="K141:L141"/>
    <mergeCell ref="K129:L129"/>
    <mergeCell ref="A4:B4"/>
    <mergeCell ref="A5:B5"/>
    <mergeCell ref="U5:V5"/>
    <mergeCell ref="A6:B6"/>
    <mergeCell ref="T12:T13"/>
    <mergeCell ref="U12:U13"/>
    <mergeCell ref="V12:V13"/>
    <mergeCell ref="S20:S21"/>
    <mergeCell ref="T20:T21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V141:X141"/>
    <mergeCell ref="W12:W13"/>
    <mergeCell ref="X12:X13"/>
    <mergeCell ref="U2:V2"/>
    <mergeCell ref="C1:I2"/>
    <mergeCell ref="C3:I3"/>
    <mergeCell ref="C4:I4"/>
    <mergeCell ref="C6:I6"/>
    <mergeCell ref="C5:I5"/>
    <mergeCell ref="P1:P7"/>
    <mergeCell ref="R1:T1"/>
    <mergeCell ref="U1:V1"/>
    <mergeCell ref="W2:X2"/>
    <mergeCell ref="W4:X4"/>
    <mergeCell ref="W5:X5"/>
    <mergeCell ref="W6:X6"/>
    <mergeCell ref="U4:V4"/>
    <mergeCell ref="U6:V6"/>
    <mergeCell ref="U7:X7"/>
    <mergeCell ref="W3:X3"/>
    <mergeCell ref="A33:AE3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AF33:AF39"/>
    <mergeCell ref="Y129:AC129"/>
    <mergeCell ref="A1:B2"/>
    <mergeCell ref="L1:N1"/>
    <mergeCell ref="L2:N2"/>
    <mergeCell ref="J1:K1"/>
    <mergeCell ref="J2:K2"/>
    <mergeCell ref="U3:V3"/>
    <mergeCell ref="A9:AF9"/>
    <mergeCell ref="A18:A19"/>
    <mergeCell ref="A10:A11"/>
    <mergeCell ref="F8:I8"/>
    <mergeCell ref="A3:B3"/>
    <mergeCell ref="J3:K3"/>
    <mergeCell ref="J4:K4"/>
    <mergeCell ref="J5:K5"/>
    <mergeCell ref="J6:K6"/>
    <mergeCell ref="L3:N3"/>
    <mergeCell ref="L4:N4"/>
    <mergeCell ref="L5:N5"/>
    <mergeCell ref="L6:N6"/>
    <mergeCell ref="A17:AC17"/>
    <mergeCell ref="B12:B13"/>
    <mergeCell ref="D12:D13"/>
    <mergeCell ref="Y12:Y13"/>
    <mergeCell ref="Z12:Z13"/>
    <mergeCell ref="AA12:AA13"/>
    <mergeCell ref="Z20:Z21"/>
    <mergeCell ref="AA20:AA21"/>
    <mergeCell ref="AB20:AB21"/>
    <mergeCell ref="AC20:AC21"/>
    <mergeCell ref="AB12:AB13"/>
    <mergeCell ref="AC12:AC13"/>
    <mergeCell ref="AD12:AD13"/>
    <mergeCell ref="AE12:AE13"/>
    <mergeCell ref="AF12:AF13"/>
    <mergeCell ref="G28:G29"/>
    <mergeCell ref="H28:H29"/>
    <mergeCell ref="I28:I29"/>
    <mergeCell ref="J28:J29"/>
    <mergeCell ref="U20:U21"/>
    <mergeCell ref="V20:V21"/>
    <mergeCell ref="W20:W21"/>
    <mergeCell ref="X20:X21"/>
    <mergeCell ref="Y20:Y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N24:S24"/>
    <mergeCell ref="A25:AF25"/>
    <mergeCell ref="AD17:AF23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W36:W37"/>
    <mergeCell ref="X36:X37"/>
    <mergeCell ref="X44:X45"/>
    <mergeCell ref="W44:W45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O44:O45"/>
    <mergeCell ref="P44:P45"/>
    <mergeCell ref="Q44:Q45"/>
    <mergeCell ref="R44:R45"/>
    <mergeCell ref="S44:S45"/>
    <mergeCell ref="T44:T45"/>
    <mergeCell ref="U44:U45"/>
    <mergeCell ref="V44:V45"/>
    <mergeCell ref="T36:T37"/>
    <mergeCell ref="U36:U37"/>
    <mergeCell ref="V36:V37"/>
    <mergeCell ref="Y44:Y45"/>
    <mergeCell ref="Z44:Z45"/>
    <mergeCell ref="AA44:AA45"/>
    <mergeCell ref="AB44:AB45"/>
    <mergeCell ref="AC44:AC45"/>
    <mergeCell ref="AD44:AD45"/>
    <mergeCell ref="AE44:AE45"/>
    <mergeCell ref="AC36:AC37"/>
    <mergeCell ref="AD36:AD37"/>
    <mergeCell ref="AE36:AE37"/>
    <mergeCell ref="Y36:Y37"/>
    <mergeCell ref="Z36:Z37"/>
    <mergeCell ref="AA36:AA37"/>
    <mergeCell ref="AB36:AB37"/>
    <mergeCell ref="AF44:AF45"/>
    <mergeCell ref="A44:A45"/>
    <mergeCell ref="A36:A37"/>
    <mergeCell ref="A28:A29"/>
    <mergeCell ref="A20:A21"/>
    <mergeCell ref="A52:A53"/>
    <mergeCell ref="B52:B53"/>
    <mergeCell ref="C52:C53"/>
    <mergeCell ref="D52:D53"/>
    <mergeCell ref="E52:E53"/>
    <mergeCell ref="F52:F53"/>
    <mergeCell ref="B28:B29"/>
    <mergeCell ref="C28:C29"/>
    <mergeCell ref="D28:D29"/>
    <mergeCell ref="E28:E29"/>
    <mergeCell ref="F28:F29"/>
    <mergeCell ref="B20:B21"/>
    <mergeCell ref="C20:C21"/>
    <mergeCell ref="D20:D21"/>
    <mergeCell ref="E20:E21"/>
    <mergeCell ref="F20:F21"/>
    <mergeCell ref="A34:A35"/>
    <mergeCell ref="A41:AF41"/>
    <mergeCell ref="A26:A27"/>
    <mergeCell ref="A42:A43"/>
    <mergeCell ref="G52:G53"/>
    <mergeCell ref="H52:H53"/>
    <mergeCell ref="I52:I53"/>
    <mergeCell ref="J52:J53"/>
    <mergeCell ref="K52:K53"/>
    <mergeCell ref="L52:L53"/>
    <mergeCell ref="M52:M53"/>
    <mergeCell ref="N52:N5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X52:X53"/>
    <mergeCell ref="Y52:Y53"/>
    <mergeCell ref="Z52:Z53"/>
    <mergeCell ref="AA52:AA53"/>
    <mergeCell ref="O60:O61"/>
    <mergeCell ref="P60:P61"/>
    <mergeCell ref="Q60:Q61"/>
    <mergeCell ref="R60:R61"/>
    <mergeCell ref="S60:S61"/>
    <mergeCell ref="T60:T61"/>
    <mergeCell ref="O52:O53"/>
    <mergeCell ref="P52:P53"/>
    <mergeCell ref="Q52:Q53"/>
    <mergeCell ref="U68:U69"/>
    <mergeCell ref="V68:V69"/>
    <mergeCell ref="U60:U61"/>
    <mergeCell ref="W68:W69"/>
    <mergeCell ref="V60:V61"/>
    <mergeCell ref="W60:W61"/>
    <mergeCell ref="X60:X61"/>
    <mergeCell ref="Y60:Y61"/>
    <mergeCell ref="Z60:Z61"/>
    <mergeCell ref="X68:X69"/>
    <mergeCell ref="Y68:Y69"/>
    <mergeCell ref="Z68:Z69"/>
    <mergeCell ref="J68:J69"/>
    <mergeCell ref="K68:K69"/>
    <mergeCell ref="L68:L69"/>
    <mergeCell ref="N68:N69"/>
    <mergeCell ref="O68:O69"/>
    <mergeCell ref="P68:P69"/>
    <mergeCell ref="Q68:Q69"/>
    <mergeCell ref="R68:R69"/>
    <mergeCell ref="T68:T69"/>
    <mergeCell ref="S68:S69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AA68:AA69"/>
    <mergeCell ref="AB68:AB69"/>
    <mergeCell ref="AC68:AC69"/>
    <mergeCell ref="AD68:AD69"/>
    <mergeCell ref="AE68:AE69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K84:K85"/>
    <mergeCell ref="L84:L85"/>
    <mergeCell ref="M84:M85"/>
    <mergeCell ref="N84:N85"/>
    <mergeCell ref="O84:O85"/>
    <mergeCell ref="P84:P85"/>
    <mergeCell ref="Q84:Q85"/>
    <mergeCell ref="R84:R85"/>
    <mergeCell ref="C84:C85"/>
    <mergeCell ref="D84:D85"/>
    <mergeCell ref="E84:E85"/>
    <mergeCell ref="F84:F85"/>
    <mergeCell ref="G84:G85"/>
    <mergeCell ref="H84:H85"/>
    <mergeCell ref="J84:J85"/>
    <mergeCell ref="S92:S93"/>
    <mergeCell ref="T92:T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I84:I85"/>
    <mergeCell ref="U92:U93"/>
    <mergeCell ref="V92:V93"/>
    <mergeCell ref="W92:W93"/>
    <mergeCell ref="S84:S85"/>
    <mergeCell ref="T84:T85"/>
    <mergeCell ref="X84:X85"/>
    <mergeCell ref="Y84:Y85"/>
    <mergeCell ref="X92:X93"/>
    <mergeCell ref="Y92:Y93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Z92:Z93"/>
    <mergeCell ref="AA92:AA93"/>
    <mergeCell ref="AB92:AB93"/>
    <mergeCell ref="AC92:AC93"/>
    <mergeCell ref="AD92:AD93"/>
    <mergeCell ref="AE92:AE93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60:AF61"/>
    <mergeCell ref="AF84:AF85"/>
    <mergeCell ref="AF100:AF101"/>
    <mergeCell ref="AF68:AF69"/>
    <mergeCell ref="AE84:AE85"/>
    <mergeCell ref="AE76:AE77"/>
    <mergeCell ref="AD60:AD61"/>
    <mergeCell ref="AE60:AE61"/>
    <mergeCell ref="AB60:AB61"/>
    <mergeCell ref="AC60:AC61"/>
    <mergeCell ref="Z84:Z85"/>
    <mergeCell ref="AA84:AA85"/>
    <mergeCell ref="AB84:AB85"/>
    <mergeCell ref="AC84:AC85"/>
    <mergeCell ref="AD84:AD85"/>
    <mergeCell ref="Z76:Z77"/>
    <mergeCell ref="AA76:AA77"/>
    <mergeCell ref="AB76:AB77"/>
    <mergeCell ref="AC76:AC77"/>
    <mergeCell ref="AD76:AD77"/>
    <mergeCell ref="A121:J123"/>
    <mergeCell ref="K121:L123"/>
    <mergeCell ref="N121:O123"/>
    <mergeCell ref="R121:R123"/>
    <mergeCell ref="U122:U123"/>
    <mergeCell ref="V121:X123"/>
    <mergeCell ref="Y121:AC123"/>
    <mergeCell ref="AD122:AD123"/>
    <mergeCell ref="A105:AF105"/>
    <mergeCell ref="A106:A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A114:A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F120:K120"/>
    <mergeCell ref="AA116:AA117"/>
    <mergeCell ref="AB116:AB117"/>
    <mergeCell ref="AC116:AC117"/>
    <mergeCell ref="AD113:AF119"/>
    <mergeCell ref="A113:AC113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</mergeCells>
  <phoneticPr fontId="33" type="noConversion"/>
  <conditionalFormatting sqref="N124:O141">
    <cfRule type="cellIs" dxfId="1" priority="1" operator="equal">
      <formula>"EM ANDAMENTO"</formula>
    </cfRule>
    <cfRule type="cellIs" dxfId="0" priority="2" operator="equal">
      <formula>"CONCLUÍDA"</formula>
    </cfRule>
  </conditionalFormatting>
  <dataValidations count="4">
    <dataValidation type="list" allowBlank="1" showInputMessage="1" showErrorMessage="1" sqref="P8" xr:uid="{00000000-0002-0000-0000-000002000000}">
      <formula1>"Intervalo,1,2,3,4,5,-"</formula1>
    </dataValidation>
    <dataValidation type="list" allowBlank="1" showInputMessage="1" showErrorMessage="1" sqref="C4" xr:uid="{6FD0743B-F81E-4A2D-8DB4-D48CF22DCE1F}">
      <formula1>"Matutino, Matutino NEM, Vespertino, Vespertino NEM, Noturno (Técnico), Noturno (Comunidade), Diurno"</formula1>
    </dataValidation>
    <dataValidation type="list" allowBlank="1" showInputMessage="1" showErrorMessage="1" sqref="B36:AF36 B68:AF68 B28:AF28 B92:AF92 B12:AF12 B108:AF108 B44:AF44 B20:AC20 B52:AF52 B116:AC116 B60:AF60 B100:AF100 B76:AF76 B84:AF84" xr:uid="{00000000-0002-0000-0000-000000000000}">
      <formula1>$K$124:$K$141</formula1>
    </dataValidation>
    <dataValidation type="custom" allowBlank="1" showInputMessage="1" showErrorMessage="1" sqref="T124:T141" xr:uid="{00000000-0002-0000-0000-000001000000}">
      <formula1>T124&gt;=S124</formula1>
    </dataValidation>
  </dataValidations>
  <pageMargins left="0.62992125984251968" right="0.23622047244094491" top="0.74803149606299213" bottom="0.74803149606299213" header="0.31496062992125984" footer="0.31496062992125984"/>
  <pageSetup paperSize="9" scale="26" orientation="landscape" r:id="rId1"/>
  <ignoredErrors>
    <ignoredError sqref="W1 B10:J11 B18:G19 A17 B34:D35 A33 A41 B42:B43 A49 B50:F51 B58:D59 B66:B67 A57 A65 B74:E75 A73 B82:C83 A81 B90:G91 A89 B98:E99 A97 B26:F26 AF26:AF27 M10:Q11 T10:X11 AA10:AE11 J18:N19 Q18:U19 X18:AB19 G34:K35 N34:R35 U34:Y35 AB34:AE35 E42:I43 L42:P43 S42:W43 Z42:AD43 I50:M51 P50:T51 W50:AA51 AD50:AE51 G58:K59 N58:R59 U58:Y59 AB58:AF59 D66:H67 K66:O67 R66:V67 Y66:AC67 AF66:AF67 H74:L75 O74:S75 V74:Z75 AC74:AE75 F82:J83 M82:Q83 T82:X83 AA82:AF83 J90:N91 Q90:U91 X90:AB91 AE90:AE91 H98:L99 O98:S99 V98:Z99 AC98:AF99 C27:F27 F46 E47:AE47 E46 G46:AE46 C46:C47 B54:AE55 B62:AF63 B70:K71 B78:I79 B86:H87 D94:AE95 B102:U103 C110:AE111 B118:AB119 U70:Y71 R70:R71 AB70:AF71 K78:Y79 J78:J79 S70:S71 Z70:Z71 AA70:AA71 T70:T71 AA78:AE79 Z78:Z79 W102:AF103 V102:V103 N71:Q71 N70:Q70 L70:L71 K86:AF87" unlockedFormula="1"/>
    <ignoredError sqref="R4" formula="1"/>
    <ignoredError sqref="M70:M71" formula="1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54dd59-802e-4a0c-9ac9-0b05739e1aed">
      <Terms xmlns="http://schemas.microsoft.com/office/infopath/2007/PartnerControls"/>
    </lcf76f155ced4ddcb4097134ff3c332f>
    <TaxCatchAll xmlns="f3abfac4-72ae-43d2-80fb-4dbc66bd9d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4DD96FF2B7D742893C6268D62B5FF8" ma:contentTypeVersion="13" ma:contentTypeDescription="Crie um novo documento." ma:contentTypeScope="" ma:versionID="6b8783936a287a41a3e58889d1cb2b53">
  <xsd:schema xmlns:xsd="http://www.w3.org/2001/XMLSchema" xmlns:xs="http://www.w3.org/2001/XMLSchema" xmlns:p="http://schemas.microsoft.com/office/2006/metadata/properties" xmlns:ns2="4154dd59-802e-4a0c-9ac9-0b05739e1aed" xmlns:ns3="f3abfac4-72ae-43d2-80fb-4dbc66bd9d6c" targetNamespace="http://schemas.microsoft.com/office/2006/metadata/properties" ma:root="true" ma:fieldsID="3d28e2f1ca909a035f8a3d60de6fbb2c" ns2:_="" ns3:_="">
    <xsd:import namespace="4154dd59-802e-4a0c-9ac9-0b05739e1aed"/>
    <xsd:import namespace="f3abfac4-72ae-43d2-80fb-4dbc66bd9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4dd59-802e-4a0c-9ac9-0b05739e1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bfac4-72ae-43d2-80fb-4dbc66bd9d6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f8b1bc6-c1c7-4d1d-b66d-c94b1730bb6d}" ma:internalName="TaxCatchAll" ma:showField="CatchAllData" ma:web="f3abfac4-72ae-43d2-80fb-4dbc66bd9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8C6B39-0A09-4099-92BA-0B8AC4063FC0}">
  <ds:schemaRefs>
    <ds:schemaRef ds:uri="http://schemas.microsoft.com/office/2006/documentManagement/types"/>
    <ds:schemaRef ds:uri="http://schemas.microsoft.com/office/2006/metadata/properties"/>
    <ds:schemaRef ds:uri="f3abfac4-72ae-43d2-80fb-4dbc66bd9d6c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4154dd59-802e-4a0c-9ac9-0b05739e1ae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A5C5A3-9892-4B3B-9710-F96D37ED9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B5A910-2D0B-416A-80C3-FEC2E5A75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4dd59-802e-4a0c-9ac9-0b05739e1aed"/>
    <ds:schemaRef ds:uri="f3abfac4-72ae-43d2-80fb-4dbc66bd9d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2026</vt:lpstr>
      <vt:lpstr>'2026'!Area_de_impressao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Calendário Turma 2013</dc:title>
  <dc:subject/>
  <dc:creator>Anderson Batista Córdova</dc:creator>
  <cp:keywords/>
  <dc:description/>
  <cp:lastModifiedBy>Gizelle Karine Santos Alcantara</cp:lastModifiedBy>
  <cp:revision/>
  <dcterms:created xsi:type="dcterms:W3CDTF">2011-07-07T18:15:58Z</dcterms:created>
  <dcterms:modified xsi:type="dcterms:W3CDTF">2026-10-08T20:56:54Z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0x010100FC4DD96FF2B7D742893C6268D62B5FF8</vt:lpwstr>
  </property>
  <property fmtid="{D5CDD505-2E9C-101B-9397-08002B2CF9AE}" pid="3" name="Order">
    <vt:r8>37926600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